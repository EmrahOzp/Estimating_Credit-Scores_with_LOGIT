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bruiker\Documents\"/>
    </mc:Choice>
  </mc:AlternateContent>
  <bookViews>
    <workbookView xWindow="0" yWindow="0" windowWidth="24000" windowHeight="9510" activeTab="1"/>
  </bookViews>
  <sheets>
    <sheet name="logit model" sheetId="1" r:id="rId1"/>
    <sheet name="Sheet2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2" i="2" l="1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11" i="2"/>
  <c r="AW12" i="2"/>
  <c r="AW13" i="2" s="1"/>
  <c r="AW11" i="2"/>
  <c r="AV12" i="2"/>
  <c r="AV13" i="2" s="1"/>
  <c r="AV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11" i="2"/>
  <c r="AT12" i="2"/>
  <c r="AT13" i="2" s="1"/>
  <c r="AT14" i="2" s="1"/>
  <c r="AT15" i="2" s="1"/>
  <c r="AT16" i="2" s="1"/>
  <c r="AT17" i="2" s="1"/>
  <c r="AT18" i="2" s="1"/>
  <c r="AT19" i="2" s="1"/>
  <c r="AT20" i="2" s="1"/>
  <c r="AT21" i="2" s="1"/>
  <c r="AT22" i="2" s="1"/>
  <c r="AT23" i="2" s="1"/>
  <c r="AT24" i="2" s="1"/>
  <c r="AT25" i="2" s="1"/>
  <c r="AT26" i="2" s="1"/>
  <c r="AT27" i="2" s="1"/>
  <c r="AT28" i="2" s="1"/>
  <c r="AT29" i="2" s="1"/>
  <c r="AT30" i="2" s="1"/>
  <c r="AT11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63" i="2"/>
  <c r="AJ1064" i="2"/>
  <c r="AJ1065" i="2"/>
  <c r="AJ1066" i="2"/>
  <c r="AJ1067" i="2"/>
  <c r="AJ1068" i="2"/>
  <c r="AJ1069" i="2"/>
  <c r="AJ1070" i="2"/>
  <c r="AJ1071" i="2"/>
  <c r="AJ1072" i="2"/>
  <c r="AJ1073" i="2"/>
  <c r="AJ1074" i="2"/>
  <c r="AJ1075" i="2"/>
  <c r="AJ1076" i="2"/>
  <c r="AJ107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05" i="2"/>
  <c r="AJ1106" i="2"/>
  <c r="AJ1107" i="2"/>
  <c r="AJ1108" i="2"/>
  <c r="AJ1109" i="2"/>
  <c r="AJ1110" i="2"/>
  <c r="AJ1111" i="2"/>
  <c r="AJ1112" i="2"/>
  <c r="AJ1113" i="2"/>
  <c r="AJ1114" i="2"/>
  <c r="AJ1115" i="2"/>
  <c r="AJ1116" i="2"/>
  <c r="AJ1117" i="2"/>
  <c r="AJ1118" i="2"/>
  <c r="AJ111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39" i="2"/>
  <c r="AJ1140" i="2"/>
  <c r="AJ1141" i="2"/>
  <c r="AJ1142" i="2"/>
  <c r="AJ1143" i="2"/>
  <c r="AJ1144" i="2"/>
  <c r="AJ1145" i="2"/>
  <c r="AJ1146" i="2"/>
  <c r="AJ1147" i="2"/>
  <c r="AJ1148" i="2"/>
  <c r="AJ1149" i="2"/>
  <c r="AJ1150" i="2"/>
  <c r="AJ1151" i="2"/>
  <c r="AJ1152" i="2"/>
  <c r="AJ1153" i="2"/>
  <c r="AJ1154" i="2"/>
  <c r="AJ1155" i="2"/>
  <c r="AJ1156" i="2"/>
  <c r="AJ1157" i="2"/>
  <c r="AJ115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181" i="2"/>
  <c r="AJ1182" i="2"/>
  <c r="AJ1183" i="2"/>
  <c r="AJ1184" i="2"/>
  <c r="AJ1185" i="2"/>
  <c r="AJ1186" i="2"/>
  <c r="AJ1187" i="2"/>
  <c r="AJ1188" i="2"/>
  <c r="AJ1189" i="2"/>
  <c r="AJ1190" i="2"/>
  <c r="AJ1191" i="2"/>
  <c r="AJ1192" i="2"/>
  <c r="AJ1193" i="2"/>
  <c r="AJ1194" i="2"/>
  <c r="AJ1195" i="2"/>
  <c r="AJ1196" i="2"/>
  <c r="AJ1197" i="2"/>
  <c r="AJ1198" i="2"/>
  <c r="AJ1199" i="2"/>
  <c r="AJ120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AJ1232" i="2"/>
  <c r="AJ1233" i="2"/>
  <c r="AJ123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57" i="2"/>
  <c r="AJ1258" i="2"/>
  <c r="AJ1259" i="2"/>
  <c r="AJ1260" i="2"/>
  <c r="AJ1261" i="2"/>
  <c r="AJ1262" i="2"/>
  <c r="AJ1263" i="2"/>
  <c r="AJ1264" i="2"/>
  <c r="AJ1265" i="2"/>
  <c r="AJ1266" i="2"/>
  <c r="AJ1267" i="2"/>
  <c r="AJ1268" i="2"/>
  <c r="AJ1269" i="2"/>
  <c r="AJ1270" i="2"/>
  <c r="AJ1271" i="2"/>
  <c r="AJ1272" i="2"/>
  <c r="AJ1273" i="2"/>
  <c r="AJ1274" i="2"/>
  <c r="AJ1275" i="2"/>
  <c r="AJ127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1423" i="2"/>
  <c r="AJ1424" i="2"/>
  <c r="AJ1425" i="2"/>
  <c r="AJ1426" i="2"/>
  <c r="AJ1427" i="2"/>
  <c r="AJ1428" i="2"/>
  <c r="AJ1429" i="2"/>
  <c r="AJ1430" i="2"/>
  <c r="AJ1431" i="2"/>
  <c r="AJ1432" i="2"/>
  <c r="AJ1433" i="2"/>
  <c r="AJ1434" i="2"/>
  <c r="AJ1435" i="2"/>
  <c r="AJ1436" i="2"/>
  <c r="AJ1437" i="2"/>
  <c r="AJ1438" i="2"/>
  <c r="AJ1439" i="2"/>
  <c r="AJ1440" i="2"/>
  <c r="AJ1441" i="2"/>
  <c r="AJ1442" i="2"/>
  <c r="AJ1443" i="2"/>
  <c r="AJ1444" i="2"/>
  <c r="AJ1445" i="2"/>
  <c r="AJ1446" i="2"/>
  <c r="AJ1447" i="2"/>
  <c r="AJ1448" i="2"/>
  <c r="AJ1449" i="2"/>
  <c r="AJ1450" i="2"/>
  <c r="AJ1451" i="2"/>
  <c r="AJ1452" i="2"/>
  <c r="AJ1453" i="2"/>
  <c r="AJ1454" i="2"/>
  <c r="AJ1455" i="2"/>
  <c r="AJ1456" i="2"/>
  <c r="AJ1457" i="2"/>
  <c r="AJ1458" i="2"/>
  <c r="AJ1459" i="2"/>
  <c r="AJ1460" i="2"/>
  <c r="AJ1461" i="2"/>
  <c r="AJ1462" i="2"/>
  <c r="AJ1463" i="2"/>
  <c r="AJ1464" i="2"/>
  <c r="AJ1465" i="2"/>
  <c r="AJ1466" i="2"/>
  <c r="AJ1467" i="2"/>
  <c r="AJ1468" i="2"/>
  <c r="AJ1469" i="2"/>
  <c r="AJ1470" i="2"/>
  <c r="AJ1471" i="2"/>
  <c r="AJ1472" i="2"/>
  <c r="AJ1473" i="2"/>
  <c r="AJ1474" i="2"/>
  <c r="AJ1475" i="2"/>
  <c r="AJ1476" i="2"/>
  <c r="AJ1477" i="2"/>
  <c r="AJ1478" i="2"/>
  <c r="AJ1479" i="2"/>
  <c r="AJ1480" i="2"/>
  <c r="AJ1481" i="2"/>
  <c r="AJ1482" i="2"/>
  <c r="AJ1483" i="2"/>
  <c r="AJ1484" i="2"/>
  <c r="AJ1485" i="2"/>
  <c r="AJ1486" i="2"/>
  <c r="AJ1487" i="2"/>
  <c r="AJ1488" i="2"/>
  <c r="AJ1489" i="2"/>
  <c r="AJ1490" i="2"/>
  <c r="AJ1491" i="2"/>
  <c r="AJ1492" i="2"/>
  <c r="AJ1493" i="2"/>
  <c r="AJ1494" i="2"/>
  <c r="AJ1495" i="2"/>
  <c r="AJ1496" i="2"/>
  <c r="AJ1497" i="2"/>
  <c r="AJ1498" i="2"/>
  <c r="AJ1499" i="2"/>
  <c r="AJ1500" i="2"/>
  <c r="AJ1501" i="2"/>
  <c r="AJ1502" i="2"/>
  <c r="AJ1503" i="2"/>
  <c r="AJ1504" i="2"/>
  <c r="AJ1505" i="2"/>
  <c r="AJ1506" i="2"/>
  <c r="AJ1507" i="2"/>
  <c r="AJ1508" i="2"/>
  <c r="AJ1509" i="2"/>
  <c r="AJ1510" i="2"/>
  <c r="AJ1511" i="2"/>
  <c r="AJ1512" i="2"/>
  <c r="AJ1513" i="2"/>
  <c r="AJ1514" i="2"/>
  <c r="AJ1515" i="2"/>
  <c r="AJ1516" i="2"/>
  <c r="AJ1517" i="2"/>
  <c r="AJ1518" i="2"/>
  <c r="AJ1519" i="2"/>
  <c r="AJ1520" i="2"/>
  <c r="AJ1521" i="2"/>
  <c r="AJ1522" i="2"/>
  <c r="AJ1523" i="2"/>
  <c r="AJ1524" i="2"/>
  <c r="AJ1525" i="2"/>
  <c r="AJ1526" i="2"/>
  <c r="AJ1527" i="2"/>
  <c r="AJ1528" i="2"/>
  <c r="AJ1529" i="2"/>
  <c r="AJ1530" i="2"/>
  <c r="AJ1531" i="2"/>
  <c r="AJ1532" i="2"/>
  <c r="AJ1533" i="2"/>
  <c r="AJ1534" i="2"/>
  <c r="AJ1535" i="2"/>
  <c r="AJ1536" i="2"/>
  <c r="AJ1537" i="2"/>
  <c r="AJ1538" i="2"/>
  <c r="AJ1539" i="2"/>
  <c r="AJ1540" i="2"/>
  <c r="AJ1541" i="2"/>
  <c r="AJ1542" i="2"/>
  <c r="AJ1543" i="2"/>
  <c r="AJ1544" i="2"/>
  <c r="AJ1545" i="2"/>
  <c r="AJ1546" i="2"/>
  <c r="AJ1547" i="2"/>
  <c r="AJ1548" i="2"/>
  <c r="AJ1549" i="2"/>
  <c r="AJ1550" i="2"/>
  <c r="AJ1551" i="2"/>
  <c r="AJ1552" i="2"/>
  <c r="AJ1553" i="2"/>
  <c r="AJ1554" i="2"/>
  <c r="AJ1555" i="2"/>
  <c r="AJ1556" i="2"/>
  <c r="AJ1557" i="2"/>
  <c r="AJ1558" i="2"/>
  <c r="AJ1559" i="2"/>
  <c r="AJ1560" i="2"/>
  <c r="AJ1561" i="2"/>
  <c r="AJ1562" i="2"/>
  <c r="AJ1563" i="2"/>
  <c r="AJ1564" i="2"/>
  <c r="AJ1565" i="2"/>
  <c r="AJ1566" i="2"/>
  <c r="AJ1567" i="2"/>
  <c r="AJ1568" i="2"/>
  <c r="AJ1569" i="2"/>
  <c r="AJ1570" i="2"/>
  <c r="AJ1571" i="2"/>
  <c r="AJ1572" i="2"/>
  <c r="AJ1573" i="2"/>
  <c r="AJ1574" i="2"/>
  <c r="AJ1575" i="2"/>
  <c r="AJ1576" i="2"/>
  <c r="AJ1577" i="2"/>
  <c r="AJ1578" i="2"/>
  <c r="AJ1579" i="2"/>
  <c r="AJ1580" i="2"/>
  <c r="AJ1581" i="2"/>
  <c r="AJ1582" i="2"/>
  <c r="AJ1583" i="2"/>
  <c r="AJ1584" i="2"/>
  <c r="AJ1585" i="2"/>
  <c r="AJ1586" i="2"/>
  <c r="AJ1587" i="2"/>
  <c r="AJ1588" i="2"/>
  <c r="AJ1589" i="2"/>
  <c r="AJ1590" i="2"/>
  <c r="AJ1591" i="2"/>
  <c r="AJ1592" i="2"/>
  <c r="AJ1593" i="2"/>
  <c r="AJ1594" i="2"/>
  <c r="AJ1595" i="2"/>
  <c r="AJ1596" i="2"/>
  <c r="AJ1597" i="2"/>
  <c r="AJ1598" i="2"/>
  <c r="AJ1599" i="2"/>
  <c r="AJ1600" i="2"/>
  <c r="AJ1601" i="2"/>
  <c r="AJ1602" i="2"/>
  <c r="AJ1603" i="2"/>
  <c r="AJ1604" i="2"/>
  <c r="AJ1605" i="2"/>
  <c r="AJ1606" i="2"/>
  <c r="AJ1607" i="2"/>
  <c r="AJ1608" i="2"/>
  <c r="AJ1609" i="2"/>
  <c r="AJ1610" i="2"/>
  <c r="AJ1611" i="2"/>
  <c r="AJ1612" i="2"/>
  <c r="AJ1613" i="2"/>
  <c r="AJ1614" i="2"/>
  <c r="AJ1615" i="2"/>
  <c r="AJ1616" i="2"/>
  <c r="AJ1617" i="2"/>
  <c r="AJ1618" i="2"/>
  <c r="AJ1619" i="2"/>
  <c r="AJ1620" i="2"/>
  <c r="AJ1621" i="2"/>
  <c r="AJ1622" i="2"/>
  <c r="AJ1623" i="2"/>
  <c r="AJ1624" i="2"/>
  <c r="AJ1625" i="2"/>
  <c r="AJ1626" i="2"/>
  <c r="AJ1627" i="2"/>
  <c r="AJ1628" i="2"/>
  <c r="AJ1629" i="2"/>
  <c r="AJ1630" i="2"/>
  <c r="AJ1631" i="2"/>
  <c r="AJ1632" i="2"/>
  <c r="AJ1633" i="2"/>
  <c r="AJ1634" i="2"/>
  <c r="AJ1635" i="2"/>
  <c r="AJ1636" i="2"/>
  <c r="AJ1637" i="2"/>
  <c r="AJ1638" i="2"/>
  <c r="AJ1639" i="2"/>
  <c r="AJ1640" i="2"/>
  <c r="AJ1641" i="2"/>
  <c r="AJ1642" i="2"/>
  <c r="AJ1643" i="2"/>
  <c r="AJ1644" i="2"/>
  <c r="AJ1645" i="2"/>
  <c r="AJ1646" i="2"/>
  <c r="AJ1647" i="2"/>
  <c r="AJ1648" i="2"/>
  <c r="AJ1649" i="2"/>
  <c r="AJ1650" i="2"/>
  <c r="AJ1651" i="2"/>
  <c r="AJ1652" i="2"/>
  <c r="AJ1653" i="2"/>
  <c r="AJ1654" i="2"/>
  <c r="AJ1655" i="2"/>
  <c r="AJ1656" i="2"/>
  <c r="AJ1657" i="2"/>
  <c r="AJ1658" i="2"/>
  <c r="AJ1659" i="2"/>
  <c r="AJ1660" i="2"/>
  <c r="AJ1661" i="2"/>
  <c r="AJ1662" i="2"/>
  <c r="AJ1663" i="2"/>
  <c r="AJ1664" i="2"/>
  <c r="AJ1665" i="2"/>
  <c r="AJ1666" i="2"/>
  <c r="AJ1667" i="2"/>
  <c r="AJ1668" i="2"/>
  <c r="AJ1669" i="2"/>
  <c r="AJ1670" i="2"/>
  <c r="AJ1671" i="2"/>
  <c r="AJ1672" i="2"/>
  <c r="AJ1673" i="2"/>
  <c r="AJ1674" i="2"/>
  <c r="AJ1675" i="2"/>
  <c r="AJ1676" i="2"/>
  <c r="AJ1677" i="2"/>
  <c r="AJ1678" i="2"/>
  <c r="AJ1679" i="2"/>
  <c r="AJ1680" i="2"/>
  <c r="AJ1681" i="2"/>
  <c r="AJ1682" i="2"/>
  <c r="AJ1683" i="2"/>
  <c r="AJ1684" i="2"/>
  <c r="AJ1685" i="2"/>
  <c r="AJ1686" i="2"/>
  <c r="AJ1687" i="2"/>
  <c r="AJ1688" i="2"/>
  <c r="AJ1689" i="2"/>
  <c r="AJ1690" i="2"/>
  <c r="AJ1691" i="2"/>
  <c r="AJ1692" i="2"/>
  <c r="AJ1693" i="2"/>
  <c r="AJ1694" i="2"/>
  <c r="AJ1695" i="2"/>
  <c r="AJ1696" i="2"/>
  <c r="AJ1697" i="2"/>
  <c r="AJ1698" i="2"/>
  <c r="AJ1699" i="2"/>
  <c r="AJ1700" i="2"/>
  <c r="AJ1701" i="2"/>
  <c r="AJ1702" i="2"/>
  <c r="AJ1703" i="2"/>
  <c r="AJ1704" i="2"/>
  <c r="AJ1705" i="2"/>
  <c r="AJ1706" i="2"/>
  <c r="AJ1707" i="2"/>
  <c r="AJ1708" i="2"/>
  <c r="AJ1709" i="2"/>
  <c r="AJ1710" i="2"/>
  <c r="AJ1711" i="2"/>
  <c r="AJ1712" i="2"/>
  <c r="AJ1713" i="2"/>
  <c r="AJ1714" i="2"/>
  <c r="AJ1715" i="2"/>
  <c r="AJ1716" i="2"/>
  <c r="AJ1717" i="2"/>
  <c r="AJ1718" i="2"/>
  <c r="AJ1719" i="2"/>
  <c r="AJ1720" i="2"/>
  <c r="AJ1721" i="2"/>
  <c r="AJ1722" i="2"/>
  <c r="AJ1723" i="2"/>
  <c r="AJ1724" i="2"/>
  <c r="AJ1725" i="2"/>
  <c r="AJ1726" i="2"/>
  <c r="AJ1727" i="2"/>
  <c r="AJ1728" i="2"/>
  <c r="AJ1729" i="2"/>
  <c r="AJ1730" i="2"/>
  <c r="AJ1731" i="2"/>
  <c r="AJ1732" i="2"/>
  <c r="AJ1733" i="2"/>
  <c r="AJ1734" i="2"/>
  <c r="AJ1735" i="2"/>
  <c r="AJ1736" i="2"/>
  <c r="AJ1737" i="2"/>
  <c r="AJ1738" i="2"/>
  <c r="AJ1739" i="2"/>
  <c r="AJ1740" i="2"/>
  <c r="AJ1741" i="2"/>
  <c r="AJ1742" i="2"/>
  <c r="AJ1743" i="2"/>
  <c r="AJ1744" i="2"/>
  <c r="AJ1745" i="2"/>
  <c r="AJ1746" i="2"/>
  <c r="AJ1747" i="2"/>
  <c r="AJ1748" i="2"/>
  <c r="AJ1749" i="2"/>
  <c r="AJ1750" i="2"/>
  <c r="AJ1751" i="2"/>
  <c r="AJ1752" i="2"/>
  <c r="AJ1753" i="2"/>
  <c r="AJ1754" i="2"/>
  <c r="AJ1755" i="2"/>
  <c r="AJ1756" i="2"/>
  <c r="AJ1757" i="2"/>
  <c r="AJ1758" i="2"/>
  <c r="AJ1759" i="2"/>
  <c r="AJ1760" i="2"/>
  <c r="AJ1761" i="2"/>
  <c r="AJ1762" i="2"/>
  <c r="AJ1763" i="2"/>
  <c r="AJ1764" i="2"/>
  <c r="AJ1765" i="2"/>
  <c r="AJ1766" i="2"/>
  <c r="AJ1767" i="2"/>
  <c r="AJ1768" i="2"/>
  <c r="AJ1769" i="2"/>
  <c r="AJ1770" i="2"/>
  <c r="AJ1771" i="2"/>
  <c r="AJ1772" i="2"/>
  <c r="AJ1773" i="2"/>
  <c r="AJ1774" i="2"/>
  <c r="AJ1775" i="2"/>
  <c r="AJ1776" i="2"/>
  <c r="AJ1777" i="2"/>
  <c r="AJ1778" i="2"/>
  <c r="AJ1779" i="2"/>
  <c r="AJ1780" i="2"/>
  <c r="AJ1781" i="2"/>
  <c r="AJ1782" i="2"/>
  <c r="AJ1783" i="2"/>
  <c r="AJ1784" i="2"/>
  <c r="AJ1785" i="2"/>
  <c r="AJ1786" i="2"/>
  <c r="AJ1787" i="2"/>
  <c r="AJ1788" i="2"/>
  <c r="AJ1789" i="2"/>
  <c r="AJ1790" i="2"/>
  <c r="AJ1791" i="2"/>
  <c r="AJ1792" i="2"/>
  <c r="AJ1793" i="2"/>
  <c r="AJ1794" i="2"/>
  <c r="AJ1795" i="2"/>
  <c r="AJ1796" i="2"/>
  <c r="AJ1797" i="2"/>
  <c r="AJ1798" i="2"/>
  <c r="AJ1799" i="2"/>
  <c r="AJ1800" i="2"/>
  <c r="AJ1801" i="2"/>
  <c r="AJ1802" i="2"/>
  <c r="AJ1803" i="2"/>
  <c r="AJ1804" i="2"/>
  <c r="AJ1805" i="2"/>
  <c r="AJ1806" i="2"/>
  <c r="AJ1807" i="2"/>
  <c r="AJ1808" i="2"/>
  <c r="AJ1809" i="2"/>
  <c r="AJ1810" i="2"/>
  <c r="AJ1811" i="2"/>
  <c r="AJ1812" i="2"/>
  <c r="AJ1813" i="2"/>
  <c r="AJ1814" i="2"/>
  <c r="AJ1815" i="2"/>
  <c r="AJ1816" i="2"/>
  <c r="AJ1817" i="2"/>
  <c r="AJ1818" i="2"/>
  <c r="AJ1819" i="2"/>
  <c r="AJ1820" i="2"/>
  <c r="AJ1821" i="2"/>
  <c r="AJ1822" i="2"/>
  <c r="AJ1823" i="2"/>
  <c r="AJ1824" i="2"/>
  <c r="AJ1825" i="2"/>
  <c r="AJ1826" i="2"/>
  <c r="AJ1827" i="2"/>
  <c r="AJ1828" i="2"/>
  <c r="AJ1829" i="2"/>
  <c r="AJ1830" i="2"/>
  <c r="AJ1831" i="2"/>
  <c r="AJ1832" i="2"/>
  <c r="AJ1833" i="2"/>
  <c r="AJ1834" i="2"/>
  <c r="AJ1835" i="2"/>
  <c r="AJ1836" i="2"/>
  <c r="AJ1837" i="2"/>
  <c r="AJ1838" i="2"/>
  <c r="AJ1839" i="2"/>
  <c r="AJ1840" i="2"/>
  <c r="AJ1841" i="2"/>
  <c r="AJ1842" i="2"/>
  <c r="AJ1843" i="2"/>
  <c r="AJ1844" i="2"/>
  <c r="AJ1845" i="2"/>
  <c r="AJ1846" i="2"/>
  <c r="AJ1847" i="2"/>
  <c r="AJ1848" i="2"/>
  <c r="AJ1849" i="2"/>
  <c r="AJ1850" i="2"/>
  <c r="AJ1851" i="2"/>
  <c r="AJ1852" i="2"/>
  <c r="AJ1853" i="2"/>
  <c r="AJ1854" i="2"/>
  <c r="AJ1855" i="2"/>
  <c r="AJ1856" i="2"/>
  <c r="AJ1857" i="2"/>
  <c r="AJ1858" i="2"/>
  <c r="AJ1859" i="2"/>
  <c r="AJ1860" i="2"/>
  <c r="AJ1861" i="2"/>
  <c r="AJ1862" i="2"/>
  <c r="AJ1863" i="2"/>
  <c r="AJ1864" i="2"/>
  <c r="AJ1865" i="2"/>
  <c r="AJ1866" i="2"/>
  <c r="AJ1867" i="2"/>
  <c r="AJ1868" i="2"/>
  <c r="AJ1869" i="2"/>
  <c r="AJ1870" i="2"/>
  <c r="AJ1871" i="2"/>
  <c r="AJ1872" i="2"/>
  <c r="AJ1873" i="2"/>
  <c r="AJ1874" i="2"/>
  <c r="AJ1875" i="2"/>
  <c r="AJ1876" i="2"/>
  <c r="AJ1877" i="2"/>
  <c r="AJ1878" i="2"/>
  <c r="AJ1879" i="2"/>
  <c r="AJ1880" i="2"/>
  <c r="AJ1881" i="2"/>
  <c r="AJ1882" i="2"/>
  <c r="AJ1883" i="2"/>
  <c r="AJ1884" i="2"/>
  <c r="AJ1885" i="2"/>
  <c r="AJ1886" i="2"/>
  <c r="AJ1887" i="2"/>
  <c r="AJ1888" i="2"/>
  <c r="AJ1889" i="2"/>
  <c r="AJ1890" i="2"/>
  <c r="AJ1891" i="2"/>
  <c r="AJ1892" i="2"/>
  <c r="AJ1893" i="2"/>
  <c r="AJ1894" i="2"/>
  <c r="AJ1895" i="2"/>
  <c r="AJ1896" i="2"/>
  <c r="AJ1897" i="2"/>
  <c r="AJ1898" i="2"/>
  <c r="AJ1899" i="2"/>
  <c r="AJ1900" i="2"/>
  <c r="AJ1901" i="2"/>
  <c r="AJ1902" i="2"/>
  <c r="AJ1903" i="2"/>
  <c r="AJ1904" i="2"/>
  <c r="AJ1905" i="2"/>
  <c r="AJ1906" i="2"/>
  <c r="AJ1907" i="2"/>
  <c r="AJ1908" i="2"/>
  <c r="AJ1909" i="2"/>
  <c r="AJ1910" i="2"/>
  <c r="AJ1911" i="2"/>
  <c r="AJ1912" i="2"/>
  <c r="AJ1913" i="2"/>
  <c r="AJ1914" i="2"/>
  <c r="AJ1915" i="2"/>
  <c r="AJ1916" i="2"/>
  <c r="AJ1917" i="2"/>
  <c r="AJ1918" i="2"/>
  <c r="AJ1919" i="2"/>
  <c r="AJ1920" i="2"/>
  <c r="AJ1921" i="2"/>
  <c r="AJ1922" i="2"/>
  <c r="AJ1923" i="2"/>
  <c r="AJ1924" i="2"/>
  <c r="AJ1925" i="2"/>
  <c r="AJ1926" i="2"/>
  <c r="AJ1927" i="2"/>
  <c r="AJ1928" i="2"/>
  <c r="AJ1929" i="2"/>
  <c r="AJ1930" i="2"/>
  <c r="AJ1931" i="2"/>
  <c r="AJ1932" i="2"/>
  <c r="AJ1933" i="2"/>
  <c r="AJ1934" i="2"/>
  <c r="AJ1935" i="2"/>
  <c r="AJ1936" i="2"/>
  <c r="AJ1937" i="2"/>
  <c r="AJ1938" i="2"/>
  <c r="AJ1939" i="2"/>
  <c r="AJ1940" i="2"/>
  <c r="AJ1941" i="2"/>
  <c r="AJ1942" i="2"/>
  <c r="AJ1943" i="2"/>
  <c r="AJ1944" i="2"/>
  <c r="AJ1945" i="2"/>
  <c r="AJ1946" i="2"/>
  <c r="AJ1947" i="2"/>
  <c r="AJ1948" i="2"/>
  <c r="AJ1949" i="2"/>
  <c r="AJ1950" i="2"/>
  <c r="AJ1951" i="2"/>
  <c r="AJ1952" i="2"/>
  <c r="AJ1953" i="2"/>
  <c r="AJ1954" i="2"/>
  <c r="AJ1955" i="2"/>
  <c r="AJ1956" i="2"/>
  <c r="AJ1957" i="2"/>
  <c r="AJ1958" i="2"/>
  <c r="AJ1959" i="2"/>
  <c r="AJ1960" i="2"/>
  <c r="AJ1961" i="2"/>
  <c r="AJ1962" i="2"/>
  <c r="AJ1963" i="2"/>
  <c r="AJ1964" i="2"/>
  <c r="AJ1965" i="2"/>
  <c r="AJ1966" i="2"/>
  <c r="AJ1967" i="2"/>
  <c r="AJ1968" i="2"/>
  <c r="AJ1969" i="2"/>
  <c r="AJ1970" i="2"/>
  <c r="AJ1971" i="2"/>
  <c r="AJ1972" i="2"/>
  <c r="AJ1973" i="2"/>
  <c r="AJ1974" i="2"/>
  <c r="AJ1975" i="2"/>
  <c r="AJ1976" i="2"/>
  <c r="AJ1977" i="2"/>
  <c r="AJ1978" i="2"/>
  <c r="AJ1979" i="2"/>
  <c r="AJ1980" i="2"/>
  <c r="AJ1981" i="2"/>
  <c r="AJ1982" i="2"/>
  <c r="AJ1983" i="2"/>
  <c r="AJ1984" i="2"/>
  <c r="AJ1985" i="2"/>
  <c r="AJ1986" i="2"/>
  <c r="AJ1987" i="2"/>
  <c r="AJ1988" i="2"/>
  <c r="AJ1989" i="2"/>
  <c r="AJ1990" i="2"/>
  <c r="AJ1991" i="2"/>
  <c r="AJ1992" i="2"/>
  <c r="AJ1993" i="2"/>
  <c r="AJ1994" i="2"/>
  <c r="AJ1995" i="2"/>
  <c r="AJ1996" i="2"/>
  <c r="AJ1997" i="2"/>
  <c r="AJ1998" i="2"/>
  <c r="AJ1999" i="2"/>
  <c r="AJ2000" i="2"/>
  <c r="AJ2001" i="2"/>
  <c r="AJ2002" i="2"/>
  <c r="AJ2003" i="2"/>
  <c r="AJ2004" i="2"/>
  <c r="AJ2005" i="2"/>
  <c r="AJ2006" i="2"/>
  <c r="AJ2007" i="2"/>
  <c r="AJ2008" i="2"/>
  <c r="AJ2009" i="2"/>
  <c r="AJ2010" i="2"/>
  <c r="AJ2011" i="2"/>
  <c r="AJ2012" i="2"/>
  <c r="AJ2013" i="2"/>
  <c r="AJ2014" i="2"/>
  <c r="AJ2015" i="2"/>
  <c r="AJ2016" i="2"/>
  <c r="AJ2017" i="2"/>
  <c r="AJ2018" i="2"/>
  <c r="AJ2019" i="2"/>
  <c r="AJ2020" i="2"/>
  <c r="AJ2021" i="2"/>
  <c r="AJ2022" i="2"/>
  <c r="AJ2023" i="2"/>
  <c r="AJ2024" i="2"/>
  <c r="AJ2025" i="2"/>
  <c r="AJ2026" i="2"/>
  <c r="AJ2027" i="2"/>
  <c r="AJ2028" i="2"/>
  <c r="AJ2029" i="2"/>
  <c r="AJ2030" i="2"/>
  <c r="AJ2031" i="2"/>
  <c r="AJ2032" i="2"/>
  <c r="AJ2033" i="2"/>
  <c r="AJ2034" i="2"/>
  <c r="AJ2035" i="2"/>
  <c r="AJ2036" i="2"/>
  <c r="AJ2037" i="2"/>
  <c r="AJ2038" i="2"/>
  <c r="AJ2039" i="2"/>
  <c r="AJ2040" i="2"/>
  <c r="AJ2041" i="2"/>
  <c r="AJ2042" i="2"/>
  <c r="AJ2043" i="2"/>
  <c r="AJ2044" i="2"/>
  <c r="AJ2045" i="2"/>
  <c r="AJ2046" i="2"/>
  <c r="AJ2047" i="2"/>
  <c r="AJ2048" i="2"/>
  <c r="AJ2049" i="2"/>
  <c r="AJ2050" i="2"/>
  <c r="AJ2051" i="2"/>
  <c r="AJ2052" i="2"/>
  <c r="AJ2053" i="2"/>
  <c r="AJ2054" i="2"/>
  <c r="AJ2055" i="2"/>
  <c r="AJ2056" i="2"/>
  <c r="AJ2057" i="2"/>
  <c r="AJ2058" i="2"/>
  <c r="AJ2059" i="2"/>
  <c r="AJ2060" i="2"/>
  <c r="AJ2061" i="2"/>
  <c r="AJ2062" i="2"/>
  <c r="AJ2063" i="2"/>
  <c r="AJ2064" i="2"/>
  <c r="AJ2065" i="2"/>
  <c r="AJ2066" i="2"/>
  <c r="AJ2067" i="2"/>
  <c r="AJ2068" i="2"/>
  <c r="AJ2069" i="2"/>
  <c r="AJ2070" i="2"/>
  <c r="AJ2071" i="2"/>
  <c r="AJ2072" i="2"/>
  <c r="AJ2073" i="2"/>
  <c r="AJ2074" i="2"/>
  <c r="AJ2075" i="2"/>
  <c r="AJ2076" i="2"/>
  <c r="AJ2077" i="2"/>
  <c r="AJ2078" i="2"/>
  <c r="AJ2079" i="2"/>
  <c r="AJ2080" i="2"/>
  <c r="AJ2081" i="2"/>
  <c r="AJ2082" i="2"/>
  <c r="AJ2083" i="2"/>
  <c r="AJ2084" i="2"/>
  <c r="AJ2085" i="2"/>
  <c r="AJ2086" i="2"/>
  <c r="AJ2087" i="2"/>
  <c r="AJ2088" i="2"/>
  <c r="AJ2089" i="2"/>
  <c r="AJ2090" i="2"/>
  <c r="AJ2091" i="2"/>
  <c r="AJ2092" i="2"/>
  <c r="AJ2093" i="2"/>
  <c r="AJ2094" i="2"/>
  <c r="AJ2095" i="2"/>
  <c r="AJ2096" i="2"/>
  <c r="AJ2097" i="2"/>
  <c r="AJ2098" i="2"/>
  <c r="AJ2099" i="2"/>
  <c r="AJ2100" i="2"/>
  <c r="AJ2101" i="2"/>
  <c r="AJ2102" i="2"/>
  <c r="AJ2103" i="2"/>
  <c r="AJ2104" i="2"/>
  <c r="AJ2105" i="2"/>
  <c r="AJ2106" i="2"/>
  <c r="AJ2107" i="2"/>
  <c r="AJ2108" i="2"/>
  <c r="AJ2109" i="2"/>
  <c r="AJ2110" i="2"/>
  <c r="AJ2111" i="2"/>
  <c r="AJ2112" i="2"/>
  <c r="AJ2113" i="2"/>
  <c r="AJ2114" i="2"/>
  <c r="AJ2115" i="2"/>
  <c r="AJ2116" i="2"/>
  <c r="AJ2117" i="2"/>
  <c r="AJ2118" i="2"/>
  <c r="AJ2119" i="2"/>
  <c r="AJ2120" i="2"/>
  <c r="AJ2121" i="2"/>
  <c r="AJ2122" i="2"/>
  <c r="AJ2123" i="2"/>
  <c r="AJ2124" i="2"/>
  <c r="AJ2125" i="2"/>
  <c r="AJ2126" i="2"/>
  <c r="AJ2127" i="2"/>
  <c r="AJ2128" i="2"/>
  <c r="AJ2129" i="2"/>
  <c r="AJ2130" i="2"/>
  <c r="AJ2131" i="2"/>
  <c r="AJ2132" i="2"/>
  <c r="AJ2133" i="2"/>
  <c r="AJ2134" i="2"/>
  <c r="AJ2135" i="2"/>
  <c r="AJ2136" i="2"/>
  <c r="AJ2137" i="2"/>
  <c r="AJ2138" i="2"/>
  <c r="AJ2139" i="2"/>
  <c r="AJ2140" i="2"/>
  <c r="AJ2141" i="2"/>
  <c r="AJ2142" i="2"/>
  <c r="AJ2143" i="2"/>
  <c r="AJ2144" i="2"/>
  <c r="AJ2145" i="2"/>
  <c r="AJ2146" i="2"/>
  <c r="AJ2147" i="2"/>
  <c r="AJ2148" i="2"/>
  <c r="AJ2149" i="2"/>
  <c r="AJ2150" i="2"/>
  <c r="AJ2151" i="2"/>
  <c r="AJ2152" i="2"/>
  <c r="AJ2153" i="2"/>
  <c r="AJ2154" i="2"/>
  <c r="AJ2155" i="2"/>
  <c r="AJ2156" i="2"/>
  <c r="AJ2157" i="2"/>
  <c r="AJ2158" i="2"/>
  <c r="AJ2159" i="2"/>
  <c r="AJ2160" i="2"/>
  <c r="AJ2161" i="2"/>
  <c r="AJ2162" i="2"/>
  <c r="AJ2163" i="2"/>
  <c r="AJ2164" i="2"/>
  <c r="AJ2165" i="2"/>
  <c r="AJ2166" i="2"/>
  <c r="AJ2167" i="2"/>
  <c r="AJ2168" i="2"/>
  <c r="AJ2169" i="2"/>
  <c r="AJ2170" i="2"/>
  <c r="AJ2171" i="2"/>
  <c r="AJ2172" i="2"/>
  <c r="AJ2173" i="2"/>
  <c r="AJ2174" i="2"/>
  <c r="AJ2175" i="2"/>
  <c r="AJ2176" i="2"/>
  <c r="AJ2177" i="2"/>
  <c r="AJ2178" i="2"/>
  <c r="AJ2179" i="2"/>
  <c r="AJ2180" i="2"/>
  <c r="AJ2181" i="2"/>
  <c r="AJ2182" i="2"/>
  <c r="AJ2183" i="2"/>
  <c r="AJ2184" i="2"/>
  <c r="AJ2185" i="2"/>
  <c r="AJ2186" i="2"/>
  <c r="AJ2187" i="2"/>
  <c r="AJ2188" i="2"/>
  <c r="AJ2189" i="2"/>
  <c r="AJ2190" i="2"/>
  <c r="AJ2191" i="2"/>
  <c r="AJ2192" i="2"/>
  <c r="AJ2193" i="2"/>
  <c r="AJ2194" i="2"/>
  <c r="AJ2195" i="2"/>
  <c r="AJ2196" i="2"/>
  <c r="AJ2197" i="2"/>
  <c r="AJ2198" i="2"/>
  <c r="AJ2199" i="2"/>
  <c r="AJ2200" i="2"/>
  <c r="AJ2201" i="2"/>
  <c r="AJ2202" i="2"/>
  <c r="AJ2203" i="2"/>
  <c r="AJ2204" i="2"/>
  <c r="AJ2205" i="2"/>
  <c r="AJ2206" i="2"/>
  <c r="AJ2207" i="2"/>
  <c r="AJ2208" i="2"/>
  <c r="AJ2209" i="2"/>
  <c r="AJ2210" i="2"/>
  <c r="AJ2211" i="2"/>
  <c r="AJ2212" i="2"/>
  <c r="AJ2213" i="2"/>
  <c r="AJ2214" i="2"/>
  <c r="AJ2215" i="2"/>
  <c r="AJ2216" i="2"/>
  <c r="AJ2217" i="2"/>
  <c r="AJ2218" i="2"/>
  <c r="AJ2219" i="2"/>
  <c r="AJ2220" i="2"/>
  <c r="AJ2221" i="2"/>
  <c r="AJ2222" i="2"/>
  <c r="AJ2223" i="2"/>
  <c r="AJ2224" i="2"/>
  <c r="AJ2225" i="2"/>
  <c r="AJ2226" i="2"/>
  <c r="AJ2227" i="2"/>
  <c r="AJ2228" i="2"/>
  <c r="AJ2229" i="2"/>
  <c r="AJ2230" i="2"/>
  <c r="AJ2231" i="2"/>
  <c r="AJ2232" i="2"/>
  <c r="AJ2233" i="2"/>
  <c r="AJ2234" i="2"/>
  <c r="AJ2235" i="2"/>
  <c r="AJ2236" i="2"/>
  <c r="AJ2237" i="2"/>
  <c r="AJ2238" i="2"/>
  <c r="AJ2239" i="2"/>
  <c r="AJ2240" i="2"/>
  <c r="AJ2241" i="2"/>
  <c r="AJ2242" i="2"/>
  <c r="AJ2243" i="2"/>
  <c r="AJ2244" i="2"/>
  <c r="AJ2245" i="2"/>
  <c r="AJ2246" i="2"/>
  <c r="AJ2247" i="2"/>
  <c r="AJ2248" i="2"/>
  <c r="AJ2249" i="2"/>
  <c r="AJ2250" i="2"/>
  <c r="AJ2251" i="2"/>
  <c r="AJ2252" i="2"/>
  <c r="AJ2253" i="2"/>
  <c r="AJ2254" i="2"/>
  <c r="AJ2255" i="2"/>
  <c r="AJ2256" i="2"/>
  <c r="AJ2257" i="2"/>
  <c r="AJ2258" i="2"/>
  <c r="AJ2259" i="2"/>
  <c r="AJ2260" i="2"/>
  <c r="AJ2261" i="2"/>
  <c r="AJ2262" i="2"/>
  <c r="AJ2263" i="2"/>
  <c r="AJ2264" i="2"/>
  <c r="AJ2265" i="2"/>
  <c r="AJ2266" i="2"/>
  <c r="AJ2267" i="2"/>
  <c r="AJ2268" i="2"/>
  <c r="AJ2269" i="2"/>
  <c r="AJ2270" i="2"/>
  <c r="AJ2271" i="2"/>
  <c r="AJ2272" i="2"/>
  <c r="AJ2273" i="2"/>
  <c r="AJ2274" i="2"/>
  <c r="AJ2275" i="2"/>
  <c r="AJ2276" i="2"/>
  <c r="AJ2277" i="2"/>
  <c r="AJ2278" i="2"/>
  <c r="AJ2279" i="2"/>
  <c r="AJ2280" i="2"/>
  <c r="AJ2281" i="2"/>
  <c r="AJ2282" i="2"/>
  <c r="AJ2283" i="2"/>
  <c r="AJ2284" i="2"/>
  <c r="AJ2285" i="2"/>
  <c r="AJ2286" i="2"/>
  <c r="AJ2287" i="2"/>
  <c r="AJ2288" i="2"/>
  <c r="AJ2289" i="2"/>
  <c r="AJ2290" i="2"/>
  <c r="AJ2291" i="2"/>
  <c r="AJ2292" i="2"/>
  <c r="AJ2293" i="2"/>
  <c r="AJ2294" i="2"/>
  <c r="AJ2295" i="2"/>
  <c r="AJ2296" i="2"/>
  <c r="AJ2297" i="2"/>
  <c r="AJ2298" i="2"/>
  <c r="AJ2299" i="2"/>
  <c r="AJ2300" i="2"/>
  <c r="AJ2301" i="2"/>
  <c r="AJ2302" i="2"/>
  <c r="AJ2303" i="2"/>
  <c r="AJ2304" i="2"/>
  <c r="AJ2305" i="2"/>
  <c r="AJ2306" i="2"/>
  <c r="AJ2307" i="2"/>
  <c r="AJ2308" i="2"/>
  <c r="AJ2309" i="2"/>
  <c r="AJ2310" i="2"/>
  <c r="AJ2311" i="2"/>
  <c r="AJ2312" i="2"/>
  <c r="AJ2313" i="2"/>
  <c r="AJ2314" i="2"/>
  <c r="AJ2315" i="2"/>
  <c r="AJ2316" i="2"/>
  <c r="AJ2317" i="2"/>
  <c r="AJ2318" i="2"/>
  <c r="AJ2319" i="2"/>
  <c r="AJ2320" i="2"/>
  <c r="AJ2321" i="2"/>
  <c r="AJ2322" i="2"/>
  <c r="AJ2323" i="2"/>
  <c r="AJ2324" i="2"/>
  <c r="AJ2325" i="2"/>
  <c r="AJ2326" i="2"/>
  <c r="AJ2327" i="2"/>
  <c r="AJ2328" i="2"/>
  <c r="AJ2329" i="2"/>
  <c r="AJ2330" i="2"/>
  <c r="AJ2331" i="2"/>
  <c r="AJ2332" i="2"/>
  <c r="AJ2333" i="2"/>
  <c r="AJ2334" i="2"/>
  <c r="AJ2335" i="2"/>
  <c r="AJ2336" i="2"/>
  <c r="AJ2337" i="2"/>
  <c r="AJ2338" i="2"/>
  <c r="AJ2339" i="2"/>
  <c r="AJ2340" i="2"/>
  <c r="AJ2341" i="2"/>
  <c r="AJ2342" i="2"/>
  <c r="AJ2343" i="2"/>
  <c r="AJ2344" i="2"/>
  <c r="AJ2345" i="2"/>
  <c r="AJ2346" i="2"/>
  <c r="AJ2347" i="2"/>
  <c r="AJ2348" i="2"/>
  <c r="AJ2349" i="2"/>
  <c r="AJ2350" i="2"/>
  <c r="AJ2351" i="2"/>
  <c r="AJ2352" i="2"/>
  <c r="AJ2353" i="2"/>
  <c r="AJ2354" i="2"/>
  <c r="AJ2355" i="2"/>
  <c r="AJ2356" i="2"/>
  <c r="AJ2357" i="2"/>
  <c r="AJ2358" i="2"/>
  <c r="AJ2359" i="2"/>
  <c r="AJ2360" i="2"/>
  <c r="AJ2361" i="2"/>
  <c r="AJ2362" i="2"/>
  <c r="AJ2363" i="2"/>
  <c r="AJ2364" i="2"/>
  <c r="AJ2365" i="2"/>
  <c r="AJ2366" i="2"/>
  <c r="AJ2367" i="2"/>
  <c r="AJ2368" i="2"/>
  <c r="AJ2369" i="2"/>
  <c r="AJ2370" i="2"/>
  <c r="AJ2371" i="2"/>
  <c r="AJ2372" i="2"/>
  <c r="AJ2373" i="2"/>
  <c r="AJ2374" i="2"/>
  <c r="AJ2375" i="2"/>
  <c r="AJ2376" i="2"/>
  <c r="AJ2377" i="2"/>
  <c r="AJ2378" i="2"/>
  <c r="AJ2379" i="2"/>
  <c r="AJ2380" i="2"/>
  <c r="AJ2381" i="2"/>
  <c r="AJ2382" i="2"/>
  <c r="AJ2383" i="2"/>
  <c r="AJ2384" i="2"/>
  <c r="AJ2385" i="2"/>
  <c r="AJ2386" i="2"/>
  <c r="AJ2387" i="2"/>
  <c r="AJ2388" i="2"/>
  <c r="AJ2389" i="2"/>
  <c r="AJ2390" i="2"/>
  <c r="AJ2391" i="2"/>
  <c r="AJ2392" i="2"/>
  <c r="AJ2393" i="2"/>
  <c r="AJ2394" i="2"/>
  <c r="AJ2395" i="2"/>
  <c r="AJ2396" i="2"/>
  <c r="AJ2397" i="2"/>
  <c r="AJ2398" i="2"/>
  <c r="AJ2399" i="2"/>
  <c r="AJ2400" i="2"/>
  <c r="AJ2401" i="2"/>
  <c r="AJ2402" i="2"/>
  <c r="AJ2403" i="2"/>
  <c r="AJ2404" i="2"/>
  <c r="AJ2405" i="2"/>
  <c r="AJ2406" i="2"/>
  <c r="AJ2407" i="2"/>
  <c r="AJ2408" i="2"/>
  <c r="AJ2409" i="2"/>
  <c r="AJ2410" i="2"/>
  <c r="AJ2411" i="2"/>
  <c r="AJ2412" i="2"/>
  <c r="AJ2413" i="2"/>
  <c r="AJ2414" i="2"/>
  <c r="AJ2415" i="2"/>
  <c r="AJ2416" i="2"/>
  <c r="AJ2417" i="2"/>
  <c r="AJ2418" i="2"/>
  <c r="AJ2419" i="2"/>
  <c r="AJ2420" i="2"/>
  <c r="AJ2421" i="2"/>
  <c r="AJ2422" i="2"/>
  <c r="AJ2423" i="2"/>
  <c r="AJ2424" i="2"/>
  <c r="AJ2425" i="2"/>
  <c r="AJ2426" i="2"/>
  <c r="AJ2427" i="2"/>
  <c r="AJ2428" i="2"/>
  <c r="AJ2429" i="2"/>
  <c r="AJ2430" i="2"/>
  <c r="AJ2431" i="2"/>
  <c r="AJ2432" i="2"/>
  <c r="AJ2433" i="2"/>
  <c r="AJ2434" i="2"/>
  <c r="AJ2435" i="2"/>
  <c r="AJ2436" i="2"/>
  <c r="AJ2437" i="2"/>
  <c r="AJ2438" i="2"/>
  <c r="AJ2439" i="2"/>
  <c r="AJ2440" i="2"/>
  <c r="AJ2441" i="2"/>
  <c r="AJ2442" i="2"/>
  <c r="AJ2443" i="2"/>
  <c r="AJ2444" i="2"/>
  <c r="AJ2445" i="2"/>
  <c r="AJ2446" i="2"/>
  <c r="AJ2447" i="2"/>
  <c r="AJ2448" i="2"/>
  <c r="AJ2449" i="2"/>
  <c r="AJ2450" i="2"/>
  <c r="AJ2451" i="2"/>
  <c r="AJ2452" i="2"/>
  <c r="AJ2453" i="2"/>
  <c r="AJ2454" i="2"/>
  <c r="AJ2455" i="2"/>
  <c r="AJ2456" i="2"/>
  <c r="AJ2457" i="2"/>
  <c r="AJ2458" i="2"/>
  <c r="AJ2459" i="2"/>
  <c r="AJ2460" i="2"/>
  <c r="AJ2461" i="2"/>
  <c r="AJ2462" i="2"/>
  <c r="AJ2463" i="2"/>
  <c r="AJ2464" i="2"/>
  <c r="AJ2465" i="2"/>
  <c r="AJ2466" i="2"/>
  <c r="AJ2467" i="2"/>
  <c r="AJ2468" i="2"/>
  <c r="AJ2469" i="2"/>
  <c r="AJ2470" i="2"/>
  <c r="AJ2471" i="2"/>
  <c r="AJ2472" i="2"/>
  <c r="AJ2473" i="2"/>
  <c r="AJ2474" i="2"/>
  <c r="AJ2475" i="2"/>
  <c r="AJ2476" i="2"/>
  <c r="AJ2477" i="2"/>
  <c r="AJ2478" i="2"/>
  <c r="AJ2479" i="2"/>
  <c r="AJ2480" i="2"/>
  <c r="AJ2481" i="2"/>
  <c r="AJ2482" i="2"/>
  <c r="AJ2483" i="2"/>
  <c r="AJ2484" i="2"/>
  <c r="AJ2485" i="2"/>
  <c r="AJ2486" i="2"/>
  <c r="AJ2487" i="2"/>
  <c r="AJ2488" i="2"/>
  <c r="AJ2489" i="2"/>
  <c r="AJ2490" i="2"/>
  <c r="AJ2491" i="2"/>
  <c r="AJ2492" i="2"/>
  <c r="AJ2493" i="2"/>
  <c r="AJ2494" i="2"/>
  <c r="AJ2495" i="2"/>
  <c r="AJ2496" i="2"/>
  <c r="AJ2497" i="2"/>
  <c r="AJ2498" i="2"/>
  <c r="AJ2499" i="2"/>
  <c r="AJ2500" i="2"/>
  <c r="AJ2501" i="2"/>
  <c r="AJ2502" i="2"/>
  <c r="AJ2503" i="2"/>
  <c r="AJ2504" i="2"/>
  <c r="AJ2505" i="2"/>
  <c r="AJ2506" i="2"/>
  <c r="AJ2507" i="2"/>
  <c r="AJ2508" i="2"/>
  <c r="AJ2509" i="2"/>
  <c r="AJ2510" i="2"/>
  <c r="AJ2511" i="2"/>
  <c r="AJ2512" i="2"/>
  <c r="AJ2513" i="2"/>
  <c r="AJ2514" i="2"/>
  <c r="AJ2515" i="2"/>
  <c r="AJ2516" i="2"/>
  <c r="AJ2517" i="2"/>
  <c r="AJ2518" i="2"/>
  <c r="AJ2519" i="2"/>
  <c r="AJ2520" i="2"/>
  <c r="AJ2521" i="2"/>
  <c r="AJ2522" i="2"/>
  <c r="AJ2523" i="2"/>
  <c r="AJ2524" i="2"/>
  <c r="AJ2525" i="2"/>
  <c r="AJ2526" i="2"/>
  <c r="AJ2527" i="2"/>
  <c r="AJ2528" i="2"/>
  <c r="AJ2529" i="2"/>
  <c r="AJ2530" i="2"/>
  <c r="AJ2531" i="2"/>
  <c r="AJ2532" i="2"/>
  <c r="AJ2533" i="2"/>
  <c r="AJ2534" i="2"/>
  <c r="AJ2535" i="2"/>
  <c r="AJ2536" i="2"/>
  <c r="AJ2537" i="2"/>
  <c r="AJ2538" i="2"/>
  <c r="AJ2539" i="2"/>
  <c r="AJ2540" i="2"/>
  <c r="AJ2541" i="2"/>
  <c r="AJ2542" i="2"/>
  <c r="AJ2543" i="2"/>
  <c r="AJ2544" i="2"/>
  <c r="AJ2545" i="2"/>
  <c r="AJ2546" i="2"/>
  <c r="AJ2547" i="2"/>
  <c r="AJ2548" i="2"/>
  <c r="AJ2549" i="2"/>
  <c r="AJ2550" i="2"/>
  <c r="AJ2551" i="2"/>
  <c r="AJ2552" i="2"/>
  <c r="AJ2553" i="2"/>
  <c r="AJ2554" i="2"/>
  <c r="AJ2555" i="2"/>
  <c r="AJ2556" i="2"/>
  <c r="AJ2557" i="2"/>
  <c r="AJ2558" i="2"/>
  <c r="AJ2559" i="2"/>
  <c r="AJ2560" i="2"/>
  <c r="AJ2561" i="2"/>
  <c r="AJ2562" i="2"/>
  <c r="AJ2563" i="2"/>
  <c r="AJ2564" i="2"/>
  <c r="AJ2565" i="2"/>
  <c r="AJ2566" i="2"/>
  <c r="AJ2567" i="2"/>
  <c r="AJ2568" i="2"/>
  <c r="AJ2569" i="2"/>
  <c r="AJ2570" i="2"/>
  <c r="AJ2571" i="2"/>
  <c r="AJ2572" i="2"/>
  <c r="AJ2573" i="2"/>
  <c r="AJ2574" i="2"/>
  <c r="AJ2575" i="2"/>
  <c r="AJ2576" i="2"/>
  <c r="AJ2577" i="2"/>
  <c r="AJ2578" i="2"/>
  <c r="AJ2579" i="2"/>
  <c r="AJ2580" i="2"/>
  <c r="AJ2581" i="2"/>
  <c r="AJ2582" i="2"/>
  <c r="AJ2583" i="2"/>
  <c r="AJ2584" i="2"/>
  <c r="AJ2585" i="2"/>
  <c r="AJ2586" i="2"/>
  <c r="AJ2587" i="2"/>
  <c r="AJ2588" i="2"/>
  <c r="AJ2589" i="2"/>
  <c r="AJ2590" i="2"/>
  <c r="AJ2591" i="2"/>
  <c r="AJ2592" i="2"/>
  <c r="AJ2593" i="2"/>
  <c r="AJ2594" i="2"/>
  <c r="AJ2595" i="2"/>
  <c r="AJ2596" i="2"/>
  <c r="AJ2597" i="2"/>
  <c r="AJ2598" i="2"/>
  <c r="AJ2599" i="2"/>
  <c r="AJ2600" i="2"/>
  <c r="AJ2601" i="2"/>
  <c r="AJ2602" i="2"/>
  <c r="AJ2603" i="2"/>
  <c r="AJ2604" i="2"/>
  <c r="AJ2605" i="2"/>
  <c r="AJ2606" i="2"/>
  <c r="AJ2607" i="2"/>
  <c r="AJ2608" i="2"/>
  <c r="AJ2609" i="2"/>
  <c r="AJ2610" i="2"/>
  <c r="AJ2611" i="2"/>
  <c r="AJ2612" i="2"/>
  <c r="AJ2613" i="2"/>
  <c r="AJ2614" i="2"/>
  <c r="AJ2615" i="2"/>
  <c r="AJ2616" i="2"/>
  <c r="AJ2617" i="2"/>
  <c r="AJ2618" i="2"/>
  <c r="AJ2619" i="2"/>
  <c r="AJ2620" i="2"/>
  <c r="AJ2621" i="2"/>
  <c r="AJ2622" i="2"/>
  <c r="AJ2623" i="2"/>
  <c r="AJ2624" i="2"/>
  <c r="AJ2625" i="2"/>
  <c r="AJ2626" i="2"/>
  <c r="AJ2627" i="2"/>
  <c r="AJ2628" i="2"/>
  <c r="AJ2629" i="2"/>
  <c r="AJ2630" i="2"/>
  <c r="AJ2631" i="2"/>
  <c r="AJ2632" i="2"/>
  <c r="AJ2633" i="2"/>
  <c r="AJ2634" i="2"/>
  <c r="AJ2635" i="2"/>
  <c r="AJ2636" i="2"/>
  <c r="AJ2637" i="2"/>
  <c r="AJ2638" i="2"/>
  <c r="AJ2639" i="2"/>
  <c r="AJ2640" i="2"/>
  <c r="AJ2641" i="2"/>
  <c r="AJ2642" i="2"/>
  <c r="AJ2643" i="2"/>
  <c r="AJ2644" i="2"/>
  <c r="AJ2645" i="2"/>
  <c r="AJ2646" i="2"/>
  <c r="AJ2647" i="2"/>
  <c r="AJ2648" i="2"/>
  <c r="AJ2649" i="2"/>
  <c r="AJ2650" i="2"/>
  <c r="AJ2651" i="2"/>
  <c r="AJ2652" i="2"/>
  <c r="AJ2653" i="2"/>
  <c r="AJ2654" i="2"/>
  <c r="AJ2655" i="2"/>
  <c r="AJ2656" i="2"/>
  <c r="AJ2657" i="2"/>
  <c r="AJ2658" i="2"/>
  <c r="AJ2659" i="2"/>
  <c r="AJ2660" i="2"/>
  <c r="AJ2661" i="2"/>
  <c r="AJ2662" i="2"/>
  <c r="AJ2663" i="2"/>
  <c r="AJ2664" i="2"/>
  <c r="AJ2665" i="2"/>
  <c r="AJ2666" i="2"/>
  <c r="AJ2667" i="2"/>
  <c r="AJ2668" i="2"/>
  <c r="AJ2669" i="2"/>
  <c r="AJ2670" i="2"/>
  <c r="AJ2671" i="2"/>
  <c r="AJ2672" i="2"/>
  <c r="AJ2673" i="2"/>
  <c r="AJ2674" i="2"/>
  <c r="AJ2675" i="2"/>
  <c r="AJ2676" i="2"/>
  <c r="AJ2677" i="2"/>
  <c r="AJ2678" i="2"/>
  <c r="AJ2679" i="2"/>
  <c r="AJ2680" i="2"/>
  <c r="AJ2681" i="2"/>
  <c r="AJ2682" i="2"/>
  <c r="AJ2683" i="2"/>
  <c r="AJ2684" i="2"/>
  <c r="AJ2685" i="2"/>
  <c r="AJ2686" i="2"/>
  <c r="AJ2687" i="2"/>
  <c r="AJ2688" i="2"/>
  <c r="AJ2689" i="2"/>
  <c r="AJ2690" i="2"/>
  <c r="AJ2691" i="2"/>
  <c r="AJ2692" i="2"/>
  <c r="AJ2693" i="2"/>
  <c r="AJ2694" i="2"/>
  <c r="AJ2695" i="2"/>
  <c r="AJ2696" i="2"/>
  <c r="AJ2697" i="2"/>
  <c r="AJ2698" i="2"/>
  <c r="AJ2699" i="2"/>
  <c r="AJ2700" i="2"/>
  <c r="AJ2701" i="2"/>
  <c r="AJ2702" i="2"/>
  <c r="AJ2703" i="2"/>
  <c r="AJ2704" i="2"/>
  <c r="AJ2705" i="2"/>
  <c r="AJ2706" i="2"/>
  <c r="AJ2707" i="2"/>
  <c r="AJ2708" i="2"/>
  <c r="AJ2709" i="2"/>
  <c r="AJ2710" i="2"/>
  <c r="AJ2711" i="2"/>
  <c r="AJ2712" i="2"/>
  <c r="AJ2713" i="2"/>
  <c r="AJ2714" i="2"/>
  <c r="AJ2715" i="2"/>
  <c r="AJ2716" i="2"/>
  <c r="AJ2717" i="2"/>
  <c r="AJ2718" i="2"/>
  <c r="AJ2719" i="2"/>
  <c r="AJ2720" i="2"/>
  <c r="AJ2721" i="2"/>
  <c r="AJ2722" i="2"/>
  <c r="AJ2723" i="2"/>
  <c r="AJ2724" i="2"/>
  <c r="AJ2725" i="2"/>
  <c r="AJ2726" i="2"/>
  <c r="AJ2727" i="2"/>
  <c r="AJ2728" i="2"/>
  <c r="AJ2729" i="2"/>
  <c r="AJ2730" i="2"/>
  <c r="AJ2731" i="2"/>
  <c r="AJ2732" i="2"/>
  <c r="AJ2733" i="2"/>
  <c r="AJ2734" i="2"/>
  <c r="AJ2735" i="2"/>
  <c r="AJ2736" i="2"/>
  <c r="AJ2737" i="2"/>
  <c r="AJ2738" i="2"/>
  <c r="AJ2739" i="2"/>
  <c r="AJ2740" i="2"/>
  <c r="AJ2741" i="2"/>
  <c r="AJ2742" i="2"/>
  <c r="AJ2743" i="2"/>
  <c r="AJ2744" i="2"/>
  <c r="AJ2745" i="2"/>
  <c r="AJ2746" i="2"/>
  <c r="AJ2747" i="2"/>
  <c r="AJ2748" i="2"/>
  <c r="AJ2749" i="2"/>
  <c r="AJ2750" i="2"/>
  <c r="AJ2751" i="2"/>
  <c r="AJ2752" i="2"/>
  <c r="AJ2753" i="2"/>
  <c r="AJ2754" i="2"/>
  <c r="AJ2755" i="2"/>
  <c r="AJ2756" i="2"/>
  <c r="AJ2757" i="2"/>
  <c r="AJ2758" i="2"/>
  <c r="AJ2759" i="2"/>
  <c r="AJ2760" i="2"/>
  <c r="AJ2761" i="2"/>
  <c r="AJ2762" i="2"/>
  <c r="AJ2763" i="2"/>
  <c r="AJ2764" i="2"/>
  <c r="AJ2765" i="2"/>
  <c r="AJ2766" i="2"/>
  <c r="AJ2767" i="2"/>
  <c r="AJ2768" i="2"/>
  <c r="AJ2769" i="2"/>
  <c r="AJ2770" i="2"/>
  <c r="AJ2771" i="2"/>
  <c r="AJ2772" i="2"/>
  <c r="AJ2773" i="2"/>
  <c r="AJ2774" i="2"/>
  <c r="AJ2775" i="2"/>
  <c r="AJ2776" i="2"/>
  <c r="AJ2777" i="2"/>
  <c r="AJ2778" i="2"/>
  <c r="AJ2779" i="2"/>
  <c r="AJ2780" i="2"/>
  <c r="AJ2781" i="2"/>
  <c r="AJ2782" i="2"/>
  <c r="AJ2783" i="2"/>
  <c r="AJ2784" i="2"/>
  <c r="AJ2785" i="2"/>
  <c r="AJ2786" i="2"/>
  <c r="AJ2787" i="2"/>
  <c r="AJ2788" i="2"/>
  <c r="AJ2789" i="2"/>
  <c r="AJ2790" i="2"/>
  <c r="AJ2791" i="2"/>
  <c r="AJ2792" i="2"/>
  <c r="AJ2793" i="2"/>
  <c r="AJ2794" i="2"/>
  <c r="AJ2795" i="2"/>
  <c r="AJ2796" i="2"/>
  <c r="AJ2797" i="2"/>
  <c r="AJ2798" i="2"/>
  <c r="AJ2799" i="2"/>
  <c r="AJ2800" i="2"/>
  <c r="AJ2801" i="2"/>
  <c r="AJ2802" i="2"/>
  <c r="AJ2803" i="2"/>
  <c r="AJ2804" i="2"/>
  <c r="AJ2805" i="2"/>
  <c r="AJ2806" i="2"/>
  <c r="AJ2807" i="2"/>
  <c r="AJ2808" i="2"/>
  <c r="AJ2809" i="2"/>
  <c r="AJ2810" i="2"/>
  <c r="AJ2811" i="2"/>
  <c r="AJ2812" i="2"/>
  <c r="AJ2813" i="2"/>
  <c r="AJ2814" i="2"/>
  <c r="AJ2815" i="2"/>
  <c r="AJ2816" i="2"/>
  <c r="AJ2817" i="2"/>
  <c r="AJ2818" i="2"/>
  <c r="AJ2819" i="2"/>
  <c r="AJ2820" i="2"/>
  <c r="AJ2821" i="2"/>
  <c r="AJ2822" i="2"/>
  <c r="AJ2823" i="2"/>
  <c r="AJ2824" i="2"/>
  <c r="AJ2825" i="2"/>
  <c r="AJ2826" i="2"/>
  <c r="AJ2827" i="2"/>
  <c r="AJ2828" i="2"/>
  <c r="AJ2829" i="2"/>
  <c r="AJ2830" i="2"/>
  <c r="AJ2831" i="2"/>
  <c r="AJ2832" i="2"/>
  <c r="AJ2833" i="2"/>
  <c r="AJ2834" i="2"/>
  <c r="AJ2835" i="2"/>
  <c r="AJ2836" i="2"/>
  <c r="AJ2837" i="2"/>
  <c r="AJ2838" i="2"/>
  <c r="AJ2839" i="2"/>
  <c r="AJ2840" i="2"/>
  <c r="AJ2841" i="2"/>
  <c r="AJ2842" i="2"/>
  <c r="AJ2843" i="2"/>
  <c r="AJ2844" i="2"/>
  <c r="AJ2845" i="2"/>
  <c r="AJ2846" i="2"/>
  <c r="AJ2847" i="2"/>
  <c r="AJ2848" i="2"/>
  <c r="AJ2849" i="2"/>
  <c r="AJ2850" i="2"/>
  <c r="AJ2851" i="2"/>
  <c r="AJ2852" i="2"/>
  <c r="AJ2853" i="2"/>
  <c r="AJ2854" i="2"/>
  <c r="AJ2855" i="2"/>
  <c r="AJ2856" i="2"/>
  <c r="AJ2857" i="2"/>
  <c r="AJ2858" i="2"/>
  <c r="AJ2859" i="2"/>
  <c r="AJ2860" i="2"/>
  <c r="AJ2861" i="2"/>
  <c r="AJ2862" i="2"/>
  <c r="AJ2863" i="2"/>
  <c r="AJ2864" i="2"/>
  <c r="AJ2865" i="2"/>
  <c r="AJ2866" i="2"/>
  <c r="AJ2867" i="2"/>
  <c r="AJ2868" i="2"/>
  <c r="AJ2869" i="2"/>
  <c r="AJ2870" i="2"/>
  <c r="AJ2871" i="2"/>
  <c r="AJ2872" i="2"/>
  <c r="AJ2873" i="2"/>
  <c r="AJ2874" i="2"/>
  <c r="AJ2875" i="2"/>
  <c r="AJ2876" i="2"/>
  <c r="AJ2877" i="2"/>
  <c r="AJ2878" i="2"/>
  <c r="AJ2879" i="2"/>
  <c r="AJ2880" i="2"/>
  <c r="AJ2881" i="2"/>
  <c r="AJ2882" i="2"/>
  <c r="AJ2883" i="2"/>
  <c r="AJ2884" i="2"/>
  <c r="AJ2885" i="2"/>
  <c r="AJ2886" i="2"/>
  <c r="AJ2887" i="2"/>
  <c r="AJ2888" i="2"/>
  <c r="AJ2889" i="2"/>
  <c r="AJ2890" i="2"/>
  <c r="AJ2891" i="2"/>
  <c r="AJ2892" i="2"/>
  <c r="AJ2893" i="2"/>
  <c r="AJ2894" i="2"/>
  <c r="AJ2895" i="2"/>
  <c r="AJ2896" i="2"/>
  <c r="AJ2897" i="2"/>
  <c r="AJ2898" i="2"/>
  <c r="AJ2899" i="2"/>
  <c r="AJ2900" i="2"/>
  <c r="AJ2901" i="2"/>
  <c r="AJ2902" i="2"/>
  <c r="AJ2903" i="2"/>
  <c r="AJ2904" i="2"/>
  <c r="AJ2905" i="2"/>
  <c r="AJ2906" i="2"/>
  <c r="AJ2907" i="2"/>
  <c r="AJ2908" i="2"/>
  <c r="AJ2909" i="2"/>
  <c r="AJ2910" i="2"/>
  <c r="AJ2911" i="2"/>
  <c r="AJ2912" i="2"/>
  <c r="AJ2913" i="2"/>
  <c r="AJ2914" i="2"/>
  <c r="AJ2915" i="2"/>
  <c r="AJ2916" i="2"/>
  <c r="AJ2917" i="2"/>
  <c r="AJ2918" i="2"/>
  <c r="AJ2919" i="2"/>
  <c r="AJ2920" i="2"/>
  <c r="AJ2921" i="2"/>
  <c r="AJ2922" i="2"/>
  <c r="AJ2923" i="2"/>
  <c r="AJ2924" i="2"/>
  <c r="AJ2925" i="2"/>
  <c r="AJ2926" i="2"/>
  <c r="AJ2927" i="2"/>
  <c r="AJ2928" i="2"/>
  <c r="AJ2929" i="2"/>
  <c r="AJ2930" i="2"/>
  <c r="AJ2931" i="2"/>
  <c r="AJ2932" i="2"/>
  <c r="AJ2933" i="2"/>
  <c r="AJ2934" i="2"/>
  <c r="AJ2935" i="2"/>
  <c r="AJ2936" i="2"/>
  <c r="AJ2937" i="2"/>
  <c r="AJ2938" i="2"/>
  <c r="AJ2939" i="2"/>
  <c r="AJ2940" i="2"/>
  <c r="AJ2941" i="2"/>
  <c r="AJ2942" i="2"/>
  <c r="AJ2943" i="2"/>
  <c r="AJ2944" i="2"/>
  <c r="AJ2945" i="2"/>
  <c r="AJ2946" i="2"/>
  <c r="AJ2947" i="2"/>
  <c r="AJ2948" i="2"/>
  <c r="AJ2949" i="2"/>
  <c r="AJ2950" i="2"/>
  <c r="AJ2951" i="2"/>
  <c r="AJ2952" i="2"/>
  <c r="AJ2953" i="2"/>
  <c r="AJ2954" i="2"/>
  <c r="AJ2955" i="2"/>
  <c r="AJ2956" i="2"/>
  <c r="AJ2957" i="2"/>
  <c r="AJ2958" i="2"/>
  <c r="AJ2959" i="2"/>
  <c r="AJ2960" i="2"/>
  <c r="AJ2961" i="2"/>
  <c r="AJ2962" i="2"/>
  <c r="AJ2963" i="2"/>
  <c r="AJ2964" i="2"/>
  <c r="AJ2965" i="2"/>
  <c r="AJ2966" i="2"/>
  <c r="AJ2967" i="2"/>
  <c r="AJ2968" i="2"/>
  <c r="AJ2969" i="2"/>
  <c r="AJ2970" i="2"/>
  <c r="AJ2971" i="2"/>
  <c r="AJ2972" i="2"/>
  <c r="AJ2973" i="2"/>
  <c r="AJ2974" i="2"/>
  <c r="AJ2975" i="2"/>
  <c r="AJ2976" i="2"/>
  <c r="AJ2977" i="2"/>
  <c r="AJ2978" i="2"/>
  <c r="AJ2979" i="2"/>
  <c r="AJ2980" i="2"/>
  <c r="AJ2981" i="2"/>
  <c r="AJ2982" i="2"/>
  <c r="AJ2983" i="2"/>
  <c r="AJ2984" i="2"/>
  <c r="AJ2985" i="2"/>
  <c r="AJ2986" i="2"/>
  <c r="AJ2987" i="2"/>
  <c r="AJ2988" i="2"/>
  <c r="AJ2989" i="2"/>
  <c r="AJ2990" i="2"/>
  <c r="AJ2991" i="2"/>
  <c r="AJ2992" i="2"/>
  <c r="AJ2993" i="2"/>
  <c r="AJ2994" i="2"/>
  <c r="AJ2995" i="2"/>
  <c r="AJ2996" i="2"/>
  <c r="AJ2997" i="2"/>
  <c r="AJ2998" i="2"/>
  <c r="AJ2999" i="2"/>
  <c r="AJ3000" i="2"/>
  <c r="AJ3001" i="2"/>
  <c r="AJ3002" i="2"/>
  <c r="AJ3003" i="2"/>
  <c r="AJ3004" i="2"/>
  <c r="AJ3005" i="2"/>
  <c r="AJ3006" i="2"/>
  <c r="AJ3007" i="2"/>
  <c r="AJ3008" i="2"/>
  <c r="AJ3009" i="2"/>
  <c r="AJ3010" i="2"/>
  <c r="AJ3011" i="2"/>
  <c r="AJ3012" i="2"/>
  <c r="AJ3013" i="2"/>
  <c r="AJ3014" i="2"/>
  <c r="AJ3015" i="2"/>
  <c r="AJ3016" i="2"/>
  <c r="AJ3017" i="2"/>
  <c r="AJ3018" i="2"/>
  <c r="AJ3019" i="2"/>
  <c r="AJ3020" i="2"/>
  <c r="AJ3021" i="2"/>
  <c r="AJ3022" i="2"/>
  <c r="AJ3023" i="2"/>
  <c r="AJ3024" i="2"/>
  <c r="AJ3025" i="2"/>
  <c r="AJ3026" i="2"/>
  <c r="AJ3027" i="2"/>
  <c r="AJ3028" i="2"/>
  <c r="AJ3029" i="2"/>
  <c r="AJ3030" i="2"/>
  <c r="AJ3031" i="2"/>
  <c r="AJ3032" i="2"/>
  <c r="AJ3033" i="2"/>
  <c r="AJ3034" i="2"/>
  <c r="AJ3035" i="2"/>
  <c r="AJ3036" i="2"/>
  <c r="AJ3037" i="2"/>
  <c r="AJ3038" i="2"/>
  <c r="AJ3039" i="2"/>
  <c r="AJ3040" i="2"/>
  <c r="AJ3041" i="2"/>
  <c r="AJ3042" i="2"/>
  <c r="AJ3043" i="2"/>
  <c r="AJ3044" i="2"/>
  <c r="AJ3045" i="2"/>
  <c r="AJ3046" i="2"/>
  <c r="AJ3047" i="2"/>
  <c r="AJ3048" i="2"/>
  <c r="AJ3049" i="2"/>
  <c r="AJ3050" i="2"/>
  <c r="AJ3051" i="2"/>
  <c r="AJ3052" i="2"/>
  <c r="AJ3053" i="2"/>
  <c r="AJ3054" i="2"/>
  <c r="AJ3055" i="2"/>
  <c r="AJ3056" i="2"/>
  <c r="AJ3057" i="2"/>
  <c r="AJ3058" i="2"/>
  <c r="AJ3059" i="2"/>
  <c r="AJ3060" i="2"/>
  <c r="AJ3061" i="2"/>
  <c r="AJ3062" i="2"/>
  <c r="AJ3063" i="2"/>
  <c r="AJ3064" i="2"/>
  <c r="AJ3065" i="2"/>
  <c r="AJ3066" i="2"/>
  <c r="AJ3067" i="2"/>
  <c r="AJ3068" i="2"/>
  <c r="AJ3069" i="2"/>
  <c r="AJ3070" i="2"/>
  <c r="AJ3071" i="2"/>
  <c r="AJ3072" i="2"/>
  <c r="AJ3073" i="2"/>
  <c r="AJ3074" i="2"/>
  <c r="AJ3075" i="2"/>
  <c r="AJ3076" i="2"/>
  <c r="AJ3077" i="2"/>
  <c r="AJ3078" i="2"/>
  <c r="AJ3079" i="2"/>
  <c r="AJ3080" i="2"/>
  <c r="AJ3081" i="2"/>
  <c r="AJ3082" i="2"/>
  <c r="AJ3083" i="2"/>
  <c r="AJ3084" i="2"/>
  <c r="AJ3085" i="2"/>
  <c r="AJ3086" i="2"/>
  <c r="AJ3087" i="2"/>
  <c r="AJ3088" i="2"/>
  <c r="AJ3089" i="2"/>
  <c r="AJ3090" i="2"/>
  <c r="AJ3091" i="2"/>
  <c r="AJ3092" i="2"/>
  <c r="AJ3093" i="2"/>
  <c r="AJ3094" i="2"/>
  <c r="AJ3095" i="2"/>
  <c r="AJ3096" i="2"/>
  <c r="AJ3097" i="2"/>
  <c r="AJ3098" i="2"/>
  <c r="AJ3099" i="2"/>
  <c r="AJ3100" i="2"/>
  <c r="AJ3101" i="2"/>
  <c r="AJ3102" i="2"/>
  <c r="AJ3103" i="2"/>
  <c r="AJ3104" i="2"/>
  <c r="AJ3105" i="2"/>
  <c r="AJ3106" i="2"/>
  <c r="AJ3107" i="2"/>
  <c r="AJ3108" i="2"/>
  <c r="AJ3109" i="2"/>
  <c r="AJ3110" i="2"/>
  <c r="AJ3111" i="2"/>
  <c r="AJ3112" i="2"/>
  <c r="AJ3113" i="2"/>
  <c r="AJ3114" i="2"/>
  <c r="AJ3115" i="2"/>
  <c r="AJ3116" i="2"/>
  <c r="AJ3117" i="2"/>
  <c r="AJ3118" i="2"/>
  <c r="AJ3119" i="2"/>
  <c r="AJ3120" i="2"/>
  <c r="AJ3121" i="2"/>
  <c r="AJ3122" i="2"/>
  <c r="AJ3123" i="2"/>
  <c r="AJ3124" i="2"/>
  <c r="AJ3125" i="2"/>
  <c r="AJ3126" i="2"/>
  <c r="AJ3127" i="2"/>
  <c r="AJ3128" i="2"/>
  <c r="AJ3129" i="2"/>
  <c r="AJ3130" i="2"/>
  <c r="AJ3131" i="2"/>
  <c r="AJ3132" i="2"/>
  <c r="AJ3133" i="2"/>
  <c r="AJ3134" i="2"/>
  <c r="AJ3135" i="2"/>
  <c r="AJ3136" i="2"/>
  <c r="AJ3137" i="2"/>
  <c r="AJ3138" i="2"/>
  <c r="AJ3139" i="2"/>
  <c r="AJ3140" i="2"/>
  <c r="AJ3141" i="2"/>
  <c r="AJ3142" i="2"/>
  <c r="AJ3143" i="2"/>
  <c r="AJ3144" i="2"/>
  <c r="AJ3145" i="2"/>
  <c r="AJ3146" i="2"/>
  <c r="AJ3147" i="2"/>
  <c r="AJ3148" i="2"/>
  <c r="AJ3149" i="2"/>
  <c r="AJ3150" i="2"/>
  <c r="AJ3151" i="2"/>
  <c r="AJ3152" i="2"/>
  <c r="AJ3153" i="2"/>
  <c r="AJ3154" i="2"/>
  <c r="AJ3155" i="2"/>
  <c r="AJ3156" i="2"/>
  <c r="AJ3157" i="2"/>
  <c r="AJ3158" i="2"/>
  <c r="AJ3159" i="2"/>
  <c r="AJ3160" i="2"/>
  <c r="AJ3161" i="2"/>
  <c r="AJ3162" i="2"/>
  <c r="AJ3163" i="2"/>
  <c r="AJ3164" i="2"/>
  <c r="AJ3165" i="2"/>
  <c r="AJ3166" i="2"/>
  <c r="AJ3167" i="2"/>
  <c r="AJ3168" i="2"/>
  <c r="AJ3169" i="2"/>
  <c r="AJ3170" i="2"/>
  <c r="AJ3171" i="2"/>
  <c r="AJ3172" i="2"/>
  <c r="AJ3173" i="2"/>
  <c r="AJ3174" i="2"/>
  <c r="AJ3175" i="2"/>
  <c r="AJ3176" i="2"/>
  <c r="AJ3177" i="2"/>
  <c r="AJ3178" i="2"/>
  <c r="AJ3179" i="2"/>
  <c r="AJ3180" i="2"/>
  <c r="AJ3181" i="2"/>
  <c r="AJ3182" i="2"/>
  <c r="AJ3183" i="2"/>
  <c r="AJ3184" i="2"/>
  <c r="AJ3185" i="2"/>
  <c r="AJ3186" i="2"/>
  <c r="AJ3187" i="2"/>
  <c r="AJ3188" i="2"/>
  <c r="AJ3189" i="2"/>
  <c r="AJ3190" i="2"/>
  <c r="AJ3191" i="2"/>
  <c r="AJ3192" i="2"/>
  <c r="AJ3193" i="2"/>
  <c r="AJ3194" i="2"/>
  <c r="AJ3195" i="2"/>
  <c r="AJ3196" i="2"/>
  <c r="AJ3197" i="2"/>
  <c r="AJ3198" i="2"/>
  <c r="AJ3199" i="2"/>
  <c r="AJ3200" i="2"/>
  <c r="AJ3201" i="2"/>
  <c r="AJ3202" i="2"/>
  <c r="AJ3203" i="2"/>
  <c r="AJ3204" i="2"/>
  <c r="AJ3205" i="2"/>
  <c r="AJ3206" i="2"/>
  <c r="AJ3207" i="2"/>
  <c r="AJ3208" i="2"/>
  <c r="AJ3209" i="2"/>
  <c r="AJ3210" i="2"/>
  <c r="AJ3211" i="2"/>
  <c r="AJ3212" i="2"/>
  <c r="AJ3213" i="2"/>
  <c r="AJ3214" i="2"/>
  <c r="AJ3215" i="2"/>
  <c r="AJ3216" i="2"/>
  <c r="AJ3217" i="2"/>
  <c r="AJ3218" i="2"/>
  <c r="AJ3219" i="2"/>
  <c r="AJ3220" i="2"/>
  <c r="AJ3221" i="2"/>
  <c r="AJ3222" i="2"/>
  <c r="AJ3223" i="2"/>
  <c r="AJ3224" i="2"/>
  <c r="AJ3225" i="2"/>
  <c r="AJ3226" i="2"/>
  <c r="AJ3227" i="2"/>
  <c r="AJ3228" i="2"/>
  <c r="AJ3229" i="2"/>
  <c r="AJ3230" i="2"/>
  <c r="AJ3231" i="2"/>
  <c r="AJ3232" i="2"/>
  <c r="AJ3233" i="2"/>
  <c r="AJ3234" i="2"/>
  <c r="AJ3235" i="2"/>
  <c r="AJ3236" i="2"/>
  <c r="AJ3237" i="2"/>
  <c r="AJ3238" i="2"/>
  <c r="AJ3239" i="2"/>
  <c r="AJ3240" i="2"/>
  <c r="AJ3241" i="2"/>
  <c r="AJ3242" i="2"/>
  <c r="AJ3243" i="2"/>
  <c r="AJ3244" i="2"/>
  <c r="AJ3245" i="2"/>
  <c r="AJ3246" i="2"/>
  <c r="AJ3247" i="2"/>
  <c r="AJ3248" i="2"/>
  <c r="AJ3249" i="2"/>
  <c r="AJ3250" i="2"/>
  <c r="AJ3251" i="2"/>
  <c r="AJ3252" i="2"/>
  <c r="AJ3253" i="2"/>
  <c r="AJ3254" i="2"/>
  <c r="AJ3255" i="2"/>
  <c r="AJ3256" i="2"/>
  <c r="AJ3257" i="2"/>
  <c r="AJ3258" i="2"/>
  <c r="AJ3259" i="2"/>
  <c r="AJ3260" i="2"/>
  <c r="AJ3261" i="2"/>
  <c r="AJ3262" i="2"/>
  <c r="AJ3263" i="2"/>
  <c r="AJ3264" i="2"/>
  <c r="AJ3265" i="2"/>
  <c r="AJ3266" i="2"/>
  <c r="AJ3267" i="2"/>
  <c r="AJ3268" i="2"/>
  <c r="AJ3269" i="2"/>
  <c r="AJ3270" i="2"/>
  <c r="AJ3271" i="2"/>
  <c r="AJ3272" i="2"/>
  <c r="AJ3273" i="2"/>
  <c r="AJ3274" i="2"/>
  <c r="AJ3275" i="2"/>
  <c r="AJ3276" i="2"/>
  <c r="AJ3277" i="2"/>
  <c r="AJ3278" i="2"/>
  <c r="AJ3279" i="2"/>
  <c r="AJ3280" i="2"/>
  <c r="AJ3281" i="2"/>
  <c r="AJ3282" i="2"/>
  <c r="AJ3283" i="2"/>
  <c r="AJ3284" i="2"/>
  <c r="AJ3285" i="2"/>
  <c r="AJ3286" i="2"/>
  <c r="AJ3287" i="2"/>
  <c r="AJ3288" i="2"/>
  <c r="AJ3289" i="2"/>
  <c r="AJ3290" i="2"/>
  <c r="AJ3291" i="2"/>
  <c r="AJ3292" i="2"/>
  <c r="AJ3293" i="2"/>
  <c r="AJ3294" i="2"/>
  <c r="AJ3295" i="2"/>
  <c r="AJ3296" i="2"/>
  <c r="AJ3297" i="2"/>
  <c r="AJ3298" i="2"/>
  <c r="AJ3299" i="2"/>
  <c r="AJ3300" i="2"/>
  <c r="AJ3301" i="2"/>
  <c r="AJ3302" i="2"/>
  <c r="AJ3303" i="2"/>
  <c r="AJ3304" i="2"/>
  <c r="AJ3305" i="2"/>
  <c r="AJ3306" i="2"/>
  <c r="AJ3307" i="2"/>
  <c r="AJ3308" i="2"/>
  <c r="AJ3309" i="2"/>
  <c r="AJ3310" i="2"/>
  <c r="AJ3311" i="2"/>
  <c r="AJ3312" i="2"/>
  <c r="AJ3313" i="2"/>
  <c r="AJ3314" i="2"/>
  <c r="AJ3315" i="2"/>
  <c r="AJ3316" i="2"/>
  <c r="AJ3317" i="2"/>
  <c r="AJ3318" i="2"/>
  <c r="AJ3319" i="2"/>
  <c r="AJ3320" i="2"/>
  <c r="AJ3321" i="2"/>
  <c r="AJ3322" i="2"/>
  <c r="AJ3323" i="2"/>
  <c r="AJ3324" i="2"/>
  <c r="AJ3325" i="2"/>
  <c r="AJ3326" i="2"/>
  <c r="AJ3327" i="2"/>
  <c r="AJ3328" i="2"/>
  <c r="AJ3329" i="2"/>
  <c r="AJ3330" i="2"/>
  <c r="AJ3331" i="2"/>
  <c r="AJ3332" i="2"/>
  <c r="AJ3333" i="2"/>
  <c r="AJ3334" i="2"/>
  <c r="AJ3335" i="2"/>
  <c r="AJ3336" i="2"/>
  <c r="AJ3337" i="2"/>
  <c r="AJ3338" i="2"/>
  <c r="AJ3339" i="2"/>
  <c r="AJ3340" i="2"/>
  <c r="AJ3341" i="2"/>
  <c r="AJ3342" i="2"/>
  <c r="AJ3343" i="2"/>
  <c r="AJ3344" i="2"/>
  <c r="AJ3345" i="2"/>
  <c r="AJ3346" i="2"/>
  <c r="AJ3347" i="2"/>
  <c r="AJ3348" i="2"/>
  <c r="AJ3349" i="2"/>
  <c r="AJ3350" i="2"/>
  <c r="AJ3351" i="2"/>
  <c r="AJ3352" i="2"/>
  <c r="AJ3353" i="2"/>
  <c r="AJ3354" i="2"/>
  <c r="AJ3355" i="2"/>
  <c r="AJ3356" i="2"/>
  <c r="AJ3357" i="2"/>
  <c r="AJ3358" i="2"/>
  <c r="AJ3359" i="2"/>
  <c r="AJ3360" i="2"/>
  <c r="AJ3361" i="2"/>
  <c r="AJ3362" i="2"/>
  <c r="AJ3363" i="2"/>
  <c r="AJ3364" i="2"/>
  <c r="AJ3365" i="2"/>
  <c r="AJ3366" i="2"/>
  <c r="AJ3367" i="2"/>
  <c r="AJ3368" i="2"/>
  <c r="AJ3369" i="2"/>
  <c r="AJ3370" i="2"/>
  <c r="AJ3371" i="2"/>
  <c r="AJ3372" i="2"/>
  <c r="AJ3373" i="2"/>
  <c r="AJ3374" i="2"/>
  <c r="AJ3375" i="2"/>
  <c r="AJ3376" i="2"/>
  <c r="AJ3377" i="2"/>
  <c r="AJ3378" i="2"/>
  <c r="AJ3379" i="2"/>
  <c r="AJ3380" i="2"/>
  <c r="AJ3381" i="2"/>
  <c r="AJ3382" i="2"/>
  <c r="AJ3383" i="2"/>
  <c r="AJ3384" i="2"/>
  <c r="AJ3385" i="2"/>
  <c r="AJ3386" i="2"/>
  <c r="AJ3387" i="2"/>
  <c r="AJ3388" i="2"/>
  <c r="AJ3389" i="2"/>
  <c r="AJ3390" i="2"/>
  <c r="AJ3391" i="2"/>
  <c r="AJ3392" i="2"/>
  <c r="AJ3393" i="2"/>
  <c r="AJ3394" i="2"/>
  <c r="AJ3395" i="2"/>
  <c r="AJ3396" i="2"/>
  <c r="AJ3397" i="2"/>
  <c r="AJ3398" i="2"/>
  <c r="AJ3399" i="2"/>
  <c r="AJ3400" i="2"/>
  <c r="AJ3401" i="2"/>
  <c r="AJ3402" i="2"/>
  <c r="AJ3403" i="2"/>
  <c r="AJ3404" i="2"/>
  <c r="AJ3405" i="2"/>
  <c r="AJ3406" i="2"/>
  <c r="AJ3407" i="2"/>
  <c r="AJ3408" i="2"/>
  <c r="AJ3409" i="2"/>
  <c r="AJ3410" i="2"/>
  <c r="AJ3411" i="2"/>
  <c r="AJ3412" i="2"/>
  <c r="AJ3413" i="2"/>
  <c r="AJ3414" i="2"/>
  <c r="AJ3415" i="2"/>
  <c r="AJ3416" i="2"/>
  <c r="AJ3417" i="2"/>
  <c r="AJ3418" i="2"/>
  <c r="AJ3419" i="2"/>
  <c r="AJ3420" i="2"/>
  <c r="AJ3421" i="2"/>
  <c r="AJ3422" i="2"/>
  <c r="AJ3423" i="2"/>
  <c r="AJ3424" i="2"/>
  <c r="AJ3425" i="2"/>
  <c r="AJ3426" i="2"/>
  <c r="AJ3427" i="2"/>
  <c r="AJ3428" i="2"/>
  <c r="AJ3429" i="2"/>
  <c r="AJ3430" i="2"/>
  <c r="AJ3431" i="2"/>
  <c r="AJ3432" i="2"/>
  <c r="AJ3433" i="2"/>
  <c r="AJ3434" i="2"/>
  <c r="AJ3435" i="2"/>
  <c r="AJ3436" i="2"/>
  <c r="AJ3437" i="2"/>
  <c r="AJ3438" i="2"/>
  <c r="AJ3439" i="2"/>
  <c r="AJ3440" i="2"/>
  <c r="AJ3441" i="2"/>
  <c r="AJ3442" i="2"/>
  <c r="AJ3443" i="2"/>
  <c r="AJ3444" i="2"/>
  <c r="AJ3445" i="2"/>
  <c r="AJ3446" i="2"/>
  <c r="AJ3447" i="2"/>
  <c r="AJ3448" i="2"/>
  <c r="AJ3449" i="2"/>
  <c r="AJ3450" i="2"/>
  <c r="AJ3451" i="2"/>
  <c r="AJ3452" i="2"/>
  <c r="AJ3453" i="2"/>
  <c r="AJ3454" i="2"/>
  <c r="AJ3455" i="2"/>
  <c r="AJ3456" i="2"/>
  <c r="AJ3457" i="2"/>
  <c r="AJ3458" i="2"/>
  <c r="AJ3459" i="2"/>
  <c r="AJ3460" i="2"/>
  <c r="AJ3461" i="2"/>
  <c r="AJ3462" i="2"/>
  <c r="AJ3463" i="2"/>
  <c r="AJ3464" i="2"/>
  <c r="AJ3465" i="2"/>
  <c r="AJ3466" i="2"/>
  <c r="AJ3467" i="2"/>
  <c r="AJ3468" i="2"/>
  <c r="AJ3469" i="2"/>
  <c r="AJ3470" i="2"/>
  <c r="AJ3471" i="2"/>
  <c r="AJ3472" i="2"/>
  <c r="AJ3473" i="2"/>
  <c r="AJ3474" i="2"/>
  <c r="AJ3475" i="2"/>
  <c r="AJ3476" i="2"/>
  <c r="AJ3477" i="2"/>
  <c r="AJ3478" i="2"/>
  <c r="AJ3479" i="2"/>
  <c r="AJ3480" i="2"/>
  <c r="AJ3481" i="2"/>
  <c r="AJ3482" i="2"/>
  <c r="AJ3483" i="2"/>
  <c r="AJ3484" i="2"/>
  <c r="AJ3485" i="2"/>
  <c r="AJ3486" i="2"/>
  <c r="AJ3487" i="2"/>
  <c r="AJ3488" i="2"/>
  <c r="AJ3489" i="2"/>
  <c r="AJ3490" i="2"/>
  <c r="AJ3491" i="2"/>
  <c r="AJ3492" i="2"/>
  <c r="AJ3493" i="2"/>
  <c r="AJ3494" i="2"/>
  <c r="AJ3495" i="2"/>
  <c r="AJ3496" i="2"/>
  <c r="AJ3497" i="2"/>
  <c r="AJ3498" i="2"/>
  <c r="AJ3499" i="2"/>
  <c r="AJ3500" i="2"/>
  <c r="AJ3501" i="2"/>
  <c r="AJ3502" i="2"/>
  <c r="AJ3503" i="2"/>
  <c r="AJ3504" i="2"/>
  <c r="AJ3505" i="2"/>
  <c r="AJ3506" i="2"/>
  <c r="AJ3507" i="2"/>
  <c r="AJ3508" i="2"/>
  <c r="AJ3509" i="2"/>
  <c r="AJ3510" i="2"/>
  <c r="AJ3511" i="2"/>
  <c r="AJ3512" i="2"/>
  <c r="AJ3513" i="2"/>
  <c r="AJ3514" i="2"/>
  <c r="AJ3515" i="2"/>
  <c r="AJ3516" i="2"/>
  <c r="AJ3517" i="2"/>
  <c r="AJ3518" i="2"/>
  <c r="AJ3519" i="2"/>
  <c r="AJ3520" i="2"/>
  <c r="AJ3521" i="2"/>
  <c r="AJ3522" i="2"/>
  <c r="AJ3523" i="2"/>
  <c r="AJ3524" i="2"/>
  <c r="AJ3525" i="2"/>
  <c r="AJ3526" i="2"/>
  <c r="AJ3527" i="2"/>
  <c r="AJ3528" i="2"/>
  <c r="AJ3529" i="2"/>
  <c r="AJ3530" i="2"/>
  <c r="AJ3531" i="2"/>
  <c r="AJ3532" i="2"/>
  <c r="AJ3533" i="2"/>
  <c r="AJ3534" i="2"/>
  <c r="AJ3535" i="2"/>
  <c r="AJ3536" i="2"/>
  <c r="AJ3537" i="2"/>
  <c r="AJ3538" i="2"/>
  <c r="AJ3539" i="2"/>
  <c r="AJ3540" i="2"/>
  <c r="AJ3541" i="2"/>
  <c r="AJ3542" i="2"/>
  <c r="AJ3543" i="2"/>
  <c r="AJ3544" i="2"/>
  <c r="AJ3545" i="2"/>
  <c r="AJ3546" i="2"/>
  <c r="AJ3547" i="2"/>
  <c r="AJ3548" i="2"/>
  <c r="AJ3549" i="2"/>
  <c r="AJ3550" i="2"/>
  <c r="AJ3551" i="2"/>
  <c r="AJ3552" i="2"/>
  <c r="AJ3553" i="2"/>
  <c r="AJ3554" i="2"/>
  <c r="AJ3555" i="2"/>
  <c r="AJ3556" i="2"/>
  <c r="AJ3557" i="2"/>
  <c r="AJ3558" i="2"/>
  <c r="AJ3559" i="2"/>
  <c r="AJ3560" i="2"/>
  <c r="AJ3561" i="2"/>
  <c r="AJ3562" i="2"/>
  <c r="AJ3563" i="2"/>
  <c r="AJ3564" i="2"/>
  <c r="AJ3565" i="2"/>
  <c r="AJ3566" i="2"/>
  <c r="AJ3567" i="2"/>
  <c r="AJ3568" i="2"/>
  <c r="AJ3569" i="2"/>
  <c r="AJ3570" i="2"/>
  <c r="AJ3571" i="2"/>
  <c r="AJ3572" i="2"/>
  <c r="AJ3573" i="2"/>
  <c r="AJ3574" i="2"/>
  <c r="AJ3575" i="2"/>
  <c r="AJ3576" i="2"/>
  <c r="AJ3577" i="2"/>
  <c r="AJ3578" i="2"/>
  <c r="AJ3579" i="2"/>
  <c r="AJ3580" i="2"/>
  <c r="AJ3581" i="2"/>
  <c r="AJ3582" i="2"/>
  <c r="AJ3583" i="2"/>
  <c r="AJ3584" i="2"/>
  <c r="AJ3585" i="2"/>
  <c r="AJ3586" i="2"/>
  <c r="AJ3587" i="2"/>
  <c r="AJ3588" i="2"/>
  <c r="AJ3589" i="2"/>
  <c r="AJ3590" i="2"/>
  <c r="AJ3591" i="2"/>
  <c r="AJ3592" i="2"/>
  <c r="AJ3593" i="2"/>
  <c r="AJ3594" i="2"/>
  <c r="AJ3595" i="2"/>
  <c r="AJ3596" i="2"/>
  <c r="AJ3597" i="2"/>
  <c r="AJ3598" i="2"/>
  <c r="AJ3599" i="2"/>
  <c r="AJ3600" i="2"/>
  <c r="AJ3601" i="2"/>
  <c r="AJ3602" i="2"/>
  <c r="AJ3603" i="2"/>
  <c r="AJ3604" i="2"/>
  <c r="AJ3605" i="2"/>
  <c r="AJ3606" i="2"/>
  <c r="AJ3607" i="2"/>
  <c r="AJ3608" i="2"/>
  <c r="AJ3609" i="2"/>
  <c r="AJ3610" i="2"/>
  <c r="AJ3611" i="2"/>
  <c r="AJ3612" i="2"/>
  <c r="AJ3613" i="2"/>
  <c r="AJ3614" i="2"/>
  <c r="AJ3615" i="2"/>
  <c r="AJ3616" i="2"/>
  <c r="AJ3617" i="2"/>
  <c r="AJ3618" i="2"/>
  <c r="AJ3619" i="2"/>
  <c r="AJ3620" i="2"/>
  <c r="AJ3621" i="2"/>
  <c r="AJ3622" i="2"/>
  <c r="AJ3623" i="2"/>
  <c r="AJ3624" i="2"/>
  <c r="AJ3625" i="2"/>
  <c r="AJ3626" i="2"/>
  <c r="AJ3627" i="2"/>
  <c r="AJ3628" i="2"/>
  <c r="AJ3629" i="2"/>
  <c r="AJ3630" i="2"/>
  <c r="AJ3631" i="2"/>
  <c r="AJ3632" i="2"/>
  <c r="AJ3633" i="2"/>
  <c r="AJ3634" i="2"/>
  <c r="AJ3635" i="2"/>
  <c r="AJ3636" i="2"/>
  <c r="AJ3637" i="2"/>
  <c r="AJ3638" i="2"/>
  <c r="AJ3639" i="2"/>
  <c r="AJ3640" i="2"/>
  <c r="AJ3641" i="2"/>
  <c r="AJ3642" i="2"/>
  <c r="AJ3643" i="2"/>
  <c r="AJ3644" i="2"/>
  <c r="AJ3645" i="2"/>
  <c r="AJ3646" i="2"/>
  <c r="AJ3647" i="2"/>
  <c r="AJ3648" i="2"/>
  <c r="AJ3649" i="2"/>
  <c r="AJ3650" i="2"/>
  <c r="AJ3651" i="2"/>
  <c r="AJ3652" i="2"/>
  <c r="AJ3653" i="2"/>
  <c r="AJ3654" i="2"/>
  <c r="AJ3655" i="2"/>
  <c r="AJ3656" i="2"/>
  <c r="AJ3657" i="2"/>
  <c r="AJ3658" i="2"/>
  <c r="AJ3659" i="2"/>
  <c r="AJ3660" i="2"/>
  <c r="AJ3661" i="2"/>
  <c r="AJ3662" i="2"/>
  <c r="AJ3663" i="2"/>
  <c r="AJ3664" i="2"/>
  <c r="AJ3665" i="2"/>
  <c r="AJ3666" i="2"/>
  <c r="AJ3667" i="2"/>
  <c r="AJ3668" i="2"/>
  <c r="AJ3669" i="2"/>
  <c r="AJ3670" i="2"/>
  <c r="AJ3671" i="2"/>
  <c r="AJ3672" i="2"/>
  <c r="AJ3673" i="2"/>
  <c r="AJ3674" i="2"/>
  <c r="AJ3675" i="2"/>
  <c r="AJ3676" i="2"/>
  <c r="AJ3677" i="2"/>
  <c r="AJ3678" i="2"/>
  <c r="AJ3679" i="2"/>
  <c r="AJ3680" i="2"/>
  <c r="AJ3681" i="2"/>
  <c r="AJ3682" i="2"/>
  <c r="AJ3683" i="2"/>
  <c r="AJ3684" i="2"/>
  <c r="AJ3685" i="2"/>
  <c r="AJ3686" i="2"/>
  <c r="AJ3687" i="2"/>
  <c r="AJ3688" i="2"/>
  <c r="AJ3689" i="2"/>
  <c r="AJ3690" i="2"/>
  <c r="AJ3691" i="2"/>
  <c r="AJ3692" i="2"/>
  <c r="AJ3693" i="2"/>
  <c r="AJ3694" i="2"/>
  <c r="AJ3695" i="2"/>
  <c r="AJ3696" i="2"/>
  <c r="AJ3697" i="2"/>
  <c r="AJ3698" i="2"/>
  <c r="AJ3699" i="2"/>
  <c r="AJ3700" i="2"/>
  <c r="AJ3701" i="2"/>
  <c r="AJ3702" i="2"/>
  <c r="AJ3703" i="2"/>
  <c r="AJ3704" i="2"/>
  <c r="AJ3705" i="2"/>
  <c r="AJ3706" i="2"/>
  <c r="AJ3707" i="2"/>
  <c r="AJ3708" i="2"/>
  <c r="AJ3709" i="2"/>
  <c r="AJ3710" i="2"/>
  <c r="AJ3711" i="2"/>
  <c r="AJ3712" i="2"/>
  <c r="AJ3713" i="2"/>
  <c r="AJ3714" i="2"/>
  <c r="AJ3715" i="2"/>
  <c r="AJ3716" i="2"/>
  <c r="AJ3717" i="2"/>
  <c r="AJ3718" i="2"/>
  <c r="AJ3719" i="2"/>
  <c r="AJ3720" i="2"/>
  <c r="AJ3721" i="2"/>
  <c r="AJ3722" i="2"/>
  <c r="AJ3723" i="2"/>
  <c r="AJ3724" i="2"/>
  <c r="AJ3725" i="2"/>
  <c r="AJ3726" i="2"/>
  <c r="AJ3727" i="2"/>
  <c r="AJ3728" i="2"/>
  <c r="AJ3729" i="2"/>
  <c r="AJ3730" i="2"/>
  <c r="AJ3731" i="2"/>
  <c r="AJ3732" i="2"/>
  <c r="AJ3733" i="2"/>
  <c r="AJ3734" i="2"/>
  <c r="AJ3735" i="2"/>
  <c r="AJ3736" i="2"/>
  <c r="AJ3737" i="2"/>
  <c r="AJ3738" i="2"/>
  <c r="AJ3739" i="2"/>
  <c r="AJ3740" i="2"/>
  <c r="AJ3741" i="2"/>
  <c r="AJ3742" i="2"/>
  <c r="AJ3743" i="2"/>
  <c r="AJ3744" i="2"/>
  <c r="AJ3745" i="2"/>
  <c r="AJ3746" i="2"/>
  <c r="AJ3747" i="2"/>
  <c r="AJ3748" i="2"/>
  <c r="AJ3749" i="2"/>
  <c r="AJ3750" i="2"/>
  <c r="AJ3751" i="2"/>
  <c r="AJ3752" i="2"/>
  <c r="AJ3753" i="2"/>
  <c r="AJ3754" i="2"/>
  <c r="AJ3755" i="2"/>
  <c r="AJ3756" i="2"/>
  <c r="AJ3757" i="2"/>
  <c r="AJ3758" i="2"/>
  <c r="AJ3759" i="2"/>
  <c r="AJ3760" i="2"/>
  <c r="AJ3761" i="2"/>
  <c r="AJ3762" i="2"/>
  <c r="AJ3763" i="2"/>
  <c r="AJ3764" i="2"/>
  <c r="AJ3765" i="2"/>
  <c r="AJ3766" i="2"/>
  <c r="AJ3767" i="2"/>
  <c r="AJ3768" i="2"/>
  <c r="AJ3769" i="2"/>
  <c r="AJ3770" i="2"/>
  <c r="AJ3771" i="2"/>
  <c r="AJ3772" i="2"/>
  <c r="AJ3773" i="2"/>
  <c r="AJ3774" i="2"/>
  <c r="AJ3775" i="2"/>
  <c r="AJ3776" i="2"/>
  <c r="AJ3777" i="2"/>
  <c r="AJ3778" i="2"/>
  <c r="AJ3779" i="2"/>
  <c r="AJ3780" i="2"/>
  <c r="AJ3781" i="2"/>
  <c r="AJ3782" i="2"/>
  <c r="AJ3783" i="2"/>
  <c r="AJ3784" i="2"/>
  <c r="AJ3785" i="2"/>
  <c r="AJ3786" i="2"/>
  <c r="AJ3787" i="2"/>
  <c r="AJ3788" i="2"/>
  <c r="AJ3789" i="2"/>
  <c r="AJ3790" i="2"/>
  <c r="AJ3791" i="2"/>
  <c r="AJ3792" i="2"/>
  <c r="AJ3793" i="2"/>
  <c r="AJ3794" i="2"/>
  <c r="AJ3795" i="2"/>
  <c r="AJ3796" i="2"/>
  <c r="AJ3797" i="2"/>
  <c r="AJ3798" i="2"/>
  <c r="AJ3799" i="2"/>
  <c r="AJ3800" i="2"/>
  <c r="AJ3801" i="2"/>
  <c r="AJ3802" i="2"/>
  <c r="AJ3803" i="2"/>
  <c r="AJ3804" i="2"/>
  <c r="AJ3805" i="2"/>
  <c r="AJ3806" i="2"/>
  <c r="AJ3807" i="2"/>
  <c r="AJ3808" i="2"/>
  <c r="AJ3809" i="2"/>
  <c r="AJ3810" i="2"/>
  <c r="AJ3811" i="2"/>
  <c r="AJ3812" i="2"/>
  <c r="AJ3813" i="2"/>
  <c r="AJ3814" i="2"/>
  <c r="AJ3815" i="2"/>
  <c r="AJ3816" i="2"/>
  <c r="AJ3817" i="2"/>
  <c r="AJ3818" i="2"/>
  <c r="AJ3819" i="2"/>
  <c r="AJ3820" i="2"/>
  <c r="AJ3821" i="2"/>
  <c r="AJ3822" i="2"/>
  <c r="AJ3823" i="2"/>
  <c r="AJ3824" i="2"/>
  <c r="AJ3825" i="2"/>
  <c r="AJ3826" i="2"/>
  <c r="AJ3827" i="2"/>
  <c r="AJ3828" i="2"/>
  <c r="AJ3829" i="2"/>
  <c r="AJ3830" i="2"/>
  <c r="AJ3831" i="2"/>
  <c r="AJ3832" i="2"/>
  <c r="AJ3833" i="2"/>
  <c r="AJ3834" i="2"/>
  <c r="AJ3835" i="2"/>
  <c r="AJ3836" i="2"/>
  <c r="AJ3837" i="2"/>
  <c r="AJ3838" i="2"/>
  <c r="AJ3839" i="2"/>
  <c r="AJ3840" i="2"/>
  <c r="AJ3841" i="2"/>
  <c r="AJ3842" i="2"/>
  <c r="AJ3843" i="2"/>
  <c r="AJ3844" i="2"/>
  <c r="AJ3845" i="2"/>
  <c r="AJ3846" i="2"/>
  <c r="AJ3847" i="2"/>
  <c r="AJ3848" i="2"/>
  <c r="AJ3849" i="2"/>
  <c r="AJ3850" i="2"/>
  <c r="AJ3851" i="2"/>
  <c r="AJ3852" i="2"/>
  <c r="AJ3853" i="2"/>
  <c r="AJ3854" i="2"/>
  <c r="AJ3855" i="2"/>
  <c r="AJ3856" i="2"/>
  <c r="AJ3857" i="2"/>
  <c r="AJ3858" i="2"/>
  <c r="AJ3859" i="2"/>
  <c r="AJ3860" i="2"/>
  <c r="AJ3861" i="2"/>
  <c r="AJ3862" i="2"/>
  <c r="AJ3863" i="2"/>
  <c r="AJ3864" i="2"/>
  <c r="AJ3865" i="2"/>
  <c r="AJ3866" i="2"/>
  <c r="AJ3867" i="2"/>
  <c r="AJ3868" i="2"/>
  <c r="AJ3869" i="2"/>
  <c r="AJ3870" i="2"/>
  <c r="AJ3871" i="2"/>
  <c r="AJ3872" i="2"/>
  <c r="AJ3873" i="2"/>
  <c r="AJ3874" i="2"/>
  <c r="AJ3875" i="2"/>
  <c r="AJ3876" i="2"/>
  <c r="AJ3877" i="2"/>
  <c r="AJ3878" i="2"/>
  <c r="AJ3879" i="2"/>
  <c r="AJ3880" i="2"/>
  <c r="AJ3881" i="2"/>
  <c r="AJ3882" i="2"/>
  <c r="AJ3883" i="2"/>
  <c r="AJ3884" i="2"/>
  <c r="AJ3885" i="2"/>
  <c r="AJ3886" i="2"/>
  <c r="AJ3887" i="2"/>
  <c r="AJ3888" i="2"/>
  <c r="AJ3889" i="2"/>
  <c r="AJ3890" i="2"/>
  <c r="AJ3891" i="2"/>
  <c r="AJ3892" i="2"/>
  <c r="AJ3893" i="2"/>
  <c r="AJ3894" i="2"/>
  <c r="AJ3895" i="2"/>
  <c r="AJ3896" i="2"/>
  <c r="AJ3897" i="2"/>
  <c r="AJ3898" i="2"/>
  <c r="AJ3899" i="2"/>
  <c r="AJ3900" i="2"/>
  <c r="AJ3901" i="2"/>
  <c r="AJ3902" i="2"/>
  <c r="AJ3903" i="2"/>
  <c r="AJ3904" i="2"/>
  <c r="AJ3905" i="2"/>
  <c r="AJ3906" i="2"/>
  <c r="AJ3907" i="2"/>
  <c r="AJ3908" i="2"/>
  <c r="AJ3909" i="2"/>
  <c r="AJ3910" i="2"/>
  <c r="AJ3911" i="2"/>
  <c r="AJ3912" i="2"/>
  <c r="AJ3913" i="2"/>
  <c r="AJ3914" i="2"/>
  <c r="AJ3915" i="2"/>
  <c r="AJ3916" i="2"/>
  <c r="AJ3917" i="2"/>
  <c r="AJ3918" i="2"/>
  <c r="AJ3919" i="2"/>
  <c r="AJ3920" i="2"/>
  <c r="AJ3921" i="2"/>
  <c r="AJ3922" i="2"/>
  <c r="AJ3923" i="2"/>
  <c r="AJ3924" i="2"/>
  <c r="AJ3925" i="2"/>
  <c r="AJ3926" i="2"/>
  <c r="AJ3927" i="2"/>
  <c r="AJ3928" i="2"/>
  <c r="AJ3929" i="2"/>
  <c r="AJ3930" i="2"/>
  <c r="AJ3931" i="2"/>
  <c r="AJ3932" i="2"/>
  <c r="AJ3933" i="2"/>
  <c r="AJ3934" i="2"/>
  <c r="AJ3935" i="2"/>
  <c r="AJ3936" i="2"/>
  <c r="AJ3937" i="2"/>
  <c r="AJ3938" i="2"/>
  <c r="AJ3939" i="2"/>
  <c r="AJ3940" i="2"/>
  <c r="AJ3941" i="2"/>
  <c r="AJ3942" i="2"/>
  <c r="AJ3943" i="2"/>
  <c r="AJ3944" i="2"/>
  <c r="AJ3945" i="2"/>
  <c r="AJ3946" i="2"/>
  <c r="AJ3947" i="2"/>
  <c r="AJ3948" i="2"/>
  <c r="AJ3949" i="2"/>
  <c r="AJ3950" i="2"/>
  <c r="AJ3951" i="2"/>
  <c r="AJ3952" i="2"/>
  <c r="AJ3953" i="2"/>
  <c r="AJ3954" i="2"/>
  <c r="AJ3955" i="2"/>
  <c r="AJ3956" i="2"/>
  <c r="AJ3957" i="2"/>
  <c r="AJ3958" i="2"/>
  <c r="AJ3959" i="2"/>
  <c r="AJ3960" i="2"/>
  <c r="AJ3961" i="2"/>
  <c r="AJ3962" i="2"/>
  <c r="AJ3963" i="2"/>
  <c r="AJ3964" i="2"/>
  <c r="AJ3965" i="2"/>
  <c r="AJ3966" i="2"/>
  <c r="AJ3967" i="2"/>
  <c r="AJ3968" i="2"/>
  <c r="AJ3969" i="2"/>
  <c r="AJ3970" i="2"/>
  <c r="AJ3971" i="2"/>
  <c r="AJ3972" i="2"/>
  <c r="AJ3973" i="2"/>
  <c r="AJ3974" i="2"/>
  <c r="AJ3975" i="2"/>
  <c r="AJ3976" i="2"/>
  <c r="AJ3977" i="2"/>
  <c r="AJ3978" i="2"/>
  <c r="AJ3979" i="2"/>
  <c r="AJ3980" i="2"/>
  <c r="AJ3981" i="2"/>
  <c r="AJ3982" i="2"/>
  <c r="AJ3983" i="2"/>
  <c r="AJ3984" i="2"/>
  <c r="AJ3985" i="2"/>
  <c r="AJ3986" i="2"/>
  <c r="AJ3987" i="2"/>
  <c r="AJ3988" i="2"/>
  <c r="AJ3989" i="2"/>
  <c r="AJ3990" i="2"/>
  <c r="AJ3991" i="2"/>
  <c r="AJ3992" i="2"/>
  <c r="AJ3993" i="2"/>
  <c r="AJ3994" i="2"/>
  <c r="AJ3995" i="2"/>
  <c r="AJ3996" i="2"/>
  <c r="AJ3997" i="2"/>
  <c r="AJ3998" i="2"/>
  <c r="AJ3999" i="2"/>
  <c r="AJ4000" i="2"/>
  <c r="AJ4001" i="2"/>
  <c r="AJ4002" i="2"/>
  <c r="AJ4003" i="2"/>
  <c r="AJ4" i="2"/>
  <c r="AM5" i="2"/>
  <c r="AM4" i="2"/>
  <c r="AD17" i="2"/>
  <c r="AE17" i="2"/>
  <c r="AF17" i="2"/>
  <c r="AG17" i="2"/>
  <c r="AC17" i="2"/>
  <c r="AC12" i="2"/>
  <c r="AD12" i="2"/>
  <c r="AE12" i="2"/>
  <c r="AF12" i="2"/>
  <c r="AG12" i="2"/>
  <c r="AC13" i="2"/>
  <c r="AD13" i="2"/>
  <c r="AE13" i="2"/>
  <c r="AF13" i="2"/>
  <c r="AG13" i="2"/>
  <c r="AC14" i="2"/>
  <c r="AD14" i="2"/>
  <c r="AE14" i="2"/>
  <c r="AF14" i="2"/>
  <c r="AG14" i="2"/>
  <c r="AC15" i="2"/>
  <c r="AD15" i="2"/>
  <c r="AE15" i="2"/>
  <c r="AF15" i="2"/>
  <c r="AG15" i="2"/>
  <c r="AC16" i="2"/>
  <c r="AD16" i="2"/>
  <c r="AE16" i="2"/>
  <c r="AF16" i="2"/>
  <c r="AG16" i="2"/>
  <c r="AD11" i="2"/>
  <c r="AE11" i="2"/>
  <c r="AF11" i="2"/>
  <c r="AG11" i="2"/>
  <c r="AC11" i="2"/>
  <c r="AD10" i="2"/>
  <c r="AE10" i="2"/>
  <c r="AF10" i="2"/>
  <c r="AG10" i="2"/>
  <c r="AC10" i="2"/>
  <c r="AD8" i="2"/>
  <c r="AE8" i="2"/>
  <c r="AF8" i="2"/>
  <c r="AG8" i="2"/>
  <c r="AC8" i="2"/>
  <c r="AD7" i="2"/>
  <c r="AE7" i="2"/>
  <c r="AF7" i="2"/>
  <c r="AG7" i="2"/>
  <c r="AC7" i="2"/>
  <c r="AD6" i="2"/>
  <c r="AE6" i="2"/>
  <c r="AF6" i="2"/>
  <c r="AG6" i="2"/>
  <c r="AC6" i="2"/>
  <c r="AD5" i="2"/>
  <c r="AE5" i="2"/>
  <c r="AF5" i="2"/>
  <c r="AG5" i="2"/>
  <c r="AC5" i="2"/>
  <c r="AD4" i="2"/>
  <c r="AE4" i="2"/>
  <c r="AF4" i="2"/>
  <c r="AG4" i="2"/>
  <c r="AC4" i="2"/>
  <c r="U21" i="2"/>
  <c r="V21" i="2"/>
  <c r="W21" i="2"/>
  <c r="X21" i="2"/>
  <c r="Y21" i="2"/>
  <c r="V22" i="2"/>
  <c r="W22" i="2"/>
  <c r="X22" i="2"/>
  <c r="Y22" i="2"/>
  <c r="U22" i="2"/>
  <c r="T13" i="2"/>
  <c r="V11" i="2"/>
  <c r="W11" i="2"/>
  <c r="X11" i="2"/>
  <c r="Y11" i="2"/>
  <c r="U11" i="2"/>
  <c r="U8" i="2"/>
  <c r="V8" i="2"/>
  <c r="W8" i="2"/>
  <c r="X8" i="2"/>
  <c r="Y8" i="2"/>
  <c r="T8" i="2"/>
  <c r="J30" i="2"/>
  <c r="J28" i="2"/>
  <c r="AO4" i="2" a="1"/>
  <c r="AW14" i="2" l="1"/>
  <c r="AW16" i="2" s="1"/>
  <c r="AW15" i="2"/>
  <c r="AV14" i="2"/>
  <c r="AO4" i="2"/>
  <c r="AO8" i="2"/>
  <c r="AO12" i="2"/>
  <c r="AO16" i="2"/>
  <c r="AO20" i="2"/>
  <c r="AO24" i="2"/>
  <c r="AO28" i="2"/>
  <c r="AO32" i="2"/>
  <c r="AO36" i="2"/>
  <c r="AO40" i="2"/>
  <c r="AO44" i="2"/>
  <c r="AO48" i="2"/>
  <c r="AO52" i="2"/>
  <c r="AO56" i="2"/>
  <c r="AO60" i="2"/>
  <c r="AO64" i="2"/>
  <c r="AO68" i="2"/>
  <c r="AO72" i="2"/>
  <c r="AO76" i="2"/>
  <c r="AO80" i="2"/>
  <c r="AO84" i="2"/>
  <c r="AO88" i="2"/>
  <c r="AO92" i="2"/>
  <c r="AO96" i="2"/>
  <c r="AO100" i="2"/>
  <c r="AO104" i="2"/>
  <c r="AO108" i="2"/>
  <c r="AO112" i="2"/>
  <c r="AO116" i="2"/>
  <c r="AO120" i="2"/>
  <c r="AO124" i="2"/>
  <c r="AO128" i="2"/>
  <c r="AO132" i="2"/>
  <c r="AO136" i="2"/>
  <c r="AO140" i="2"/>
  <c r="AO144" i="2"/>
  <c r="AO148" i="2"/>
  <c r="AO152" i="2"/>
  <c r="AO156" i="2"/>
  <c r="AO160" i="2"/>
  <c r="AO164" i="2"/>
  <c r="AO168" i="2"/>
  <c r="AO172" i="2"/>
  <c r="AO176" i="2"/>
  <c r="AO180" i="2"/>
  <c r="AO184" i="2"/>
  <c r="AO188" i="2"/>
  <c r="AO192" i="2"/>
  <c r="AO196" i="2"/>
  <c r="AO200" i="2"/>
  <c r="AO204" i="2"/>
  <c r="AO208" i="2"/>
  <c r="AO212" i="2"/>
  <c r="AO216" i="2"/>
  <c r="AO220" i="2"/>
  <c r="AO224" i="2"/>
  <c r="AO228" i="2"/>
  <c r="AO232" i="2"/>
  <c r="AO236" i="2"/>
  <c r="AO240" i="2"/>
  <c r="AO244" i="2"/>
  <c r="AO248" i="2"/>
  <c r="AO252" i="2"/>
  <c r="AO256" i="2"/>
  <c r="AO260" i="2"/>
  <c r="AO264" i="2"/>
  <c r="AO268" i="2"/>
  <c r="AO272" i="2"/>
  <c r="AO276" i="2"/>
  <c r="AO280" i="2"/>
  <c r="AO284" i="2"/>
  <c r="AO288" i="2"/>
  <c r="AO292" i="2"/>
  <c r="AO296" i="2"/>
  <c r="AO300" i="2"/>
  <c r="AO304" i="2"/>
  <c r="AO308" i="2"/>
  <c r="AO312" i="2"/>
  <c r="AO316" i="2"/>
  <c r="AO320" i="2"/>
  <c r="AO324" i="2"/>
  <c r="AO328" i="2"/>
  <c r="AO332" i="2"/>
  <c r="AO336" i="2"/>
  <c r="AO340" i="2"/>
  <c r="AO6" i="2"/>
  <c r="AO10" i="2"/>
  <c r="AO14" i="2"/>
  <c r="AO18" i="2"/>
  <c r="AO22" i="2"/>
  <c r="AO26" i="2"/>
  <c r="AO30" i="2"/>
  <c r="AO34" i="2"/>
  <c r="AO38" i="2"/>
  <c r="AO42" i="2"/>
  <c r="AO46" i="2"/>
  <c r="AO50" i="2"/>
  <c r="AO54" i="2"/>
  <c r="AO58" i="2"/>
  <c r="AO62" i="2"/>
  <c r="AO66" i="2"/>
  <c r="AO70" i="2"/>
  <c r="AO74" i="2"/>
  <c r="AO78" i="2"/>
  <c r="AO82" i="2"/>
  <c r="AO86" i="2"/>
  <c r="AO90" i="2"/>
  <c r="AO94" i="2"/>
  <c r="AO98" i="2"/>
  <c r="AO102" i="2"/>
  <c r="AO106" i="2"/>
  <c r="AO110" i="2"/>
  <c r="AO114" i="2"/>
  <c r="AO118" i="2"/>
  <c r="AO122" i="2"/>
  <c r="AO126" i="2"/>
  <c r="AO130" i="2"/>
  <c r="AO134" i="2"/>
  <c r="AO138" i="2"/>
  <c r="AO142" i="2"/>
  <c r="AO146" i="2"/>
  <c r="AO150" i="2"/>
  <c r="AO154" i="2"/>
  <c r="AO158" i="2"/>
  <c r="AO162" i="2"/>
  <c r="AO166" i="2"/>
  <c r="AO170" i="2"/>
  <c r="AO174" i="2"/>
  <c r="AO178" i="2"/>
  <c r="AO182" i="2"/>
  <c r="AO186" i="2"/>
  <c r="AO190" i="2"/>
  <c r="AO194" i="2"/>
  <c r="AO198" i="2"/>
  <c r="AO202" i="2"/>
  <c r="AO206" i="2"/>
  <c r="AO210" i="2"/>
  <c r="AO214" i="2"/>
  <c r="AO218" i="2"/>
  <c r="AO222" i="2"/>
  <c r="AO226" i="2"/>
  <c r="AO230" i="2"/>
  <c r="AO234" i="2"/>
  <c r="AO238" i="2"/>
  <c r="AO242" i="2"/>
  <c r="AO246" i="2"/>
  <c r="AO250" i="2"/>
  <c r="AO254" i="2"/>
  <c r="AO258" i="2"/>
  <c r="AO262" i="2"/>
  <c r="AO266" i="2"/>
  <c r="AO270" i="2"/>
  <c r="AO274" i="2"/>
  <c r="AO278" i="2"/>
  <c r="AO282" i="2"/>
  <c r="AO286" i="2"/>
  <c r="AO290" i="2"/>
  <c r="AO294" i="2"/>
  <c r="AO298" i="2"/>
  <c r="AO302" i="2"/>
  <c r="AO306" i="2"/>
  <c r="AO310" i="2"/>
  <c r="AO314" i="2"/>
  <c r="AO318" i="2"/>
  <c r="AO11" i="2"/>
  <c r="AO19" i="2"/>
  <c r="AO27" i="2"/>
  <c r="AO35" i="2"/>
  <c r="AO43" i="2"/>
  <c r="AO51" i="2"/>
  <c r="AO59" i="2"/>
  <c r="AO67" i="2"/>
  <c r="AO75" i="2"/>
  <c r="AO83" i="2"/>
  <c r="AO91" i="2"/>
  <c r="AO99" i="2"/>
  <c r="AO107" i="2"/>
  <c r="AO115" i="2"/>
  <c r="AO123" i="2"/>
  <c r="AO131" i="2"/>
  <c r="AO139" i="2"/>
  <c r="AO147" i="2"/>
  <c r="AO155" i="2"/>
  <c r="AO163" i="2"/>
  <c r="AO171" i="2"/>
  <c r="AO179" i="2"/>
  <c r="AO187" i="2"/>
  <c r="AO195" i="2"/>
  <c r="AO203" i="2"/>
  <c r="AO211" i="2"/>
  <c r="AO219" i="2"/>
  <c r="AO227" i="2"/>
  <c r="AO235" i="2"/>
  <c r="AO243" i="2"/>
  <c r="AO251" i="2"/>
  <c r="AO259" i="2"/>
  <c r="AO267" i="2"/>
  <c r="AO275" i="2"/>
  <c r="AO283" i="2"/>
  <c r="AO291" i="2"/>
  <c r="AO299" i="2"/>
  <c r="AO307" i="2"/>
  <c r="AO315" i="2"/>
  <c r="AO322" i="2"/>
  <c r="AO327" i="2"/>
  <c r="AO333" i="2"/>
  <c r="AO338" i="2"/>
  <c r="AO343" i="2"/>
  <c r="AO347" i="2"/>
  <c r="AO351" i="2"/>
  <c r="AO355" i="2"/>
  <c r="AO359" i="2"/>
  <c r="AO363" i="2"/>
  <c r="AO367" i="2"/>
  <c r="AO371" i="2"/>
  <c r="AO375" i="2"/>
  <c r="AO379" i="2"/>
  <c r="AO383" i="2"/>
  <c r="AO387" i="2"/>
  <c r="AO391" i="2"/>
  <c r="AO395" i="2"/>
  <c r="AO399" i="2"/>
  <c r="AO403" i="2"/>
  <c r="AO407" i="2"/>
  <c r="AO411" i="2"/>
  <c r="AO415" i="2"/>
  <c r="AO419" i="2"/>
  <c r="AO423" i="2"/>
  <c r="AO427" i="2"/>
  <c r="AO431" i="2"/>
  <c r="AO435" i="2"/>
  <c r="AO439" i="2"/>
  <c r="AO443" i="2"/>
  <c r="AO447" i="2"/>
  <c r="AO451" i="2"/>
  <c r="AO455" i="2"/>
  <c r="AO459" i="2"/>
  <c r="AO463" i="2"/>
  <c r="AO467" i="2"/>
  <c r="AO471" i="2"/>
  <c r="AO475" i="2"/>
  <c r="AO479" i="2"/>
  <c r="AO483" i="2"/>
  <c r="AO487" i="2"/>
  <c r="AO491" i="2"/>
  <c r="AO495" i="2"/>
  <c r="AO499" i="2"/>
  <c r="AO503" i="2"/>
  <c r="AO5" i="2"/>
  <c r="AO15" i="2"/>
  <c r="AO25" i="2"/>
  <c r="AO37" i="2"/>
  <c r="AO47" i="2"/>
  <c r="AO57" i="2"/>
  <c r="AO69" i="2"/>
  <c r="AO79" i="2"/>
  <c r="AO89" i="2"/>
  <c r="AO101" i="2"/>
  <c r="AO111" i="2"/>
  <c r="AO121" i="2"/>
  <c r="AO133" i="2"/>
  <c r="AO143" i="2"/>
  <c r="AO153" i="2"/>
  <c r="AO165" i="2"/>
  <c r="AO175" i="2"/>
  <c r="AO185" i="2"/>
  <c r="AO197" i="2"/>
  <c r="AO207" i="2"/>
  <c r="AO217" i="2"/>
  <c r="AO229" i="2"/>
  <c r="AO239" i="2"/>
  <c r="AO249" i="2"/>
  <c r="AO261" i="2"/>
  <c r="AO271" i="2"/>
  <c r="AO281" i="2"/>
  <c r="AO293" i="2"/>
  <c r="AO303" i="2"/>
  <c r="AO313" i="2"/>
  <c r="AO323" i="2"/>
  <c r="AO330" i="2"/>
  <c r="AO337" i="2"/>
  <c r="AO344" i="2"/>
  <c r="AO349" i="2"/>
  <c r="AO354" i="2"/>
  <c r="AO360" i="2"/>
  <c r="AO365" i="2"/>
  <c r="AO370" i="2"/>
  <c r="AO376" i="2"/>
  <c r="AO381" i="2"/>
  <c r="AO386" i="2"/>
  <c r="AO392" i="2"/>
  <c r="AO397" i="2"/>
  <c r="AO402" i="2"/>
  <c r="AO408" i="2"/>
  <c r="AO413" i="2"/>
  <c r="AO418" i="2"/>
  <c r="AO424" i="2"/>
  <c r="AO429" i="2"/>
  <c r="AO434" i="2"/>
  <c r="AO440" i="2"/>
  <c r="AO445" i="2"/>
  <c r="AO450" i="2"/>
  <c r="AO456" i="2"/>
  <c r="AO461" i="2"/>
  <c r="AO466" i="2"/>
  <c r="AO472" i="2"/>
  <c r="AO477" i="2"/>
  <c r="AO482" i="2"/>
  <c r="AO488" i="2"/>
  <c r="AO493" i="2"/>
  <c r="AO498" i="2"/>
  <c r="AO504" i="2"/>
  <c r="AO508" i="2"/>
  <c r="AO512" i="2"/>
  <c r="AO516" i="2"/>
  <c r="AO520" i="2"/>
  <c r="AO524" i="2"/>
  <c r="AO528" i="2"/>
  <c r="AO532" i="2"/>
  <c r="AO536" i="2"/>
  <c r="AO540" i="2"/>
  <c r="AO544" i="2"/>
  <c r="AO548" i="2"/>
  <c r="AO552" i="2"/>
  <c r="AO556" i="2"/>
  <c r="AO560" i="2"/>
  <c r="AO564" i="2"/>
  <c r="AO568" i="2"/>
  <c r="AO572" i="2"/>
  <c r="AO576" i="2"/>
  <c r="AO580" i="2"/>
  <c r="AO584" i="2"/>
  <c r="AO588" i="2"/>
  <c r="AO592" i="2"/>
  <c r="AO596" i="2"/>
  <c r="AO600" i="2"/>
  <c r="AO604" i="2"/>
  <c r="AO608" i="2"/>
  <c r="AO612" i="2"/>
  <c r="AO616" i="2"/>
  <c r="AO620" i="2"/>
  <c r="AO624" i="2"/>
  <c r="AO628" i="2"/>
  <c r="AO632" i="2"/>
  <c r="AO636" i="2"/>
  <c r="AO640" i="2"/>
  <c r="AO644" i="2"/>
  <c r="AO648" i="2"/>
  <c r="AO652" i="2"/>
  <c r="AO656" i="2"/>
  <c r="AO660" i="2"/>
  <c r="AO664" i="2"/>
  <c r="AO668" i="2"/>
  <c r="AO672" i="2"/>
  <c r="AO676" i="2"/>
  <c r="AO680" i="2"/>
  <c r="AO684" i="2"/>
  <c r="AO688" i="2"/>
  <c r="AO692" i="2"/>
  <c r="AO696" i="2"/>
  <c r="AO700" i="2"/>
  <c r="AO704" i="2"/>
  <c r="AO708" i="2"/>
  <c r="AO712" i="2"/>
  <c r="AO716" i="2"/>
  <c r="AO720" i="2"/>
  <c r="AO724" i="2"/>
  <c r="AO728" i="2"/>
  <c r="AO732" i="2"/>
  <c r="AO736" i="2"/>
  <c r="AO740" i="2"/>
  <c r="AO744" i="2"/>
  <c r="AO748" i="2"/>
  <c r="AO752" i="2"/>
  <c r="AO756" i="2"/>
  <c r="AO760" i="2"/>
  <c r="AO764" i="2"/>
  <c r="AO768" i="2"/>
  <c r="AO772" i="2"/>
  <c r="AO776" i="2"/>
  <c r="AO780" i="2"/>
  <c r="AO784" i="2"/>
  <c r="AO788" i="2"/>
  <c r="AO792" i="2"/>
  <c r="AO796" i="2"/>
  <c r="AO800" i="2"/>
  <c r="AO804" i="2"/>
  <c r="AO808" i="2"/>
  <c r="AO812" i="2"/>
  <c r="AO816" i="2"/>
  <c r="AO820" i="2"/>
  <c r="AO824" i="2"/>
  <c r="AO828" i="2"/>
  <c r="AO832" i="2"/>
  <c r="AO836" i="2"/>
  <c r="AO840" i="2"/>
  <c r="AO844" i="2"/>
  <c r="AO848" i="2"/>
  <c r="AO852" i="2"/>
  <c r="AO856" i="2"/>
  <c r="AO860" i="2"/>
  <c r="AO864" i="2"/>
  <c r="AO868" i="2"/>
  <c r="AO872" i="2"/>
  <c r="AO876" i="2"/>
  <c r="AO880" i="2"/>
  <c r="AO884" i="2"/>
  <c r="AO888" i="2"/>
  <c r="AO892" i="2"/>
  <c r="AO896" i="2"/>
  <c r="AO900" i="2"/>
  <c r="AO904" i="2"/>
  <c r="AO908" i="2"/>
  <c r="AO912" i="2"/>
  <c r="AO916" i="2"/>
  <c r="AO920" i="2"/>
  <c r="AO924" i="2"/>
  <c r="AO928" i="2"/>
  <c r="AO7" i="2"/>
  <c r="AO17" i="2"/>
  <c r="AO29" i="2"/>
  <c r="AO39" i="2"/>
  <c r="AO49" i="2"/>
  <c r="AO61" i="2"/>
  <c r="AO71" i="2"/>
  <c r="AO81" i="2"/>
  <c r="AO93" i="2"/>
  <c r="AO103" i="2"/>
  <c r="AO113" i="2"/>
  <c r="AO125" i="2"/>
  <c r="AO135" i="2"/>
  <c r="AO145" i="2"/>
  <c r="AO157" i="2"/>
  <c r="AO167" i="2"/>
  <c r="AO177" i="2"/>
  <c r="AO189" i="2"/>
  <c r="AO199" i="2"/>
  <c r="AO209" i="2"/>
  <c r="AO221" i="2"/>
  <c r="AO231" i="2"/>
  <c r="AO241" i="2"/>
  <c r="AO253" i="2"/>
  <c r="AO263" i="2"/>
  <c r="AO273" i="2"/>
  <c r="AO285" i="2"/>
  <c r="AO295" i="2"/>
  <c r="AO305" i="2"/>
  <c r="AO317" i="2"/>
  <c r="AO325" i="2"/>
  <c r="AO331" i="2"/>
  <c r="AO339" i="2"/>
  <c r="AO345" i="2"/>
  <c r="AO350" i="2"/>
  <c r="AO356" i="2"/>
  <c r="AO361" i="2"/>
  <c r="AO366" i="2"/>
  <c r="AO372" i="2"/>
  <c r="AO377" i="2"/>
  <c r="AO382" i="2"/>
  <c r="AO388" i="2"/>
  <c r="AO393" i="2"/>
  <c r="AO398" i="2"/>
  <c r="AO404" i="2"/>
  <c r="AO409" i="2"/>
  <c r="AO414" i="2"/>
  <c r="AO420" i="2"/>
  <c r="AO425" i="2"/>
  <c r="AO430" i="2"/>
  <c r="AO436" i="2"/>
  <c r="AO441" i="2"/>
  <c r="AO446" i="2"/>
  <c r="AO452" i="2"/>
  <c r="AO457" i="2"/>
  <c r="AO462" i="2"/>
  <c r="AO468" i="2"/>
  <c r="AO473" i="2"/>
  <c r="AO478" i="2"/>
  <c r="AO484" i="2"/>
  <c r="AO489" i="2"/>
  <c r="AO494" i="2"/>
  <c r="AO500" i="2"/>
  <c r="AO505" i="2"/>
  <c r="AO509" i="2"/>
  <c r="AO513" i="2"/>
  <c r="AO517" i="2"/>
  <c r="AO521" i="2"/>
  <c r="AO525" i="2"/>
  <c r="AO529" i="2"/>
  <c r="AO533" i="2"/>
  <c r="AO537" i="2"/>
  <c r="AO541" i="2"/>
  <c r="AO545" i="2"/>
  <c r="AO549" i="2"/>
  <c r="AO553" i="2"/>
  <c r="AO557" i="2"/>
  <c r="AO561" i="2"/>
  <c r="AO565" i="2"/>
  <c r="AO569" i="2"/>
  <c r="AO573" i="2"/>
  <c r="AO577" i="2"/>
  <c r="AO581" i="2"/>
  <c r="AO585" i="2"/>
  <c r="AO589" i="2"/>
  <c r="AO593" i="2"/>
  <c r="AO597" i="2"/>
  <c r="AO601" i="2"/>
  <c r="AO605" i="2"/>
  <c r="AO609" i="2"/>
  <c r="AO613" i="2"/>
  <c r="AO617" i="2"/>
  <c r="AO621" i="2"/>
  <c r="AO625" i="2"/>
  <c r="AO629" i="2"/>
  <c r="AO633" i="2"/>
  <c r="AO637" i="2"/>
  <c r="AO641" i="2"/>
  <c r="AO645" i="2"/>
  <c r="AO649" i="2"/>
  <c r="AO653" i="2"/>
  <c r="AO657" i="2"/>
  <c r="AO661" i="2"/>
  <c r="AO665" i="2"/>
  <c r="AO669" i="2"/>
  <c r="AO673" i="2"/>
  <c r="AO677" i="2"/>
  <c r="AO681" i="2"/>
  <c r="AO685" i="2"/>
  <c r="AO689" i="2"/>
  <c r="AO693" i="2"/>
  <c r="AO697" i="2"/>
  <c r="AO701" i="2"/>
  <c r="AO705" i="2"/>
  <c r="AO709" i="2"/>
  <c r="AO713" i="2"/>
  <c r="AO717" i="2"/>
  <c r="AO721" i="2"/>
  <c r="AO725" i="2"/>
  <c r="AO729" i="2"/>
  <c r="AO733" i="2"/>
  <c r="AO737" i="2"/>
  <c r="AO741" i="2"/>
  <c r="AO745" i="2"/>
  <c r="AO749" i="2"/>
  <c r="AO753" i="2"/>
  <c r="AO757" i="2"/>
  <c r="AO761" i="2"/>
  <c r="AO765" i="2"/>
  <c r="AO769" i="2"/>
  <c r="AO773" i="2"/>
  <c r="AO777" i="2"/>
  <c r="AO781" i="2"/>
  <c r="AO785" i="2"/>
  <c r="AO789" i="2"/>
  <c r="AO793" i="2"/>
  <c r="AO797" i="2"/>
  <c r="AO801" i="2"/>
  <c r="AO805" i="2"/>
  <c r="AO809" i="2"/>
  <c r="AO813" i="2"/>
  <c r="AO817" i="2"/>
  <c r="AO821" i="2"/>
  <c r="AO825" i="2"/>
  <c r="AO829" i="2"/>
  <c r="AO833" i="2"/>
  <c r="AO837" i="2"/>
  <c r="AO841" i="2"/>
  <c r="AO845" i="2"/>
  <c r="AO849" i="2"/>
  <c r="AO853" i="2"/>
  <c r="AO857" i="2"/>
  <c r="AO861" i="2"/>
  <c r="AO865" i="2"/>
  <c r="AO869" i="2"/>
  <c r="AO873" i="2"/>
  <c r="AO877" i="2"/>
  <c r="AO881" i="2"/>
  <c r="AO885" i="2"/>
  <c r="AO889" i="2"/>
  <c r="AO893" i="2"/>
  <c r="AO897" i="2"/>
  <c r="AO901" i="2"/>
  <c r="AO905" i="2"/>
  <c r="AO909" i="2"/>
  <c r="AO913" i="2"/>
  <c r="AO917" i="2"/>
  <c r="AO921" i="2"/>
  <c r="AO925" i="2"/>
  <c r="AO929" i="2"/>
  <c r="AO9" i="2"/>
  <c r="AO31" i="2"/>
  <c r="AO53" i="2"/>
  <c r="AO73" i="2"/>
  <c r="AO95" i="2"/>
  <c r="AO117" i="2"/>
  <c r="AO137" i="2"/>
  <c r="AO159" i="2"/>
  <c r="AO181" i="2"/>
  <c r="AO201" i="2"/>
  <c r="AO223" i="2"/>
  <c r="AO245" i="2"/>
  <c r="AO265" i="2"/>
  <c r="AO287" i="2"/>
  <c r="AO309" i="2"/>
  <c r="AO326" i="2"/>
  <c r="AO341" i="2"/>
  <c r="AO352" i="2"/>
  <c r="AO362" i="2"/>
  <c r="AO373" i="2"/>
  <c r="AO384" i="2"/>
  <c r="AO394" i="2"/>
  <c r="AO405" i="2"/>
  <c r="AO416" i="2"/>
  <c r="AO426" i="2"/>
  <c r="AO437" i="2"/>
  <c r="AO448" i="2"/>
  <c r="AO458" i="2"/>
  <c r="AO469" i="2"/>
  <c r="AO480" i="2"/>
  <c r="AO490" i="2"/>
  <c r="AO501" i="2"/>
  <c r="AO510" i="2"/>
  <c r="AO518" i="2"/>
  <c r="AO526" i="2"/>
  <c r="AO534" i="2"/>
  <c r="AO542" i="2"/>
  <c r="AO550" i="2"/>
  <c r="AO558" i="2"/>
  <c r="AO566" i="2"/>
  <c r="AO574" i="2"/>
  <c r="AO582" i="2"/>
  <c r="AO590" i="2"/>
  <c r="AO598" i="2"/>
  <c r="AO606" i="2"/>
  <c r="AO614" i="2"/>
  <c r="AO622" i="2"/>
  <c r="AO630" i="2"/>
  <c r="AO638" i="2"/>
  <c r="AO646" i="2"/>
  <c r="AO654" i="2"/>
  <c r="AO662" i="2"/>
  <c r="AO670" i="2"/>
  <c r="AO678" i="2"/>
  <c r="AO686" i="2"/>
  <c r="AO694" i="2"/>
  <c r="AO702" i="2"/>
  <c r="AO710" i="2"/>
  <c r="AO718" i="2"/>
  <c r="AO726" i="2"/>
  <c r="AO734" i="2"/>
  <c r="AO742" i="2"/>
  <c r="AO750" i="2"/>
  <c r="AO758" i="2"/>
  <c r="AO766" i="2"/>
  <c r="AO774" i="2"/>
  <c r="AO782" i="2"/>
  <c r="AO790" i="2"/>
  <c r="AO798" i="2"/>
  <c r="AO806" i="2"/>
  <c r="AO814" i="2"/>
  <c r="AO822" i="2"/>
  <c r="AO830" i="2"/>
  <c r="AO838" i="2"/>
  <c r="AO846" i="2"/>
  <c r="AO854" i="2"/>
  <c r="AO862" i="2"/>
  <c r="AO870" i="2"/>
  <c r="AO878" i="2"/>
  <c r="AO886" i="2"/>
  <c r="AO894" i="2"/>
  <c r="AO902" i="2"/>
  <c r="AO910" i="2"/>
  <c r="AO918" i="2"/>
  <c r="AO926" i="2"/>
  <c r="AO932" i="2"/>
  <c r="AO936" i="2"/>
  <c r="AO940" i="2"/>
  <c r="AO944" i="2"/>
  <c r="AO948" i="2"/>
  <c r="AO952" i="2"/>
  <c r="AO956" i="2"/>
  <c r="AO960" i="2"/>
  <c r="AO964" i="2"/>
  <c r="AO968" i="2"/>
  <c r="AO972" i="2"/>
  <c r="AO976" i="2"/>
  <c r="AO980" i="2"/>
  <c r="AO984" i="2"/>
  <c r="AO988" i="2"/>
  <c r="AO992" i="2"/>
  <c r="AO996" i="2"/>
  <c r="AO1000" i="2"/>
  <c r="AO1004" i="2"/>
  <c r="AO1008" i="2"/>
  <c r="AO1012" i="2"/>
  <c r="AO1016" i="2"/>
  <c r="AO1020" i="2"/>
  <c r="AO1024" i="2"/>
  <c r="AO1028" i="2"/>
  <c r="AO1032" i="2"/>
  <c r="AO1036" i="2"/>
  <c r="AO1040" i="2"/>
  <c r="AO1044" i="2"/>
  <c r="AO1048" i="2"/>
  <c r="AO1052" i="2"/>
  <c r="AO1056" i="2"/>
  <c r="AO1060" i="2"/>
  <c r="AO1064" i="2"/>
  <c r="AO1068" i="2"/>
  <c r="AO1072" i="2"/>
  <c r="AO1076" i="2"/>
  <c r="AO1080" i="2"/>
  <c r="AO1084" i="2"/>
  <c r="AO1088" i="2"/>
  <c r="AO1092" i="2"/>
  <c r="AO1096" i="2"/>
  <c r="AO1100" i="2"/>
  <c r="AO1104" i="2"/>
  <c r="AO1108" i="2"/>
  <c r="AO1112" i="2"/>
  <c r="AO1116" i="2"/>
  <c r="AO1120" i="2"/>
  <c r="AO1124" i="2"/>
  <c r="AO1128" i="2"/>
  <c r="AO1132" i="2"/>
  <c r="AO1136" i="2"/>
  <c r="AO1140" i="2"/>
  <c r="AO1144" i="2"/>
  <c r="AO1148" i="2"/>
  <c r="AO1152" i="2"/>
  <c r="AO1156" i="2"/>
  <c r="AO1160" i="2"/>
  <c r="AO1164" i="2"/>
  <c r="AO1168" i="2"/>
  <c r="AO1172" i="2"/>
  <c r="AO1176" i="2"/>
  <c r="AO1180" i="2"/>
  <c r="AO1184" i="2"/>
  <c r="AO1188" i="2"/>
  <c r="AO1192" i="2"/>
  <c r="AO1196" i="2"/>
  <c r="AO1200" i="2"/>
  <c r="AO1204" i="2"/>
  <c r="AO1208" i="2"/>
  <c r="AO1212" i="2"/>
  <c r="AO1216" i="2"/>
  <c r="AO1220" i="2"/>
  <c r="AO1224" i="2"/>
  <c r="AO1228" i="2"/>
  <c r="AO1232" i="2"/>
  <c r="AO1236" i="2"/>
  <c r="AO1240" i="2"/>
  <c r="AO1244" i="2"/>
  <c r="AO1248" i="2"/>
  <c r="AO1252" i="2"/>
  <c r="AO1256" i="2"/>
  <c r="AO1260" i="2"/>
  <c r="AO1264" i="2"/>
  <c r="AO1268" i="2"/>
  <c r="AO1272" i="2"/>
  <c r="AO1276" i="2"/>
  <c r="AO1280" i="2"/>
  <c r="AO1284" i="2"/>
  <c r="AO1288" i="2"/>
  <c r="AO1292" i="2"/>
  <c r="AO1296" i="2"/>
  <c r="AO1300" i="2"/>
  <c r="AO1304" i="2"/>
  <c r="AO1308" i="2"/>
  <c r="AO1312" i="2"/>
  <c r="AO1316" i="2"/>
  <c r="AO1320" i="2"/>
  <c r="AO1324" i="2"/>
  <c r="AO1328" i="2"/>
  <c r="AO1332" i="2"/>
  <c r="AO1336" i="2"/>
  <c r="AO1340" i="2"/>
  <c r="AO1344" i="2"/>
  <c r="AO1348" i="2"/>
  <c r="AO1352" i="2"/>
  <c r="AO1356" i="2"/>
  <c r="AO1360" i="2"/>
  <c r="AO1364" i="2"/>
  <c r="AO1368" i="2"/>
  <c r="AO1372" i="2"/>
  <c r="AO1376" i="2"/>
  <c r="AO1380" i="2"/>
  <c r="AO1384" i="2"/>
  <c r="AO1388" i="2"/>
  <c r="AO1392" i="2"/>
  <c r="AO1396" i="2"/>
  <c r="AO1400" i="2"/>
  <c r="AO1404" i="2"/>
  <c r="AO1408" i="2"/>
  <c r="AO1412" i="2"/>
  <c r="AO1416" i="2"/>
  <c r="AO1420" i="2"/>
  <c r="AO1424" i="2"/>
  <c r="AO1428" i="2"/>
  <c r="AO1432" i="2"/>
  <c r="AO1436" i="2"/>
  <c r="AO1440" i="2"/>
  <c r="AO1444" i="2"/>
  <c r="AO1448" i="2"/>
  <c r="AO1452" i="2"/>
  <c r="AO1456" i="2"/>
  <c r="AO1460" i="2"/>
  <c r="AO1464" i="2"/>
  <c r="AO1468" i="2"/>
  <c r="AO1472" i="2"/>
  <c r="AO1476" i="2"/>
  <c r="AO1480" i="2"/>
  <c r="AO1484" i="2"/>
  <c r="AO1488" i="2"/>
  <c r="AO1492" i="2"/>
  <c r="AO1496" i="2"/>
  <c r="AO1500" i="2"/>
  <c r="AO1504" i="2"/>
  <c r="AO1508" i="2"/>
  <c r="AO1512" i="2"/>
  <c r="AO1516" i="2"/>
  <c r="AO1520" i="2"/>
  <c r="AO1524" i="2"/>
  <c r="AO1528" i="2"/>
  <c r="AO1532" i="2"/>
  <c r="AO1536" i="2"/>
  <c r="AO1540" i="2"/>
  <c r="AO1544" i="2"/>
  <c r="AO1548" i="2"/>
  <c r="AO1552" i="2"/>
  <c r="AO1556" i="2"/>
  <c r="AO1560" i="2"/>
  <c r="AO1564" i="2"/>
  <c r="AO1568" i="2"/>
  <c r="AO1572" i="2"/>
  <c r="AO1576" i="2"/>
  <c r="AO1580" i="2"/>
  <c r="AO1584" i="2"/>
  <c r="AO1588" i="2"/>
  <c r="AO1592" i="2"/>
  <c r="AO1596" i="2"/>
  <c r="AO1600" i="2"/>
  <c r="AO1604" i="2"/>
  <c r="AO1608" i="2"/>
  <c r="AO1612" i="2"/>
  <c r="AO1616" i="2"/>
  <c r="AO1620" i="2"/>
  <c r="AO13" i="2"/>
  <c r="AO33" i="2"/>
  <c r="AO55" i="2"/>
  <c r="AO77" i="2"/>
  <c r="AO97" i="2"/>
  <c r="AO119" i="2"/>
  <c r="AO141" i="2"/>
  <c r="AO161" i="2"/>
  <c r="AO183" i="2"/>
  <c r="AO205" i="2"/>
  <c r="AO225" i="2"/>
  <c r="AO247" i="2"/>
  <c r="AO269" i="2"/>
  <c r="AO289" i="2"/>
  <c r="AO311" i="2"/>
  <c r="AO329" i="2"/>
  <c r="AO342" i="2"/>
  <c r="AO353" i="2"/>
  <c r="AO364" i="2"/>
  <c r="AO374" i="2"/>
  <c r="AO385" i="2"/>
  <c r="AO396" i="2"/>
  <c r="AO406" i="2"/>
  <c r="AO417" i="2"/>
  <c r="AO428" i="2"/>
  <c r="AO438" i="2"/>
  <c r="AO449" i="2"/>
  <c r="AO460" i="2"/>
  <c r="AO470" i="2"/>
  <c r="AO481" i="2"/>
  <c r="AO492" i="2"/>
  <c r="AO502" i="2"/>
  <c r="AO511" i="2"/>
  <c r="AO519" i="2"/>
  <c r="AO527" i="2"/>
  <c r="AO535" i="2"/>
  <c r="AO543" i="2"/>
  <c r="AO551" i="2"/>
  <c r="AO559" i="2"/>
  <c r="AO567" i="2"/>
  <c r="AO575" i="2"/>
  <c r="AO583" i="2"/>
  <c r="AO591" i="2"/>
  <c r="AO599" i="2"/>
  <c r="AO607" i="2"/>
  <c r="AO615" i="2"/>
  <c r="AO623" i="2"/>
  <c r="AO631" i="2"/>
  <c r="AO639" i="2"/>
  <c r="AO647" i="2"/>
  <c r="AO655" i="2"/>
  <c r="AO663" i="2"/>
  <c r="AO671" i="2"/>
  <c r="AO679" i="2"/>
  <c r="AO687" i="2"/>
  <c r="AO695" i="2"/>
  <c r="AO703" i="2"/>
  <c r="AO711" i="2"/>
  <c r="AO719" i="2"/>
  <c r="AO727" i="2"/>
  <c r="AO735" i="2"/>
  <c r="AO743" i="2"/>
  <c r="AO751" i="2"/>
  <c r="AO759" i="2"/>
  <c r="AO767" i="2"/>
  <c r="AO775" i="2"/>
  <c r="AO783" i="2"/>
  <c r="AO791" i="2"/>
  <c r="AO799" i="2"/>
  <c r="AO807" i="2"/>
  <c r="AO815" i="2"/>
  <c r="AO823" i="2"/>
  <c r="AO831" i="2"/>
  <c r="AO839" i="2"/>
  <c r="AO847" i="2"/>
  <c r="AO855" i="2"/>
  <c r="AO863" i="2"/>
  <c r="AO871" i="2"/>
  <c r="AO879" i="2"/>
  <c r="AO887" i="2"/>
  <c r="AO895" i="2"/>
  <c r="AO903" i="2"/>
  <c r="AO911" i="2"/>
  <c r="AO919" i="2"/>
  <c r="AO927" i="2"/>
  <c r="AO933" i="2"/>
  <c r="AO937" i="2"/>
  <c r="AO941" i="2"/>
  <c r="AO945" i="2"/>
  <c r="AO949" i="2"/>
  <c r="AO953" i="2"/>
  <c r="AO957" i="2"/>
  <c r="AO961" i="2"/>
  <c r="AO965" i="2"/>
  <c r="AO969" i="2"/>
  <c r="AO973" i="2"/>
  <c r="AO977" i="2"/>
  <c r="AO981" i="2"/>
  <c r="AO985" i="2"/>
  <c r="AO989" i="2"/>
  <c r="AO993" i="2"/>
  <c r="AO997" i="2"/>
  <c r="AO1001" i="2"/>
  <c r="AO1005" i="2"/>
  <c r="AO1009" i="2"/>
  <c r="AO1013" i="2"/>
  <c r="AO1017" i="2"/>
  <c r="AO1021" i="2"/>
  <c r="AO1025" i="2"/>
  <c r="AO1029" i="2"/>
  <c r="AO1033" i="2"/>
  <c r="AO1037" i="2"/>
  <c r="AO1041" i="2"/>
  <c r="AO1045" i="2"/>
  <c r="AO1049" i="2"/>
  <c r="AO1053" i="2"/>
  <c r="AO1057" i="2"/>
  <c r="AO1061" i="2"/>
  <c r="AO1065" i="2"/>
  <c r="AO1069" i="2"/>
  <c r="AO1073" i="2"/>
  <c r="AO1077" i="2"/>
  <c r="AO1081" i="2"/>
  <c r="AO1085" i="2"/>
  <c r="AO1089" i="2"/>
  <c r="AO1093" i="2"/>
  <c r="AO1097" i="2"/>
  <c r="AO1101" i="2"/>
  <c r="AO1105" i="2"/>
  <c r="AO1109" i="2"/>
  <c r="AO1113" i="2"/>
  <c r="AO1117" i="2"/>
  <c r="AO1121" i="2"/>
  <c r="AO1125" i="2"/>
  <c r="AO1129" i="2"/>
  <c r="AO1133" i="2"/>
  <c r="AO1137" i="2"/>
  <c r="AO1141" i="2"/>
  <c r="AO1145" i="2"/>
  <c r="AO1149" i="2"/>
  <c r="AO1153" i="2"/>
  <c r="AO1157" i="2"/>
  <c r="AO1161" i="2"/>
  <c r="AO1165" i="2"/>
  <c r="AO1169" i="2"/>
  <c r="AO1173" i="2"/>
  <c r="AO1177" i="2"/>
  <c r="AO1181" i="2"/>
  <c r="AO1185" i="2"/>
  <c r="AO1189" i="2"/>
  <c r="AO1193" i="2"/>
  <c r="AO1197" i="2"/>
  <c r="AO1201" i="2"/>
  <c r="AO1205" i="2"/>
  <c r="AO1209" i="2"/>
  <c r="AO1213" i="2"/>
  <c r="AO1217" i="2"/>
  <c r="AO1221" i="2"/>
  <c r="AO1225" i="2"/>
  <c r="AO1229" i="2"/>
  <c r="AO1233" i="2"/>
  <c r="AO1237" i="2"/>
  <c r="AO1241" i="2"/>
  <c r="AO1245" i="2"/>
  <c r="AO1249" i="2"/>
  <c r="AO1253" i="2"/>
  <c r="AO1257" i="2"/>
  <c r="AO1261" i="2"/>
  <c r="AO1265" i="2"/>
  <c r="AO1269" i="2"/>
  <c r="AO21" i="2"/>
  <c r="AO63" i="2"/>
  <c r="AO105" i="2"/>
  <c r="AO149" i="2"/>
  <c r="AO191" i="2"/>
  <c r="AO233" i="2"/>
  <c r="AO277" i="2"/>
  <c r="AO319" i="2"/>
  <c r="AO346" i="2"/>
  <c r="AO368" i="2"/>
  <c r="AO389" i="2"/>
  <c r="AO410" i="2"/>
  <c r="AO432" i="2"/>
  <c r="AO453" i="2"/>
  <c r="AO474" i="2"/>
  <c r="AO496" i="2"/>
  <c r="AO514" i="2"/>
  <c r="AO530" i="2"/>
  <c r="AO546" i="2"/>
  <c r="AO562" i="2"/>
  <c r="AO578" i="2"/>
  <c r="AO594" i="2"/>
  <c r="AO610" i="2"/>
  <c r="AO626" i="2"/>
  <c r="AO642" i="2"/>
  <c r="AO658" i="2"/>
  <c r="AO674" i="2"/>
  <c r="AO690" i="2"/>
  <c r="AO706" i="2"/>
  <c r="AO722" i="2"/>
  <c r="AO738" i="2"/>
  <c r="AO754" i="2"/>
  <c r="AO770" i="2"/>
  <c r="AO786" i="2"/>
  <c r="AO802" i="2"/>
  <c r="AO818" i="2"/>
  <c r="AO834" i="2"/>
  <c r="AO850" i="2"/>
  <c r="AO866" i="2"/>
  <c r="AO882" i="2"/>
  <c r="AO898" i="2"/>
  <c r="AO914" i="2"/>
  <c r="AO930" i="2"/>
  <c r="AO938" i="2"/>
  <c r="AO946" i="2"/>
  <c r="AO954" i="2"/>
  <c r="AO962" i="2"/>
  <c r="AO970" i="2"/>
  <c r="AO978" i="2"/>
  <c r="AO986" i="2"/>
  <c r="AO994" i="2"/>
  <c r="AO1002" i="2"/>
  <c r="AO1010" i="2"/>
  <c r="AO1018" i="2"/>
  <c r="AO1026" i="2"/>
  <c r="AO1034" i="2"/>
  <c r="AO1042" i="2"/>
  <c r="AO1050" i="2"/>
  <c r="AO1058" i="2"/>
  <c r="AO1066" i="2"/>
  <c r="AO1074" i="2"/>
  <c r="AO1082" i="2"/>
  <c r="AO1090" i="2"/>
  <c r="AO1098" i="2"/>
  <c r="AO1106" i="2"/>
  <c r="AO1114" i="2"/>
  <c r="AO1122" i="2"/>
  <c r="AO1130" i="2"/>
  <c r="AO1138" i="2"/>
  <c r="AO1146" i="2"/>
  <c r="AO1154" i="2"/>
  <c r="AO1162" i="2"/>
  <c r="AO1170" i="2"/>
  <c r="AO1178" i="2"/>
  <c r="AO1186" i="2"/>
  <c r="AO1194" i="2"/>
  <c r="AO1202" i="2"/>
  <c r="AO1210" i="2"/>
  <c r="AO1218" i="2"/>
  <c r="AO1226" i="2"/>
  <c r="AO1234" i="2"/>
  <c r="AO1242" i="2"/>
  <c r="AO1250" i="2"/>
  <c r="AO1258" i="2"/>
  <c r="AO1266" i="2"/>
  <c r="AO1273" i="2"/>
  <c r="AO1278" i="2"/>
  <c r="AO1283" i="2"/>
  <c r="AO1289" i="2"/>
  <c r="AO1294" i="2"/>
  <c r="AO1299" i="2"/>
  <c r="AO1305" i="2"/>
  <c r="AO1310" i="2"/>
  <c r="AO1315" i="2"/>
  <c r="AO1321" i="2"/>
  <c r="AO1326" i="2"/>
  <c r="AO1331" i="2"/>
  <c r="AO1337" i="2"/>
  <c r="AO1342" i="2"/>
  <c r="AO1347" i="2"/>
  <c r="AO1353" i="2"/>
  <c r="AO1358" i="2"/>
  <c r="AO1363" i="2"/>
  <c r="AO1369" i="2"/>
  <c r="AO1374" i="2"/>
  <c r="AO1379" i="2"/>
  <c r="AO1385" i="2"/>
  <c r="AO1390" i="2"/>
  <c r="AO1395" i="2"/>
  <c r="AO1401" i="2"/>
  <c r="AO1406" i="2"/>
  <c r="AO1411" i="2"/>
  <c r="AO1417" i="2"/>
  <c r="AO1422" i="2"/>
  <c r="AO1427" i="2"/>
  <c r="AO1433" i="2"/>
  <c r="AO1438" i="2"/>
  <c r="AO1443" i="2"/>
  <c r="AO1449" i="2"/>
  <c r="AO1454" i="2"/>
  <c r="AO1459" i="2"/>
  <c r="AO1465" i="2"/>
  <c r="AO1470" i="2"/>
  <c r="AO1475" i="2"/>
  <c r="AO1481" i="2"/>
  <c r="AO1486" i="2"/>
  <c r="AO1491" i="2"/>
  <c r="AO1497" i="2"/>
  <c r="AO1502" i="2"/>
  <c r="AO1507" i="2"/>
  <c r="AO1513" i="2"/>
  <c r="AO1518" i="2"/>
  <c r="AO1523" i="2"/>
  <c r="AO1529" i="2"/>
  <c r="AO1534" i="2"/>
  <c r="AO1539" i="2"/>
  <c r="AO1545" i="2"/>
  <c r="AO1550" i="2"/>
  <c r="AO1555" i="2"/>
  <c r="AO1561" i="2"/>
  <c r="AO1566" i="2"/>
  <c r="AO1571" i="2"/>
  <c r="AO1577" i="2"/>
  <c r="AO1582" i="2"/>
  <c r="AO1587" i="2"/>
  <c r="AO1593" i="2"/>
  <c r="AO1598" i="2"/>
  <c r="AO1603" i="2"/>
  <c r="AO1609" i="2"/>
  <c r="AO1614" i="2"/>
  <c r="AO1619" i="2"/>
  <c r="AO1624" i="2"/>
  <c r="AO1628" i="2"/>
  <c r="AO1632" i="2"/>
  <c r="AO1636" i="2"/>
  <c r="AO1640" i="2"/>
  <c r="AO1644" i="2"/>
  <c r="AO1648" i="2"/>
  <c r="AO1652" i="2"/>
  <c r="AO1656" i="2"/>
  <c r="AO1660" i="2"/>
  <c r="AO1664" i="2"/>
  <c r="AO1668" i="2"/>
  <c r="AO1672" i="2"/>
  <c r="AO1676" i="2"/>
  <c r="AO1680" i="2"/>
  <c r="AO1684" i="2"/>
  <c r="AO1688" i="2"/>
  <c r="AO1692" i="2"/>
  <c r="AO1696" i="2"/>
  <c r="AO1700" i="2"/>
  <c r="AO1704" i="2"/>
  <c r="AO1708" i="2"/>
  <c r="AO1712" i="2"/>
  <c r="AO1716" i="2"/>
  <c r="AO1720" i="2"/>
  <c r="AO1724" i="2"/>
  <c r="AO1728" i="2"/>
  <c r="AO1732" i="2"/>
  <c r="AO1736" i="2"/>
  <c r="AO1740" i="2"/>
  <c r="AO1744" i="2"/>
  <c r="AO1748" i="2"/>
  <c r="AO1752" i="2"/>
  <c r="AO1756" i="2"/>
  <c r="AO1760" i="2"/>
  <c r="AO1764" i="2"/>
  <c r="AO1768" i="2"/>
  <c r="AO1772" i="2"/>
  <c r="AO1776" i="2"/>
  <c r="AO1780" i="2"/>
  <c r="AO1784" i="2"/>
  <c r="AO1788" i="2"/>
  <c r="AO1792" i="2"/>
  <c r="AO1796" i="2"/>
  <c r="AO1800" i="2"/>
  <c r="AO1804" i="2"/>
  <c r="AO1808" i="2"/>
  <c r="AO1812" i="2"/>
  <c r="AO1816" i="2"/>
  <c r="AO1820" i="2"/>
  <c r="AO1824" i="2"/>
  <c r="AO1828" i="2"/>
  <c r="AO1832" i="2"/>
  <c r="AO1836" i="2"/>
  <c r="AO1840" i="2"/>
  <c r="AO1844" i="2"/>
  <c r="AO1848" i="2"/>
  <c r="AO1852" i="2"/>
  <c r="AO1856" i="2"/>
  <c r="AO1860" i="2"/>
  <c r="AO1864" i="2"/>
  <c r="AO1868" i="2"/>
  <c r="AO1872" i="2"/>
  <c r="AO1876" i="2"/>
  <c r="AO1880" i="2"/>
  <c r="AO1884" i="2"/>
  <c r="AO1888" i="2"/>
  <c r="AO23" i="2"/>
  <c r="AO65" i="2"/>
  <c r="AO109" i="2"/>
  <c r="AO151" i="2"/>
  <c r="AO193" i="2"/>
  <c r="AO237" i="2"/>
  <c r="AO279" i="2"/>
  <c r="AO321" i="2"/>
  <c r="AO348" i="2"/>
  <c r="AO369" i="2"/>
  <c r="AO390" i="2"/>
  <c r="AO412" i="2"/>
  <c r="AO433" i="2"/>
  <c r="AO454" i="2"/>
  <c r="AO476" i="2"/>
  <c r="AO497" i="2"/>
  <c r="AO515" i="2"/>
  <c r="AO531" i="2"/>
  <c r="AO547" i="2"/>
  <c r="AO563" i="2"/>
  <c r="AO579" i="2"/>
  <c r="AO595" i="2"/>
  <c r="AO611" i="2"/>
  <c r="AO627" i="2"/>
  <c r="AO643" i="2"/>
  <c r="AO659" i="2"/>
  <c r="AO675" i="2"/>
  <c r="AO691" i="2"/>
  <c r="AO707" i="2"/>
  <c r="AO723" i="2"/>
  <c r="AO739" i="2"/>
  <c r="AO755" i="2"/>
  <c r="AO771" i="2"/>
  <c r="AO787" i="2"/>
  <c r="AO803" i="2"/>
  <c r="AO41" i="2"/>
  <c r="AO85" i="2"/>
  <c r="AO127" i="2"/>
  <c r="AO169" i="2"/>
  <c r="AO213" i="2"/>
  <c r="AO255" i="2"/>
  <c r="AO297" i="2"/>
  <c r="AO334" i="2"/>
  <c r="AO357" i="2"/>
  <c r="AO378" i="2"/>
  <c r="AO400" i="2"/>
  <c r="AO421" i="2"/>
  <c r="AO442" i="2"/>
  <c r="AO464" i="2"/>
  <c r="AO485" i="2"/>
  <c r="AO506" i="2"/>
  <c r="AO522" i="2"/>
  <c r="AO538" i="2"/>
  <c r="AO554" i="2"/>
  <c r="AO570" i="2"/>
  <c r="AO586" i="2"/>
  <c r="AO602" i="2"/>
  <c r="AO618" i="2"/>
  <c r="AO634" i="2"/>
  <c r="AO650" i="2"/>
  <c r="AO666" i="2"/>
  <c r="AO682" i="2"/>
  <c r="AO698" i="2"/>
  <c r="AO714" i="2"/>
  <c r="AO730" i="2"/>
  <c r="AO746" i="2"/>
  <c r="AO762" i="2"/>
  <c r="AO778" i="2"/>
  <c r="AO794" i="2"/>
  <c r="AO810" i="2"/>
  <c r="AO826" i="2"/>
  <c r="AO842" i="2"/>
  <c r="AO858" i="2"/>
  <c r="AO874" i="2"/>
  <c r="AO890" i="2"/>
  <c r="AO906" i="2"/>
  <c r="AO922" i="2"/>
  <c r="AO934" i="2"/>
  <c r="AO942" i="2"/>
  <c r="AO950" i="2"/>
  <c r="AO958" i="2"/>
  <c r="AO966" i="2"/>
  <c r="AO974" i="2"/>
  <c r="AO982" i="2"/>
  <c r="AO990" i="2"/>
  <c r="AO998" i="2"/>
  <c r="AO1006" i="2"/>
  <c r="AO1014" i="2"/>
  <c r="AO1022" i="2"/>
  <c r="AO1030" i="2"/>
  <c r="AO1038" i="2"/>
  <c r="AO1046" i="2"/>
  <c r="AO1054" i="2"/>
  <c r="AO1062" i="2"/>
  <c r="AO1070" i="2"/>
  <c r="AO1078" i="2"/>
  <c r="AO1086" i="2"/>
  <c r="AO1094" i="2"/>
  <c r="AO1102" i="2"/>
  <c r="AO1110" i="2"/>
  <c r="AO1118" i="2"/>
  <c r="AO1126" i="2"/>
  <c r="AO1134" i="2"/>
  <c r="AO1142" i="2"/>
  <c r="AO1150" i="2"/>
  <c r="AO1158" i="2"/>
  <c r="AO1166" i="2"/>
  <c r="AO1174" i="2"/>
  <c r="AO1182" i="2"/>
  <c r="AO1190" i="2"/>
  <c r="AO1198" i="2"/>
  <c r="AO1206" i="2"/>
  <c r="AO1214" i="2"/>
  <c r="AO1222" i="2"/>
  <c r="AO1230" i="2"/>
  <c r="AO1238" i="2"/>
  <c r="AO1246" i="2"/>
  <c r="AO1254" i="2"/>
  <c r="AO1262" i="2"/>
  <c r="AO1270" i="2"/>
  <c r="AO45" i="2"/>
  <c r="AO215" i="2"/>
  <c r="AO358" i="2"/>
  <c r="AO444" i="2"/>
  <c r="AO523" i="2"/>
  <c r="AO587" i="2"/>
  <c r="AO651" i="2"/>
  <c r="AO715" i="2"/>
  <c r="AO779" i="2"/>
  <c r="AO827" i="2"/>
  <c r="AO859" i="2"/>
  <c r="AO891" i="2"/>
  <c r="AO923" i="2"/>
  <c r="AO943" i="2"/>
  <c r="AO959" i="2"/>
  <c r="AO975" i="2"/>
  <c r="AO991" i="2"/>
  <c r="AO1007" i="2"/>
  <c r="AO1023" i="2"/>
  <c r="AO1039" i="2"/>
  <c r="AO1055" i="2"/>
  <c r="AO1071" i="2"/>
  <c r="AO1087" i="2"/>
  <c r="AO1103" i="2"/>
  <c r="AO1119" i="2"/>
  <c r="AO1135" i="2"/>
  <c r="AO1151" i="2"/>
  <c r="AO1167" i="2"/>
  <c r="AO1183" i="2"/>
  <c r="AO1199" i="2"/>
  <c r="AO1215" i="2"/>
  <c r="AO1231" i="2"/>
  <c r="AO1247" i="2"/>
  <c r="AO1263" i="2"/>
  <c r="AO1275" i="2"/>
  <c r="AO1282" i="2"/>
  <c r="AO1290" i="2"/>
  <c r="AO1297" i="2"/>
  <c r="AO1303" i="2"/>
  <c r="AO1311" i="2"/>
  <c r="AO1318" i="2"/>
  <c r="AO1325" i="2"/>
  <c r="AO1333" i="2"/>
  <c r="AO1339" i="2"/>
  <c r="AO1346" i="2"/>
  <c r="AO1354" i="2"/>
  <c r="AO1361" i="2"/>
  <c r="AO1367" i="2"/>
  <c r="AO1375" i="2"/>
  <c r="AO1382" i="2"/>
  <c r="AO1389" i="2"/>
  <c r="AO1397" i="2"/>
  <c r="AO1403" i="2"/>
  <c r="AO1410" i="2"/>
  <c r="AO1418" i="2"/>
  <c r="AO1425" i="2"/>
  <c r="AO1431" i="2"/>
  <c r="AO1439" i="2"/>
  <c r="AO1446" i="2"/>
  <c r="AO1453" i="2"/>
  <c r="AO1461" i="2"/>
  <c r="AO1467" i="2"/>
  <c r="AO1474" i="2"/>
  <c r="AO1482" i="2"/>
  <c r="AO1489" i="2"/>
  <c r="AO1495" i="2"/>
  <c r="AO1503" i="2"/>
  <c r="AO1510" i="2"/>
  <c r="AO1517" i="2"/>
  <c r="AO1525" i="2"/>
  <c r="AO1531" i="2"/>
  <c r="AO1538" i="2"/>
  <c r="AO1546" i="2"/>
  <c r="AO1553" i="2"/>
  <c r="AO1559" i="2"/>
  <c r="AO1567" i="2"/>
  <c r="AO1574" i="2"/>
  <c r="AO1581" i="2"/>
  <c r="AO1589" i="2"/>
  <c r="AO1595" i="2"/>
  <c r="AO1602" i="2"/>
  <c r="AO1610" i="2"/>
  <c r="AO1617" i="2"/>
  <c r="AO1623" i="2"/>
  <c r="AO1629" i="2"/>
  <c r="AO1634" i="2"/>
  <c r="AO1639" i="2"/>
  <c r="AO1645" i="2"/>
  <c r="AO1650" i="2"/>
  <c r="AO1655" i="2"/>
  <c r="AO1661" i="2"/>
  <c r="AO1666" i="2"/>
  <c r="AO1671" i="2"/>
  <c r="AO1677" i="2"/>
  <c r="AO1682" i="2"/>
  <c r="AO1687" i="2"/>
  <c r="AO1693" i="2"/>
  <c r="AO1698" i="2"/>
  <c r="AO1703" i="2"/>
  <c r="AO1709" i="2"/>
  <c r="AO1714" i="2"/>
  <c r="AO1719" i="2"/>
  <c r="AO1725" i="2"/>
  <c r="AO1730" i="2"/>
  <c r="AO1735" i="2"/>
  <c r="AO1741" i="2"/>
  <c r="AO1746" i="2"/>
  <c r="AO1751" i="2"/>
  <c r="AO1757" i="2"/>
  <c r="AO1762" i="2"/>
  <c r="AO1767" i="2"/>
  <c r="AO1773" i="2"/>
  <c r="AO1778" i="2"/>
  <c r="AO1783" i="2"/>
  <c r="AO1789" i="2"/>
  <c r="AO1794" i="2"/>
  <c r="AO1799" i="2"/>
  <c r="AO1805" i="2"/>
  <c r="AO1810" i="2"/>
  <c r="AO1815" i="2"/>
  <c r="AO1821" i="2"/>
  <c r="AO1826" i="2"/>
  <c r="AO1831" i="2"/>
  <c r="AO1837" i="2"/>
  <c r="AO1842" i="2"/>
  <c r="AO1847" i="2"/>
  <c r="AO1853" i="2"/>
  <c r="AO1858" i="2"/>
  <c r="AO1863" i="2"/>
  <c r="AO1869" i="2"/>
  <c r="AO1874" i="2"/>
  <c r="AO1879" i="2"/>
  <c r="AO1885" i="2"/>
  <c r="AO1890" i="2"/>
  <c r="AO1894" i="2"/>
  <c r="AO1898" i="2"/>
  <c r="AO1902" i="2"/>
  <c r="AO1906" i="2"/>
  <c r="AO1910" i="2"/>
  <c r="AO1914" i="2"/>
  <c r="AO1918" i="2"/>
  <c r="AO1922" i="2"/>
  <c r="AO1926" i="2"/>
  <c r="AO1930" i="2"/>
  <c r="AO1934" i="2"/>
  <c r="AO1938" i="2"/>
  <c r="AO1942" i="2"/>
  <c r="AO1946" i="2"/>
  <c r="AO1950" i="2"/>
  <c r="AO1954" i="2"/>
  <c r="AO1958" i="2"/>
  <c r="AO1962" i="2"/>
  <c r="AO1966" i="2"/>
  <c r="AO1970" i="2"/>
  <c r="AO1974" i="2"/>
  <c r="AO1978" i="2"/>
  <c r="AO1982" i="2"/>
  <c r="AO1986" i="2"/>
  <c r="AO1990" i="2"/>
  <c r="AO1994" i="2"/>
  <c r="AO1998" i="2"/>
  <c r="AO2002" i="2"/>
  <c r="AO2006" i="2"/>
  <c r="AO2010" i="2"/>
  <c r="AO2014" i="2"/>
  <c r="AO2018" i="2"/>
  <c r="AO87" i="2"/>
  <c r="AO257" i="2"/>
  <c r="AO380" i="2"/>
  <c r="AO465" i="2"/>
  <c r="AO539" i="2"/>
  <c r="AO603" i="2"/>
  <c r="AO667" i="2"/>
  <c r="AO731" i="2"/>
  <c r="AO795" i="2"/>
  <c r="AO835" i="2"/>
  <c r="AO867" i="2"/>
  <c r="AO899" i="2"/>
  <c r="AO931" i="2"/>
  <c r="AO947" i="2"/>
  <c r="AO963" i="2"/>
  <c r="AO979" i="2"/>
  <c r="AO995" i="2"/>
  <c r="AO1011" i="2"/>
  <c r="AO1027" i="2"/>
  <c r="AO1043" i="2"/>
  <c r="AO1059" i="2"/>
  <c r="AO1075" i="2"/>
  <c r="AO1091" i="2"/>
  <c r="AO1107" i="2"/>
  <c r="AO1123" i="2"/>
  <c r="AO1139" i="2"/>
  <c r="AO1155" i="2"/>
  <c r="AO1171" i="2"/>
  <c r="AO1187" i="2"/>
  <c r="AO1203" i="2"/>
  <c r="AO1219" i="2"/>
  <c r="AO1235" i="2"/>
  <c r="AO1251" i="2"/>
  <c r="AO1267" i="2"/>
  <c r="AO1277" i="2"/>
  <c r="AO1285" i="2"/>
  <c r="AO1291" i="2"/>
  <c r="AO1298" i="2"/>
  <c r="AO1306" i="2"/>
  <c r="AO1313" i="2"/>
  <c r="AO1319" i="2"/>
  <c r="AO1327" i="2"/>
  <c r="AO1334" i="2"/>
  <c r="AO1341" i="2"/>
  <c r="AO1349" i="2"/>
  <c r="AO1355" i="2"/>
  <c r="AO1362" i="2"/>
  <c r="AO1370" i="2"/>
  <c r="AO1377" i="2"/>
  <c r="AO1383" i="2"/>
  <c r="AO1391" i="2"/>
  <c r="AO1398" i="2"/>
  <c r="AO1405" i="2"/>
  <c r="AO1413" i="2"/>
  <c r="AO1419" i="2"/>
  <c r="AO1426" i="2"/>
  <c r="AO1434" i="2"/>
  <c r="AO1441" i="2"/>
  <c r="AO1447" i="2"/>
  <c r="AO1455" i="2"/>
  <c r="AO1462" i="2"/>
  <c r="AO1469" i="2"/>
  <c r="AO1477" i="2"/>
  <c r="AO1483" i="2"/>
  <c r="AO1490" i="2"/>
  <c r="AO1498" i="2"/>
  <c r="AO1505" i="2"/>
  <c r="AO1511" i="2"/>
  <c r="AO1519" i="2"/>
  <c r="AO1526" i="2"/>
  <c r="AO1533" i="2"/>
  <c r="AO1541" i="2"/>
  <c r="AO1547" i="2"/>
  <c r="AO1554" i="2"/>
  <c r="AO1562" i="2"/>
  <c r="AO1569" i="2"/>
  <c r="AO1575" i="2"/>
  <c r="AO1583" i="2"/>
  <c r="AO1590" i="2"/>
  <c r="AO1597" i="2"/>
  <c r="AO1605" i="2"/>
  <c r="AO1611" i="2"/>
  <c r="AO1618" i="2"/>
  <c r="AO1625" i="2"/>
  <c r="AO1630" i="2"/>
  <c r="AO1635" i="2"/>
  <c r="AO1641" i="2"/>
  <c r="AO1646" i="2"/>
  <c r="AO1651" i="2"/>
  <c r="AO1657" i="2"/>
  <c r="AO1662" i="2"/>
  <c r="AO1667" i="2"/>
  <c r="AO1673" i="2"/>
  <c r="AO1678" i="2"/>
  <c r="AO1683" i="2"/>
  <c r="AO1689" i="2"/>
  <c r="AO1694" i="2"/>
  <c r="AO1699" i="2"/>
  <c r="AO1705" i="2"/>
  <c r="AO1710" i="2"/>
  <c r="AO1715" i="2"/>
  <c r="AO1721" i="2"/>
  <c r="AO1726" i="2"/>
  <c r="AO1731" i="2"/>
  <c r="AO1737" i="2"/>
  <c r="AO1742" i="2"/>
  <c r="AO1747" i="2"/>
  <c r="AO1753" i="2"/>
  <c r="AO1758" i="2"/>
  <c r="AO1763" i="2"/>
  <c r="AO1769" i="2"/>
  <c r="AO1774" i="2"/>
  <c r="AO1779" i="2"/>
  <c r="AO1785" i="2"/>
  <c r="AO1790" i="2"/>
  <c r="AO1795" i="2"/>
  <c r="AO1801" i="2"/>
  <c r="AO1806" i="2"/>
  <c r="AO1811" i="2"/>
  <c r="AO1817" i="2"/>
  <c r="AO1822" i="2"/>
  <c r="AO1827" i="2"/>
  <c r="AO1833" i="2"/>
  <c r="AO1838" i="2"/>
  <c r="AO1843" i="2"/>
  <c r="AO1849" i="2"/>
  <c r="AO1854" i="2"/>
  <c r="AO1859" i="2"/>
  <c r="AO1865" i="2"/>
  <c r="AO1870" i="2"/>
  <c r="AO1875" i="2"/>
  <c r="AO1881" i="2"/>
  <c r="AO1886" i="2"/>
  <c r="AO1891" i="2"/>
  <c r="AO1895" i="2"/>
  <c r="AO1899" i="2"/>
  <c r="AO1903" i="2"/>
  <c r="AO1907" i="2"/>
  <c r="AO1911" i="2"/>
  <c r="AO1915" i="2"/>
  <c r="AO1919" i="2"/>
  <c r="AO1923" i="2"/>
  <c r="AO1927" i="2"/>
  <c r="AO1931" i="2"/>
  <c r="AO1935" i="2"/>
  <c r="AO1939" i="2"/>
  <c r="AO1943" i="2"/>
  <c r="AO1947" i="2"/>
  <c r="AO1951" i="2"/>
  <c r="AO1955" i="2"/>
  <c r="AO1959" i="2"/>
  <c r="AO1963" i="2"/>
  <c r="AO1967" i="2"/>
  <c r="AO1971" i="2"/>
  <c r="AO1975" i="2"/>
  <c r="AO1979" i="2"/>
  <c r="AO1983" i="2"/>
  <c r="AO1987" i="2"/>
  <c r="AO1991" i="2"/>
  <c r="AO1995" i="2"/>
  <c r="AO1999" i="2"/>
  <c r="AO2003" i="2"/>
  <c r="AO2007" i="2"/>
  <c r="AO2011" i="2"/>
  <c r="AO2015" i="2"/>
  <c r="AO2019" i="2"/>
  <c r="AO129" i="2"/>
  <c r="AO301" i="2"/>
  <c r="AO401" i="2"/>
  <c r="AO486" i="2"/>
  <c r="AO555" i="2"/>
  <c r="AO619" i="2"/>
  <c r="AO683" i="2"/>
  <c r="AO747" i="2"/>
  <c r="AO811" i="2"/>
  <c r="AO843" i="2"/>
  <c r="AO875" i="2"/>
  <c r="AO907" i="2"/>
  <c r="AO935" i="2"/>
  <c r="AO951" i="2"/>
  <c r="AO967" i="2"/>
  <c r="AO983" i="2"/>
  <c r="AO999" i="2"/>
  <c r="AO1015" i="2"/>
  <c r="AO1031" i="2"/>
  <c r="AO1047" i="2"/>
  <c r="AO1063" i="2"/>
  <c r="AO1079" i="2"/>
  <c r="AO1095" i="2"/>
  <c r="AO1111" i="2"/>
  <c r="AO1127" i="2"/>
  <c r="AO1143" i="2"/>
  <c r="AO1159" i="2"/>
  <c r="AO1175" i="2"/>
  <c r="AO1191" i="2"/>
  <c r="AO1207" i="2"/>
  <c r="AO1223" i="2"/>
  <c r="AO1239" i="2"/>
  <c r="AO1255" i="2"/>
  <c r="AO1271" i="2"/>
  <c r="AO1279" i="2"/>
  <c r="AO1286" i="2"/>
  <c r="AO1293" i="2"/>
  <c r="AO1301" i="2"/>
  <c r="AO1307" i="2"/>
  <c r="AO1314" i="2"/>
  <c r="AO1322" i="2"/>
  <c r="AO1329" i="2"/>
  <c r="AO1335" i="2"/>
  <c r="AO1343" i="2"/>
  <c r="AO1350" i="2"/>
  <c r="AO1357" i="2"/>
  <c r="AO1365" i="2"/>
  <c r="AO1371" i="2"/>
  <c r="AO1378" i="2"/>
  <c r="AO1386" i="2"/>
  <c r="AO1393" i="2"/>
  <c r="AO1399" i="2"/>
  <c r="AO1407" i="2"/>
  <c r="AO1414" i="2"/>
  <c r="AO1421" i="2"/>
  <c r="AO1429" i="2"/>
  <c r="AO1435" i="2"/>
  <c r="AO1442" i="2"/>
  <c r="AO1450" i="2"/>
  <c r="AO1457" i="2"/>
  <c r="AO1463" i="2"/>
  <c r="AO1471" i="2"/>
  <c r="AO1478" i="2"/>
  <c r="AO1485" i="2"/>
  <c r="AO1493" i="2"/>
  <c r="AO1499" i="2"/>
  <c r="AO1506" i="2"/>
  <c r="AO1514" i="2"/>
  <c r="AO1521" i="2"/>
  <c r="AO1527" i="2"/>
  <c r="AO1535" i="2"/>
  <c r="AO1542" i="2"/>
  <c r="AO1549" i="2"/>
  <c r="AO1557" i="2"/>
  <c r="AO1563" i="2"/>
  <c r="AO1570" i="2"/>
  <c r="AO1578" i="2"/>
  <c r="AO1585" i="2"/>
  <c r="AO1591" i="2"/>
  <c r="AO1599" i="2"/>
  <c r="AO1606" i="2"/>
  <c r="AO1613" i="2"/>
  <c r="AO1621" i="2"/>
  <c r="AO1626" i="2"/>
  <c r="AO1631" i="2"/>
  <c r="AO1637" i="2"/>
  <c r="AO1642" i="2"/>
  <c r="AO1647" i="2"/>
  <c r="AO1653" i="2"/>
  <c r="AO1658" i="2"/>
  <c r="AO1663" i="2"/>
  <c r="AO1669" i="2"/>
  <c r="AO1674" i="2"/>
  <c r="AO1679" i="2"/>
  <c r="AO1685" i="2"/>
  <c r="AO1690" i="2"/>
  <c r="AO1695" i="2"/>
  <c r="AO1701" i="2"/>
  <c r="AO1706" i="2"/>
  <c r="AO1711" i="2"/>
  <c r="AO1717" i="2"/>
  <c r="AO1722" i="2"/>
  <c r="AO1727" i="2"/>
  <c r="AO1733" i="2"/>
  <c r="AO1738" i="2"/>
  <c r="AO1743" i="2"/>
  <c r="AO1749" i="2"/>
  <c r="AO1754" i="2"/>
  <c r="AO1759" i="2"/>
  <c r="AO1765" i="2"/>
  <c r="AO1770" i="2"/>
  <c r="AO1775" i="2"/>
  <c r="AO1781" i="2"/>
  <c r="AO1786" i="2"/>
  <c r="AO1791" i="2"/>
  <c r="AO1797" i="2"/>
  <c r="AO1802" i="2"/>
  <c r="AO1807" i="2"/>
  <c r="AO1813" i="2"/>
  <c r="AO1818" i="2"/>
  <c r="AO1823" i="2"/>
  <c r="AO1829" i="2"/>
  <c r="AO1834" i="2"/>
  <c r="AO1839" i="2"/>
  <c r="AO1845" i="2"/>
  <c r="AO1850" i="2"/>
  <c r="AO1855" i="2"/>
  <c r="AO1861" i="2"/>
  <c r="AO1866" i="2"/>
  <c r="AO1871" i="2"/>
  <c r="AO1877" i="2"/>
  <c r="AO1882" i="2"/>
  <c r="AO1887" i="2"/>
  <c r="AO1892" i="2"/>
  <c r="AO1896" i="2"/>
  <c r="AO1900" i="2"/>
  <c r="AO1904" i="2"/>
  <c r="AO1908" i="2"/>
  <c r="AO1912" i="2"/>
  <c r="AO1916" i="2"/>
  <c r="AO1920" i="2"/>
  <c r="AO1924" i="2"/>
  <c r="AO1928" i="2"/>
  <c r="AO1932" i="2"/>
  <c r="AO1936" i="2"/>
  <c r="AO1940" i="2"/>
  <c r="AO1944" i="2"/>
  <c r="AO1948" i="2"/>
  <c r="AO1952" i="2"/>
  <c r="AO1956" i="2"/>
  <c r="AO1960" i="2"/>
  <c r="AO1964" i="2"/>
  <c r="AO1968" i="2"/>
  <c r="AO1972" i="2"/>
  <c r="AO1976" i="2"/>
  <c r="AO1980" i="2"/>
  <c r="AO1984" i="2"/>
  <c r="AO1988" i="2"/>
  <c r="AO1992" i="2"/>
  <c r="AO1996" i="2"/>
  <c r="AO2000" i="2"/>
  <c r="AO2004" i="2"/>
  <c r="AO2008" i="2"/>
  <c r="AO2012" i="2"/>
  <c r="AO2016" i="2"/>
  <c r="AO2020" i="2"/>
  <c r="AO2024" i="2"/>
  <c r="AO2028" i="2"/>
  <c r="AO2032" i="2"/>
  <c r="AO2036" i="2"/>
  <c r="AO173" i="2"/>
  <c r="AO571" i="2"/>
  <c r="AO819" i="2"/>
  <c r="AO939" i="2"/>
  <c r="AO1003" i="2"/>
  <c r="AO1067" i="2"/>
  <c r="AO1131" i="2"/>
  <c r="AO1195" i="2"/>
  <c r="AO1259" i="2"/>
  <c r="AO1295" i="2"/>
  <c r="AO1323" i="2"/>
  <c r="AO1351" i="2"/>
  <c r="AO1381" i="2"/>
  <c r="AO1409" i="2"/>
  <c r="AO1437" i="2"/>
  <c r="AO1466" i="2"/>
  <c r="AO1494" i="2"/>
  <c r="AO1522" i="2"/>
  <c r="AO1551" i="2"/>
  <c r="AO1579" i="2"/>
  <c r="AO1607" i="2"/>
  <c r="AO1633" i="2"/>
  <c r="AO1654" i="2"/>
  <c r="AO1675" i="2"/>
  <c r="AO1697" i="2"/>
  <c r="AO1718" i="2"/>
  <c r="AO1739" i="2"/>
  <c r="AO1761" i="2"/>
  <c r="AO1782" i="2"/>
  <c r="AO1803" i="2"/>
  <c r="AO1825" i="2"/>
  <c r="AO1846" i="2"/>
  <c r="AO1867" i="2"/>
  <c r="AO1889" i="2"/>
  <c r="AO1905" i="2"/>
  <c r="AO1921" i="2"/>
  <c r="AO1937" i="2"/>
  <c r="AO1953" i="2"/>
  <c r="AO1969" i="2"/>
  <c r="AO1985" i="2"/>
  <c r="AO2001" i="2"/>
  <c r="AO2017" i="2"/>
  <c r="AO2025" i="2"/>
  <c r="AO2030" i="2"/>
  <c r="AO2035" i="2"/>
  <c r="AO2040" i="2"/>
  <c r="AO2044" i="2"/>
  <c r="AO2048" i="2"/>
  <c r="AO2052" i="2"/>
  <c r="AO2056" i="2"/>
  <c r="AO2060" i="2"/>
  <c r="AO2064" i="2"/>
  <c r="AO2068" i="2"/>
  <c r="AO2072" i="2"/>
  <c r="AO2076" i="2"/>
  <c r="AO2080" i="2"/>
  <c r="AO2084" i="2"/>
  <c r="AO2088" i="2"/>
  <c r="AO2092" i="2"/>
  <c r="AO2096" i="2"/>
  <c r="AO2100" i="2"/>
  <c r="AO2104" i="2"/>
  <c r="AO2108" i="2"/>
  <c r="AO2112" i="2"/>
  <c r="AO2116" i="2"/>
  <c r="AO2120" i="2"/>
  <c r="AO2124" i="2"/>
  <c r="AO2128" i="2"/>
  <c r="AO2132" i="2"/>
  <c r="AO2136" i="2"/>
  <c r="AO2140" i="2"/>
  <c r="AO2144" i="2"/>
  <c r="AO2148" i="2"/>
  <c r="AO2152" i="2"/>
  <c r="AO2156" i="2"/>
  <c r="AO2160" i="2"/>
  <c r="AO2164" i="2"/>
  <c r="AO2168" i="2"/>
  <c r="AO2172" i="2"/>
  <c r="AO2176" i="2"/>
  <c r="AO2180" i="2"/>
  <c r="AO2184" i="2"/>
  <c r="AO2188" i="2"/>
  <c r="AO2192" i="2"/>
  <c r="AO2196" i="2"/>
  <c r="AO2200" i="2"/>
  <c r="AO2204" i="2"/>
  <c r="AO2208" i="2"/>
  <c r="AO2212" i="2"/>
  <c r="AO2216" i="2"/>
  <c r="AO2220" i="2"/>
  <c r="AO2224" i="2"/>
  <c r="AO2228" i="2"/>
  <c r="AO2232" i="2"/>
  <c r="AO2236" i="2"/>
  <c r="AO2240" i="2"/>
  <c r="AO2244" i="2"/>
  <c r="AO2248" i="2"/>
  <c r="AO2252" i="2"/>
  <c r="AO2256" i="2"/>
  <c r="AO2260" i="2"/>
  <c r="AO2264" i="2"/>
  <c r="AO2268" i="2"/>
  <c r="AO2272" i="2"/>
  <c r="AO2276" i="2"/>
  <c r="AO2280" i="2"/>
  <c r="AO2284" i="2"/>
  <c r="AO2288" i="2"/>
  <c r="AO2292" i="2"/>
  <c r="AO2296" i="2"/>
  <c r="AO2300" i="2"/>
  <c r="AO2304" i="2"/>
  <c r="AO2308" i="2"/>
  <c r="AO2312" i="2"/>
  <c r="AO2316" i="2"/>
  <c r="AO2320" i="2"/>
  <c r="AO2324" i="2"/>
  <c r="AO2328" i="2"/>
  <c r="AO2332" i="2"/>
  <c r="AO2336" i="2"/>
  <c r="AO2340" i="2"/>
  <c r="AO2344" i="2"/>
  <c r="AO2348" i="2"/>
  <c r="AO2352" i="2"/>
  <c r="AO2356" i="2"/>
  <c r="AO2360" i="2"/>
  <c r="AO2364" i="2"/>
  <c r="AO2368" i="2"/>
  <c r="AO2372" i="2"/>
  <c r="AO2376" i="2"/>
  <c r="AO2380" i="2"/>
  <c r="AO2384" i="2"/>
  <c r="AO2388" i="2"/>
  <c r="AO2392" i="2"/>
  <c r="AO2396" i="2"/>
  <c r="AO2400" i="2"/>
  <c r="AO2404" i="2"/>
  <c r="AO2408" i="2"/>
  <c r="AO2412" i="2"/>
  <c r="AO2416" i="2"/>
  <c r="AO2420" i="2"/>
  <c r="AO2424" i="2"/>
  <c r="AO2428" i="2"/>
  <c r="AO2432" i="2"/>
  <c r="AO2436" i="2"/>
  <c r="AO2440" i="2"/>
  <c r="AO2444" i="2"/>
  <c r="AO2448" i="2"/>
  <c r="AO2452" i="2"/>
  <c r="AO2456" i="2"/>
  <c r="AO2460" i="2"/>
  <c r="AO2464" i="2"/>
  <c r="AO2468" i="2"/>
  <c r="AO2472" i="2"/>
  <c r="AO2476" i="2"/>
  <c r="AO2480" i="2"/>
  <c r="AO2484" i="2"/>
  <c r="AO2488" i="2"/>
  <c r="AO2492" i="2"/>
  <c r="AO2496" i="2"/>
  <c r="AO2500" i="2"/>
  <c r="AO2504" i="2"/>
  <c r="AO2508" i="2"/>
  <c r="AO2512" i="2"/>
  <c r="AO2516" i="2"/>
  <c r="AO2520" i="2"/>
  <c r="AO2524" i="2"/>
  <c r="AO2528" i="2"/>
  <c r="AO2532" i="2"/>
  <c r="AO2536" i="2"/>
  <c r="AO2540" i="2"/>
  <c r="AO2544" i="2"/>
  <c r="AO2548" i="2"/>
  <c r="AO2552" i="2"/>
  <c r="AO2556" i="2"/>
  <c r="AO2560" i="2"/>
  <c r="AO2564" i="2"/>
  <c r="AO2568" i="2"/>
  <c r="AO2572" i="2"/>
  <c r="AO2576" i="2"/>
  <c r="AO2580" i="2"/>
  <c r="AO2584" i="2"/>
  <c r="AO2588" i="2"/>
  <c r="AO2592" i="2"/>
  <c r="AO2596" i="2"/>
  <c r="AO2600" i="2"/>
  <c r="AO2604" i="2"/>
  <c r="AO2608" i="2"/>
  <c r="AO2612" i="2"/>
  <c r="AO2616" i="2"/>
  <c r="AO2620" i="2"/>
  <c r="AO2624" i="2"/>
  <c r="AO2628" i="2"/>
  <c r="AO2632" i="2"/>
  <c r="AO2636" i="2"/>
  <c r="AO2640" i="2"/>
  <c r="AO2644" i="2"/>
  <c r="AO2648" i="2"/>
  <c r="AO2652" i="2"/>
  <c r="AO2656" i="2"/>
  <c r="AO2660" i="2"/>
  <c r="AO2664" i="2"/>
  <c r="AO2668" i="2"/>
  <c r="AO2672" i="2"/>
  <c r="AO2676" i="2"/>
  <c r="AO2680" i="2"/>
  <c r="AO2684" i="2"/>
  <c r="AO2688" i="2"/>
  <c r="AO2692" i="2"/>
  <c r="AO2696" i="2"/>
  <c r="AO2700" i="2"/>
  <c r="AO2704" i="2"/>
  <c r="AO2708" i="2"/>
  <c r="AO2712" i="2"/>
  <c r="AO2716" i="2"/>
  <c r="AO2720" i="2"/>
  <c r="AO2724" i="2"/>
  <c r="AO2728" i="2"/>
  <c r="AO2732" i="2"/>
  <c r="AO2736" i="2"/>
  <c r="AO2740" i="2"/>
  <c r="AO2744" i="2"/>
  <c r="AO2748" i="2"/>
  <c r="AO2752" i="2"/>
  <c r="AO2756" i="2"/>
  <c r="AO2760" i="2"/>
  <c r="AO2764" i="2"/>
  <c r="AO2768" i="2"/>
  <c r="AO2772" i="2"/>
  <c r="AO2776" i="2"/>
  <c r="AO2780" i="2"/>
  <c r="AO2784" i="2"/>
  <c r="AO2788" i="2"/>
  <c r="AO2792" i="2"/>
  <c r="AO2796" i="2"/>
  <c r="AO2800" i="2"/>
  <c r="AO2804" i="2"/>
  <c r="AO2808" i="2"/>
  <c r="AO2812" i="2"/>
  <c r="AO2816" i="2"/>
  <c r="AO2820" i="2"/>
  <c r="AO2824" i="2"/>
  <c r="AO2828" i="2"/>
  <c r="AO2832" i="2"/>
  <c r="AO2836" i="2"/>
  <c r="AO2840" i="2"/>
  <c r="AO2844" i="2"/>
  <c r="AO2848" i="2"/>
  <c r="AO2852" i="2"/>
  <c r="AO2856" i="2"/>
  <c r="AO2860" i="2"/>
  <c r="AO2864" i="2"/>
  <c r="AO2868" i="2"/>
  <c r="AO2872" i="2"/>
  <c r="AO2876" i="2"/>
  <c r="AO2880" i="2"/>
  <c r="AO2884" i="2"/>
  <c r="AO2888" i="2"/>
  <c r="AO2892" i="2"/>
  <c r="AO2896" i="2"/>
  <c r="AO2900" i="2"/>
  <c r="AO2904" i="2"/>
  <c r="AO2908" i="2"/>
  <c r="AO2912" i="2"/>
  <c r="AO2916" i="2"/>
  <c r="AO2920" i="2"/>
  <c r="AO2924" i="2"/>
  <c r="AO2928" i="2"/>
  <c r="AO2932" i="2"/>
  <c r="AO2936" i="2"/>
  <c r="AO2940" i="2"/>
  <c r="AO2944" i="2"/>
  <c r="AO2948" i="2"/>
  <c r="AO2952" i="2"/>
  <c r="AO2956" i="2"/>
  <c r="AO2960" i="2"/>
  <c r="AO2964" i="2"/>
  <c r="AO2968" i="2"/>
  <c r="AO2972" i="2"/>
  <c r="AO2976" i="2"/>
  <c r="AO2980" i="2"/>
  <c r="AO2984" i="2"/>
  <c r="AO2988" i="2"/>
  <c r="AO2992" i="2"/>
  <c r="AO2996" i="2"/>
  <c r="AO3000" i="2"/>
  <c r="AO3004" i="2"/>
  <c r="AO3008" i="2"/>
  <c r="AO3012" i="2"/>
  <c r="AO3016" i="2"/>
  <c r="AO3020" i="2"/>
  <c r="AO3024" i="2"/>
  <c r="AO3028" i="2"/>
  <c r="AO3032" i="2"/>
  <c r="AO3036" i="2"/>
  <c r="AO3040" i="2"/>
  <c r="AO3044" i="2"/>
  <c r="AO3048" i="2"/>
  <c r="AO3052" i="2"/>
  <c r="AO3056" i="2"/>
  <c r="AO3060" i="2"/>
  <c r="AO3064" i="2"/>
  <c r="AO3068" i="2"/>
  <c r="AO3072" i="2"/>
  <c r="AO3076" i="2"/>
  <c r="AO3080" i="2"/>
  <c r="AO3084" i="2"/>
  <c r="AO3088" i="2"/>
  <c r="AO3092" i="2"/>
  <c r="AO3096" i="2"/>
  <c r="AO3100" i="2"/>
  <c r="AO335" i="2"/>
  <c r="AO635" i="2"/>
  <c r="AO851" i="2"/>
  <c r="AO955" i="2"/>
  <c r="AO1019" i="2"/>
  <c r="AO1083" i="2"/>
  <c r="AO1147" i="2"/>
  <c r="AO1211" i="2"/>
  <c r="AO1274" i="2"/>
  <c r="AO1302" i="2"/>
  <c r="AO1330" i="2"/>
  <c r="AO1359" i="2"/>
  <c r="AO1387" i="2"/>
  <c r="AO1415" i="2"/>
  <c r="AO1445" i="2"/>
  <c r="AO1473" i="2"/>
  <c r="AO1501" i="2"/>
  <c r="AO1530" i="2"/>
  <c r="AO1558" i="2"/>
  <c r="AO1586" i="2"/>
  <c r="AO1615" i="2"/>
  <c r="AO1638" i="2"/>
  <c r="AO1659" i="2"/>
  <c r="AO1681" i="2"/>
  <c r="AO1702" i="2"/>
  <c r="AO1723" i="2"/>
  <c r="AO1745" i="2"/>
  <c r="AO1766" i="2"/>
  <c r="AO1787" i="2"/>
  <c r="AO1809" i="2"/>
  <c r="AO1830" i="2"/>
  <c r="AO1851" i="2"/>
  <c r="AO1873" i="2"/>
  <c r="AO1893" i="2"/>
  <c r="AO1909" i="2"/>
  <c r="AO1925" i="2"/>
  <c r="AO1941" i="2"/>
  <c r="AO1957" i="2"/>
  <c r="AO1973" i="2"/>
  <c r="AO1989" i="2"/>
  <c r="AO2005" i="2"/>
  <c r="AO2021" i="2"/>
  <c r="AO2026" i="2"/>
  <c r="AO2031" i="2"/>
  <c r="AO2037" i="2"/>
  <c r="AO2041" i="2"/>
  <c r="AO2045" i="2"/>
  <c r="AO2049" i="2"/>
  <c r="AO2053" i="2"/>
  <c r="AO2057" i="2"/>
  <c r="AO2061" i="2"/>
  <c r="AO2065" i="2"/>
  <c r="AO2069" i="2"/>
  <c r="AO2073" i="2"/>
  <c r="AO2077" i="2"/>
  <c r="AO2081" i="2"/>
  <c r="AO2085" i="2"/>
  <c r="AO2089" i="2"/>
  <c r="AO2093" i="2"/>
  <c r="AO2097" i="2"/>
  <c r="AO2101" i="2"/>
  <c r="AO2105" i="2"/>
  <c r="AO2109" i="2"/>
  <c r="AO2113" i="2"/>
  <c r="AO2117" i="2"/>
  <c r="AO2121" i="2"/>
  <c r="AO2125" i="2"/>
  <c r="AO2129" i="2"/>
  <c r="AO2133" i="2"/>
  <c r="AO2137" i="2"/>
  <c r="AO2141" i="2"/>
  <c r="AO2145" i="2"/>
  <c r="AO2149" i="2"/>
  <c r="AO2153" i="2"/>
  <c r="AO2157" i="2"/>
  <c r="AO2161" i="2"/>
  <c r="AO2165" i="2"/>
  <c r="AO2169" i="2"/>
  <c r="AO2173" i="2"/>
  <c r="AO2177" i="2"/>
  <c r="AO2181" i="2"/>
  <c r="AO2185" i="2"/>
  <c r="AO2189" i="2"/>
  <c r="AO2193" i="2"/>
  <c r="AO2197" i="2"/>
  <c r="AO2201" i="2"/>
  <c r="AO2205" i="2"/>
  <c r="AO2209" i="2"/>
  <c r="AO2213" i="2"/>
  <c r="AO2217" i="2"/>
  <c r="AO2221" i="2"/>
  <c r="AO2225" i="2"/>
  <c r="AO2229" i="2"/>
  <c r="AO2233" i="2"/>
  <c r="AO2237" i="2"/>
  <c r="AO2241" i="2"/>
  <c r="AO2245" i="2"/>
  <c r="AO2249" i="2"/>
  <c r="AO2253" i="2"/>
  <c r="AO2257" i="2"/>
  <c r="AO2261" i="2"/>
  <c r="AO2265" i="2"/>
  <c r="AO2269" i="2"/>
  <c r="AO2273" i="2"/>
  <c r="AO2277" i="2"/>
  <c r="AO2281" i="2"/>
  <c r="AO2285" i="2"/>
  <c r="AO2289" i="2"/>
  <c r="AO2293" i="2"/>
  <c r="AO2297" i="2"/>
  <c r="AO2301" i="2"/>
  <c r="AO2305" i="2"/>
  <c r="AO2309" i="2"/>
  <c r="AO2313" i="2"/>
  <c r="AO2317" i="2"/>
  <c r="AO2321" i="2"/>
  <c r="AO2325" i="2"/>
  <c r="AO2329" i="2"/>
  <c r="AO2333" i="2"/>
  <c r="AO2337" i="2"/>
  <c r="AO2341" i="2"/>
  <c r="AO2345" i="2"/>
  <c r="AO2349" i="2"/>
  <c r="AO2353" i="2"/>
  <c r="AO2357" i="2"/>
  <c r="AO2361" i="2"/>
  <c r="AO2365" i="2"/>
  <c r="AO2369" i="2"/>
  <c r="AO2373" i="2"/>
  <c r="AO2377" i="2"/>
  <c r="AO2381" i="2"/>
  <c r="AO2385" i="2"/>
  <c r="AO2389" i="2"/>
  <c r="AO2393" i="2"/>
  <c r="AO2397" i="2"/>
  <c r="AO2401" i="2"/>
  <c r="AO2405" i="2"/>
  <c r="AO2409" i="2"/>
  <c r="AO2413" i="2"/>
  <c r="AO2417" i="2"/>
  <c r="AO2421" i="2"/>
  <c r="AO2425" i="2"/>
  <c r="AO2429" i="2"/>
  <c r="AO2433" i="2"/>
  <c r="AO2437" i="2"/>
  <c r="AO2441" i="2"/>
  <c r="AO2445" i="2"/>
  <c r="AO2449" i="2"/>
  <c r="AO2453" i="2"/>
  <c r="AO2457" i="2"/>
  <c r="AO2461" i="2"/>
  <c r="AO2465" i="2"/>
  <c r="AO2469" i="2"/>
  <c r="AO2473" i="2"/>
  <c r="AO2477" i="2"/>
  <c r="AO2481" i="2"/>
  <c r="AO2485" i="2"/>
  <c r="AO2489" i="2"/>
  <c r="AO2493" i="2"/>
  <c r="AO2497" i="2"/>
  <c r="AO2501" i="2"/>
  <c r="AO2505" i="2"/>
  <c r="AO2509" i="2"/>
  <c r="AO2513" i="2"/>
  <c r="AO2517" i="2"/>
  <c r="AO2521" i="2"/>
  <c r="AO2525" i="2"/>
  <c r="AO2529" i="2"/>
  <c r="AO2533" i="2"/>
  <c r="AO2537" i="2"/>
  <c r="AO2541" i="2"/>
  <c r="AO2545" i="2"/>
  <c r="AO2549" i="2"/>
  <c r="AO2553" i="2"/>
  <c r="AO2557" i="2"/>
  <c r="AO2561" i="2"/>
  <c r="AO2565" i="2"/>
  <c r="AO2569" i="2"/>
  <c r="AO2573" i="2"/>
  <c r="AO2577" i="2"/>
  <c r="AO2581" i="2"/>
  <c r="AO2585" i="2"/>
  <c r="AO2589" i="2"/>
  <c r="AO2593" i="2"/>
  <c r="AO2597" i="2"/>
  <c r="AO2601" i="2"/>
  <c r="AO2605" i="2"/>
  <c r="AO2609" i="2"/>
  <c r="AO2613" i="2"/>
  <c r="AO2617" i="2"/>
  <c r="AO2621" i="2"/>
  <c r="AO2625" i="2"/>
  <c r="AO2629" i="2"/>
  <c r="AO2633" i="2"/>
  <c r="AO2637" i="2"/>
  <c r="AO2641" i="2"/>
  <c r="AO2645" i="2"/>
  <c r="AO2649" i="2"/>
  <c r="AO2653" i="2"/>
  <c r="AO2657" i="2"/>
  <c r="AO2661" i="2"/>
  <c r="AO2665" i="2"/>
  <c r="AO2669" i="2"/>
  <c r="AO2673" i="2"/>
  <c r="AO2677" i="2"/>
  <c r="AO2681" i="2"/>
  <c r="AO2685" i="2"/>
  <c r="AO2689" i="2"/>
  <c r="AO2693" i="2"/>
  <c r="AO2697" i="2"/>
  <c r="AO2701" i="2"/>
  <c r="AO2705" i="2"/>
  <c r="AO2709" i="2"/>
  <c r="AO2713" i="2"/>
  <c r="AO2717" i="2"/>
  <c r="AO2721" i="2"/>
  <c r="AO2725" i="2"/>
  <c r="AO2729" i="2"/>
  <c r="AO2733" i="2"/>
  <c r="AO2737" i="2"/>
  <c r="AO2741" i="2"/>
  <c r="AO2745" i="2"/>
  <c r="AO2749" i="2"/>
  <c r="AO2753" i="2"/>
  <c r="AO2757" i="2"/>
  <c r="AO2761" i="2"/>
  <c r="AO2765" i="2"/>
  <c r="AO2769" i="2"/>
  <c r="AO2773" i="2"/>
  <c r="AO2777" i="2"/>
  <c r="AO2781" i="2"/>
  <c r="AO2785" i="2"/>
  <c r="AO2789" i="2"/>
  <c r="AO2793" i="2"/>
  <c r="AO2797" i="2"/>
  <c r="AO2801" i="2"/>
  <c r="AO2805" i="2"/>
  <c r="AO2809" i="2"/>
  <c r="AO2813" i="2"/>
  <c r="AO2817" i="2"/>
  <c r="AO2821" i="2"/>
  <c r="AO2825" i="2"/>
  <c r="AO2829" i="2"/>
  <c r="AO2833" i="2"/>
  <c r="AO2837" i="2"/>
  <c r="AO2841" i="2"/>
  <c r="AO2845" i="2"/>
  <c r="AO2849" i="2"/>
  <c r="AO2853" i="2"/>
  <c r="AO2857" i="2"/>
  <c r="AO2861" i="2"/>
  <c r="AO2865" i="2"/>
  <c r="AO2869" i="2"/>
  <c r="AO2873" i="2"/>
  <c r="AO2877" i="2"/>
  <c r="AO2881" i="2"/>
  <c r="AO2885" i="2"/>
  <c r="AO2889" i="2"/>
  <c r="AO2893" i="2"/>
  <c r="AO2897" i="2"/>
  <c r="AO2901" i="2"/>
  <c r="AO2905" i="2"/>
  <c r="AO2909" i="2"/>
  <c r="AO2913" i="2"/>
  <c r="AO2917" i="2"/>
  <c r="AO2921" i="2"/>
  <c r="AO2925" i="2"/>
  <c r="AO2929" i="2"/>
  <c r="AO2933" i="2"/>
  <c r="AO2937" i="2"/>
  <c r="AO2941" i="2"/>
  <c r="AO2945" i="2"/>
  <c r="AO2949" i="2"/>
  <c r="AO2953" i="2"/>
  <c r="AO2957" i="2"/>
  <c r="AO2961" i="2"/>
  <c r="AO2965" i="2"/>
  <c r="AO2969" i="2"/>
  <c r="AO2973" i="2"/>
  <c r="AO2977" i="2"/>
  <c r="AO2981" i="2"/>
  <c r="AO2985" i="2"/>
  <c r="AO2989" i="2"/>
  <c r="AO2993" i="2"/>
  <c r="AO2997" i="2"/>
  <c r="AO3001" i="2"/>
  <c r="AO3005" i="2"/>
  <c r="AO3009" i="2"/>
  <c r="AO3013" i="2"/>
  <c r="AO3017" i="2"/>
  <c r="AO3021" i="2"/>
  <c r="AO3025" i="2"/>
  <c r="AO3029" i="2"/>
  <c r="AO3033" i="2"/>
  <c r="AO3037" i="2"/>
  <c r="AO3041" i="2"/>
  <c r="AO3045" i="2"/>
  <c r="AO3049" i="2"/>
  <c r="AO3053" i="2"/>
  <c r="AO3057" i="2"/>
  <c r="AO3061" i="2"/>
  <c r="AO3065" i="2"/>
  <c r="AO3069" i="2"/>
  <c r="AO3073" i="2"/>
  <c r="AO3077" i="2"/>
  <c r="AO3081" i="2"/>
  <c r="AO3085" i="2"/>
  <c r="AO3089" i="2"/>
  <c r="AO3093" i="2"/>
  <c r="AO3097" i="2"/>
  <c r="AO3101" i="2"/>
  <c r="AO3105" i="2"/>
  <c r="AO3109" i="2"/>
  <c r="AO3113" i="2"/>
  <c r="AO3117" i="2"/>
  <c r="AO3121" i="2"/>
  <c r="AO3125" i="2"/>
  <c r="AO3129" i="2"/>
  <c r="AO3133" i="2"/>
  <c r="AO3137" i="2"/>
  <c r="AO3141" i="2"/>
  <c r="AO3145" i="2"/>
  <c r="AO3149" i="2"/>
  <c r="AO3153" i="2"/>
  <c r="AO3157" i="2"/>
  <c r="AO3161" i="2"/>
  <c r="AO3165" i="2"/>
  <c r="AO3169" i="2"/>
  <c r="AO3173" i="2"/>
  <c r="AO3177" i="2"/>
  <c r="AO3181" i="2"/>
  <c r="AO3185" i="2"/>
  <c r="AO3189" i="2"/>
  <c r="AO3193" i="2"/>
  <c r="AO3197" i="2"/>
  <c r="AO3201" i="2"/>
  <c r="AO3205" i="2"/>
  <c r="AO3209" i="2"/>
  <c r="AO3213" i="2"/>
  <c r="AO3217" i="2"/>
  <c r="AO3221" i="2"/>
  <c r="AO422" i="2"/>
  <c r="AO699" i="2"/>
  <c r="AO883" i="2"/>
  <c r="AO971" i="2"/>
  <c r="AO1035" i="2"/>
  <c r="AO1099" i="2"/>
  <c r="AO1163" i="2"/>
  <c r="AO1227" i="2"/>
  <c r="AO1281" i="2"/>
  <c r="AO1309" i="2"/>
  <c r="AO1338" i="2"/>
  <c r="AO1366" i="2"/>
  <c r="AO1394" i="2"/>
  <c r="AO1423" i="2"/>
  <c r="AO1451" i="2"/>
  <c r="AO1479" i="2"/>
  <c r="AO1509" i="2"/>
  <c r="AO1537" i="2"/>
  <c r="AO1565" i="2"/>
  <c r="AO1594" i="2"/>
  <c r="AO1622" i="2"/>
  <c r="AO1643" i="2"/>
  <c r="AO1665" i="2"/>
  <c r="AO1686" i="2"/>
  <c r="AO1707" i="2"/>
  <c r="AO1729" i="2"/>
  <c r="AO1750" i="2"/>
  <c r="AO1771" i="2"/>
  <c r="AO1793" i="2"/>
  <c r="AO1814" i="2"/>
  <c r="AO1835" i="2"/>
  <c r="AO1857" i="2"/>
  <c r="AO1878" i="2"/>
  <c r="AO1897" i="2"/>
  <c r="AO1913" i="2"/>
  <c r="AO1929" i="2"/>
  <c r="AO1945" i="2"/>
  <c r="AO1961" i="2"/>
  <c r="AO1977" i="2"/>
  <c r="AO1993" i="2"/>
  <c r="AO2009" i="2"/>
  <c r="AO2022" i="2"/>
  <c r="AO2027" i="2"/>
  <c r="AO2033" i="2"/>
  <c r="AO2038" i="2"/>
  <c r="AO2042" i="2"/>
  <c r="AO2046" i="2"/>
  <c r="AO2050" i="2"/>
  <c r="AO2054" i="2"/>
  <c r="AO2058" i="2"/>
  <c r="AO2062" i="2"/>
  <c r="AO2066" i="2"/>
  <c r="AO2070" i="2"/>
  <c r="AO2074" i="2"/>
  <c r="AO2078" i="2"/>
  <c r="AO2082" i="2"/>
  <c r="AO2086" i="2"/>
  <c r="AO2090" i="2"/>
  <c r="AO2094" i="2"/>
  <c r="AO2098" i="2"/>
  <c r="AO2102" i="2"/>
  <c r="AO2106" i="2"/>
  <c r="AO2110" i="2"/>
  <c r="AO2114" i="2"/>
  <c r="AO2118" i="2"/>
  <c r="AO2122" i="2"/>
  <c r="AO2126" i="2"/>
  <c r="AO2130" i="2"/>
  <c r="AO2134" i="2"/>
  <c r="AO2138" i="2"/>
  <c r="AO2142" i="2"/>
  <c r="AO2146" i="2"/>
  <c r="AO2150" i="2"/>
  <c r="AO2154" i="2"/>
  <c r="AO2158" i="2"/>
  <c r="AO2162" i="2"/>
  <c r="AO2166" i="2"/>
  <c r="AO2170" i="2"/>
  <c r="AO2174" i="2"/>
  <c r="AO2178" i="2"/>
  <c r="AO2182" i="2"/>
  <c r="AO2186" i="2"/>
  <c r="AO2190" i="2"/>
  <c r="AO2194" i="2"/>
  <c r="AO2198" i="2"/>
  <c r="AO2202" i="2"/>
  <c r="AO2206" i="2"/>
  <c r="AO2210" i="2"/>
  <c r="AO2214" i="2"/>
  <c r="AO2218" i="2"/>
  <c r="AO2222" i="2"/>
  <c r="AO2226" i="2"/>
  <c r="AO2230" i="2"/>
  <c r="AO2234" i="2"/>
  <c r="AO2238" i="2"/>
  <c r="AO2242" i="2"/>
  <c r="AO2246" i="2"/>
  <c r="AO2250" i="2"/>
  <c r="AO2254" i="2"/>
  <c r="AO2258" i="2"/>
  <c r="AO2262" i="2"/>
  <c r="AO2266" i="2"/>
  <c r="AO2270" i="2"/>
  <c r="AO2274" i="2"/>
  <c r="AO2278" i="2"/>
  <c r="AO2282" i="2"/>
  <c r="AO2286" i="2"/>
  <c r="AO2290" i="2"/>
  <c r="AO2294" i="2"/>
  <c r="AO2298" i="2"/>
  <c r="AO2302" i="2"/>
  <c r="AO2306" i="2"/>
  <c r="AO2310" i="2"/>
  <c r="AO2314" i="2"/>
  <c r="AO2318" i="2"/>
  <c r="AO2322" i="2"/>
  <c r="AO2326" i="2"/>
  <c r="AO2330" i="2"/>
  <c r="AO2334" i="2"/>
  <c r="AO2338" i="2"/>
  <c r="AO2342" i="2"/>
  <c r="AO2346" i="2"/>
  <c r="AO2350" i="2"/>
  <c r="AO2354" i="2"/>
  <c r="AO2358" i="2"/>
  <c r="AO2362" i="2"/>
  <c r="AO2366" i="2"/>
  <c r="AO2370" i="2"/>
  <c r="AO2374" i="2"/>
  <c r="AO2378" i="2"/>
  <c r="AO2382" i="2"/>
  <c r="AO2386" i="2"/>
  <c r="AO2390" i="2"/>
  <c r="AO2394" i="2"/>
  <c r="AO2398" i="2"/>
  <c r="AO2402" i="2"/>
  <c r="AO2406" i="2"/>
  <c r="AO2410" i="2"/>
  <c r="AO2414" i="2"/>
  <c r="AO2418" i="2"/>
  <c r="AO2422" i="2"/>
  <c r="AO2426" i="2"/>
  <c r="AO2430" i="2"/>
  <c r="AO2434" i="2"/>
  <c r="AO2438" i="2"/>
  <c r="AO2442" i="2"/>
  <c r="AO2446" i="2"/>
  <c r="AO2450" i="2"/>
  <c r="AO2454" i="2"/>
  <c r="AO2458" i="2"/>
  <c r="AO2462" i="2"/>
  <c r="AO2466" i="2"/>
  <c r="AO2470" i="2"/>
  <c r="AO2474" i="2"/>
  <c r="AO2478" i="2"/>
  <c r="AO2482" i="2"/>
  <c r="AO2486" i="2"/>
  <c r="AO2490" i="2"/>
  <c r="AO2494" i="2"/>
  <c r="AO2498" i="2"/>
  <c r="AO2502" i="2"/>
  <c r="AO2506" i="2"/>
  <c r="AO2510" i="2"/>
  <c r="AO2514" i="2"/>
  <c r="AO2518" i="2"/>
  <c r="AO2522" i="2"/>
  <c r="AO2526" i="2"/>
  <c r="AO2530" i="2"/>
  <c r="AO2534" i="2"/>
  <c r="AO2538" i="2"/>
  <c r="AO2542" i="2"/>
  <c r="AO2546" i="2"/>
  <c r="AO2550" i="2"/>
  <c r="AO2554" i="2"/>
  <c r="AO2558" i="2"/>
  <c r="AO2562" i="2"/>
  <c r="AO2566" i="2"/>
  <c r="AO2570" i="2"/>
  <c r="AO2574" i="2"/>
  <c r="AO2578" i="2"/>
  <c r="AO2582" i="2"/>
  <c r="AO2586" i="2"/>
  <c r="AO2590" i="2"/>
  <c r="AO2594" i="2"/>
  <c r="AO2598" i="2"/>
  <c r="AO2602" i="2"/>
  <c r="AO2606" i="2"/>
  <c r="AO2610" i="2"/>
  <c r="AO2614" i="2"/>
  <c r="AO2618" i="2"/>
  <c r="AO2622" i="2"/>
  <c r="AO2626" i="2"/>
  <c r="AO2630" i="2"/>
  <c r="AO2634" i="2"/>
  <c r="AO2638" i="2"/>
  <c r="AO2642" i="2"/>
  <c r="AO2646" i="2"/>
  <c r="AO2650" i="2"/>
  <c r="AO2654" i="2"/>
  <c r="AO2658" i="2"/>
  <c r="AO2662" i="2"/>
  <c r="AO2666" i="2"/>
  <c r="AO2670" i="2"/>
  <c r="AO2674" i="2"/>
  <c r="AO2678" i="2"/>
  <c r="AO2682" i="2"/>
  <c r="AO2686" i="2"/>
  <c r="AO2690" i="2"/>
  <c r="AO2694" i="2"/>
  <c r="AO2698" i="2"/>
  <c r="AO2702" i="2"/>
  <c r="AO2706" i="2"/>
  <c r="AO2710" i="2"/>
  <c r="AO2714" i="2"/>
  <c r="AO2718" i="2"/>
  <c r="AO2722" i="2"/>
  <c r="AO2726" i="2"/>
  <c r="AO2730" i="2"/>
  <c r="AO2734" i="2"/>
  <c r="AO2738" i="2"/>
  <c r="AO2742" i="2"/>
  <c r="AO2746" i="2"/>
  <c r="AO2750" i="2"/>
  <c r="AO2754" i="2"/>
  <c r="AO2758" i="2"/>
  <c r="AO2762" i="2"/>
  <c r="AO2766" i="2"/>
  <c r="AO2770" i="2"/>
  <c r="AO2774" i="2"/>
  <c r="AO2778" i="2"/>
  <c r="AO2782" i="2"/>
  <c r="AO2786" i="2"/>
  <c r="AO2790" i="2"/>
  <c r="AO2794" i="2"/>
  <c r="AO2798" i="2"/>
  <c r="AO2802" i="2"/>
  <c r="AO2806" i="2"/>
  <c r="AO2810" i="2"/>
  <c r="AO2814" i="2"/>
  <c r="AO2818" i="2"/>
  <c r="AO2822" i="2"/>
  <c r="AO2826" i="2"/>
  <c r="AO2830" i="2"/>
  <c r="AO2834" i="2"/>
  <c r="AO2838" i="2"/>
  <c r="AO2842" i="2"/>
  <c r="AO2846" i="2"/>
  <c r="AO2850" i="2"/>
  <c r="AO2854" i="2"/>
  <c r="AO2858" i="2"/>
  <c r="AO2862" i="2"/>
  <c r="AO2866" i="2"/>
  <c r="AO2870" i="2"/>
  <c r="AO2874" i="2"/>
  <c r="AO2878" i="2"/>
  <c r="AO2882" i="2"/>
  <c r="AO2886" i="2"/>
  <c r="AO2890" i="2"/>
  <c r="AO2894" i="2"/>
  <c r="AO2898" i="2"/>
  <c r="AO2902" i="2"/>
  <c r="AO2906" i="2"/>
  <c r="AO2910" i="2"/>
  <c r="AO2914" i="2"/>
  <c r="AO2918" i="2"/>
  <c r="AO2922" i="2"/>
  <c r="AO2926" i="2"/>
  <c r="AO2930" i="2"/>
  <c r="AO2934" i="2"/>
  <c r="AO2938" i="2"/>
  <c r="AO2942" i="2"/>
  <c r="AO2946" i="2"/>
  <c r="AO2950" i="2"/>
  <c r="AO2954" i="2"/>
  <c r="AO2958" i="2"/>
  <c r="AO2962" i="2"/>
  <c r="AO2966" i="2"/>
  <c r="AO2970" i="2"/>
  <c r="AO2974" i="2"/>
  <c r="AO2978" i="2"/>
  <c r="AO2982" i="2"/>
  <c r="AO2986" i="2"/>
  <c r="AO2990" i="2"/>
  <c r="AO2994" i="2"/>
  <c r="AO2998" i="2"/>
  <c r="AO3002" i="2"/>
  <c r="AO3006" i="2"/>
  <c r="AO3010" i="2"/>
  <c r="AO3014" i="2"/>
  <c r="AO3018" i="2"/>
  <c r="AO3022" i="2"/>
  <c r="AO3026" i="2"/>
  <c r="AO3030" i="2"/>
  <c r="AO3034" i="2"/>
  <c r="AO3038" i="2"/>
  <c r="AO3042" i="2"/>
  <c r="AO3046" i="2"/>
  <c r="AO3050" i="2"/>
  <c r="AO3054" i="2"/>
  <c r="AO3058" i="2"/>
  <c r="AO3062" i="2"/>
  <c r="AO3066" i="2"/>
  <c r="AO3070" i="2"/>
  <c r="AO3074" i="2"/>
  <c r="AO3078" i="2"/>
  <c r="AO3082" i="2"/>
  <c r="AO3086" i="2"/>
  <c r="AO3090" i="2"/>
  <c r="AO3094" i="2"/>
  <c r="AO507" i="2"/>
  <c r="AO1051" i="2"/>
  <c r="AO1287" i="2"/>
  <c r="AO1402" i="2"/>
  <c r="AO1515" i="2"/>
  <c r="AO1627" i="2"/>
  <c r="AO1713" i="2"/>
  <c r="AO1798" i="2"/>
  <c r="AO1883" i="2"/>
  <c r="AO1949" i="2"/>
  <c r="AO2013" i="2"/>
  <c r="AO2039" i="2"/>
  <c r="AO2055" i="2"/>
  <c r="AO2071" i="2"/>
  <c r="AO2087" i="2"/>
  <c r="AO2103" i="2"/>
  <c r="AO2119" i="2"/>
  <c r="AO2135" i="2"/>
  <c r="AO2151" i="2"/>
  <c r="AO2167" i="2"/>
  <c r="AO2183" i="2"/>
  <c r="AO2199" i="2"/>
  <c r="AO2215" i="2"/>
  <c r="AO2231" i="2"/>
  <c r="AO2247" i="2"/>
  <c r="AO2263" i="2"/>
  <c r="AO2279" i="2"/>
  <c r="AO2295" i="2"/>
  <c r="AO2311" i="2"/>
  <c r="AO2327" i="2"/>
  <c r="AO2343" i="2"/>
  <c r="AO2359" i="2"/>
  <c r="AO2375" i="2"/>
  <c r="AO2391" i="2"/>
  <c r="AO2407" i="2"/>
  <c r="AO2423" i="2"/>
  <c r="AO2439" i="2"/>
  <c r="AO2455" i="2"/>
  <c r="AO2471" i="2"/>
  <c r="AO2487" i="2"/>
  <c r="AO2503" i="2"/>
  <c r="AO2519" i="2"/>
  <c r="AO2535" i="2"/>
  <c r="AO2551" i="2"/>
  <c r="AO2567" i="2"/>
  <c r="AO2583" i="2"/>
  <c r="AO2599" i="2"/>
  <c r="AO2615" i="2"/>
  <c r="AO2631" i="2"/>
  <c r="AO2647" i="2"/>
  <c r="AO2663" i="2"/>
  <c r="AO2679" i="2"/>
  <c r="AO2695" i="2"/>
  <c r="AO2711" i="2"/>
  <c r="AO2727" i="2"/>
  <c r="AO2743" i="2"/>
  <c r="AO2759" i="2"/>
  <c r="AO2775" i="2"/>
  <c r="AO2791" i="2"/>
  <c r="AO2807" i="2"/>
  <c r="AO2823" i="2"/>
  <c r="AO2839" i="2"/>
  <c r="AO2855" i="2"/>
  <c r="AO2871" i="2"/>
  <c r="AO2887" i="2"/>
  <c r="AO2903" i="2"/>
  <c r="AO2919" i="2"/>
  <c r="AO2935" i="2"/>
  <c r="AO2951" i="2"/>
  <c r="AO2967" i="2"/>
  <c r="AO2983" i="2"/>
  <c r="AO2999" i="2"/>
  <c r="AO3015" i="2"/>
  <c r="AO3031" i="2"/>
  <c r="AO3047" i="2"/>
  <c r="AO3063" i="2"/>
  <c r="AO3079" i="2"/>
  <c r="AO3095" i="2"/>
  <c r="AO3103" i="2"/>
  <c r="AO3108" i="2"/>
  <c r="AO3114" i="2"/>
  <c r="AO3119" i="2"/>
  <c r="AO3124" i="2"/>
  <c r="AO3130" i="2"/>
  <c r="AO3135" i="2"/>
  <c r="AO3140" i="2"/>
  <c r="AO3146" i="2"/>
  <c r="AO3151" i="2"/>
  <c r="AO3156" i="2"/>
  <c r="AO3162" i="2"/>
  <c r="AO3167" i="2"/>
  <c r="AO3172" i="2"/>
  <c r="AO3178" i="2"/>
  <c r="AO3183" i="2"/>
  <c r="AO3188" i="2"/>
  <c r="AO3194" i="2"/>
  <c r="AO3199" i="2"/>
  <c r="AO3204" i="2"/>
  <c r="AO3210" i="2"/>
  <c r="AO3215" i="2"/>
  <c r="AO3220" i="2"/>
  <c r="AO3225" i="2"/>
  <c r="AO3229" i="2"/>
  <c r="AO3233" i="2"/>
  <c r="AO3237" i="2"/>
  <c r="AO3241" i="2"/>
  <c r="AO3245" i="2"/>
  <c r="AO3249" i="2"/>
  <c r="AO3253" i="2"/>
  <c r="AO3257" i="2"/>
  <c r="AO3261" i="2"/>
  <c r="AO3265" i="2"/>
  <c r="AO3269" i="2"/>
  <c r="AO3273" i="2"/>
  <c r="AO3277" i="2"/>
  <c r="AO3281" i="2"/>
  <c r="AO3285" i="2"/>
  <c r="AO3289" i="2"/>
  <c r="AO3293" i="2"/>
  <c r="AO3297" i="2"/>
  <c r="AO3301" i="2"/>
  <c r="AO3305" i="2"/>
  <c r="AO3309" i="2"/>
  <c r="AO3313" i="2"/>
  <c r="AO3317" i="2"/>
  <c r="AO3321" i="2"/>
  <c r="AO3325" i="2"/>
  <c r="AO3329" i="2"/>
  <c r="AO3333" i="2"/>
  <c r="AO3337" i="2"/>
  <c r="AO3341" i="2"/>
  <c r="AO3345" i="2"/>
  <c r="AO3349" i="2"/>
  <c r="AO3353" i="2"/>
  <c r="AO3357" i="2"/>
  <c r="AO3361" i="2"/>
  <c r="AO3365" i="2"/>
  <c r="AO3369" i="2"/>
  <c r="AO3373" i="2"/>
  <c r="AO3377" i="2"/>
  <c r="AO3381" i="2"/>
  <c r="AO3385" i="2"/>
  <c r="AO3389" i="2"/>
  <c r="AO3393" i="2"/>
  <c r="AO3397" i="2"/>
  <c r="AO3401" i="2"/>
  <c r="AO3405" i="2"/>
  <c r="AO3409" i="2"/>
  <c r="AO3413" i="2"/>
  <c r="AO3417" i="2"/>
  <c r="AO3421" i="2"/>
  <c r="AO3425" i="2"/>
  <c r="AO3429" i="2"/>
  <c r="AO3433" i="2"/>
  <c r="AO3437" i="2"/>
  <c r="AO3441" i="2"/>
  <c r="AO3445" i="2"/>
  <c r="AO3449" i="2"/>
  <c r="AO3453" i="2"/>
  <c r="AO3457" i="2"/>
  <c r="AO3461" i="2"/>
  <c r="AO3465" i="2"/>
  <c r="AO3469" i="2"/>
  <c r="AO3473" i="2"/>
  <c r="AO3477" i="2"/>
  <c r="AO3481" i="2"/>
  <c r="AO3485" i="2"/>
  <c r="AO3489" i="2"/>
  <c r="AO3493" i="2"/>
  <c r="AO3497" i="2"/>
  <c r="AO3501" i="2"/>
  <c r="AO3505" i="2"/>
  <c r="AO3509" i="2"/>
  <c r="AO3513" i="2"/>
  <c r="AO3517" i="2"/>
  <c r="AO3521" i="2"/>
  <c r="AO3525" i="2"/>
  <c r="AO3529" i="2"/>
  <c r="AO3533" i="2"/>
  <c r="AO3537" i="2"/>
  <c r="AO3541" i="2"/>
  <c r="AO3545" i="2"/>
  <c r="AO3549" i="2"/>
  <c r="AO3553" i="2"/>
  <c r="AO3557" i="2"/>
  <c r="AO3561" i="2"/>
  <c r="AO3565" i="2"/>
  <c r="AO3569" i="2"/>
  <c r="AO3573" i="2"/>
  <c r="AO3577" i="2"/>
  <c r="AO3581" i="2"/>
  <c r="AO3585" i="2"/>
  <c r="AO3589" i="2"/>
  <c r="AO3593" i="2"/>
  <c r="AO3597" i="2"/>
  <c r="AO3601" i="2"/>
  <c r="AO3605" i="2"/>
  <c r="AO3609" i="2"/>
  <c r="AO3613" i="2"/>
  <c r="AO3617" i="2"/>
  <c r="AO3621" i="2"/>
  <c r="AO3625" i="2"/>
  <c r="AO3629" i="2"/>
  <c r="AO3633" i="2"/>
  <c r="AO3637" i="2"/>
  <c r="AO3641" i="2"/>
  <c r="AO3645" i="2"/>
  <c r="AO3649" i="2"/>
  <c r="AO3653" i="2"/>
  <c r="AO3657" i="2"/>
  <c r="AO3661" i="2"/>
  <c r="AO3665" i="2"/>
  <c r="AO3669" i="2"/>
  <c r="AO3673" i="2"/>
  <c r="AO3677" i="2"/>
  <c r="AO3681" i="2"/>
  <c r="AO3685" i="2"/>
  <c r="AO3689" i="2"/>
  <c r="AO3693" i="2"/>
  <c r="AO3697" i="2"/>
  <c r="AO3701" i="2"/>
  <c r="AO3705" i="2"/>
  <c r="AO3709" i="2"/>
  <c r="AO3713" i="2"/>
  <c r="AO3717" i="2"/>
  <c r="AO3721" i="2"/>
  <c r="AO3725" i="2"/>
  <c r="AO3729" i="2"/>
  <c r="AO3733" i="2"/>
  <c r="AO3737" i="2"/>
  <c r="AO3741" i="2"/>
  <c r="AO3745" i="2"/>
  <c r="AO3749" i="2"/>
  <c r="AO3753" i="2"/>
  <c r="AO3757" i="2"/>
  <c r="AO3761" i="2"/>
  <c r="AO3765" i="2"/>
  <c r="AO3769" i="2"/>
  <c r="AO3773" i="2"/>
  <c r="AO3777" i="2"/>
  <c r="AO3781" i="2"/>
  <c r="AO3785" i="2"/>
  <c r="AO3789" i="2"/>
  <c r="AO3793" i="2"/>
  <c r="AO3797" i="2"/>
  <c r="AO3801" i="2"/>
  <c r="AO3805" i="2"/>
  <c r="AO3809" i="2"/>
  <c r="AO3813" i="2"/>
  <c r="AO3817" i="2"/>
  <c r="AO3821" i="2"/>
  <c r="AO3825" i="2"/>
  <c r="AO3829" i="2"/>
  <c r="AO3833" i="2"/>
  <c r="AO3837" i="2"/>
  <c r="AO3841" i="2"/>
  <c r="AO3845" i="2"/>
  <c r="AO3849" i="2"/>
  <c r="AO3853" i="2"/>
  <c r="AO3857" i="2"/>
  <c r="AO3861" i="2"/>
  <c r="AO3865" i="2"/>
  <c r="AO3869" i="2"/>
  <c r="AO3873" i="2"/>
  <c r="AO3877" i="2"/>
  <c r="AO3881" i="2"/>
  <c r="AO3885" i="2"/>
  <c r="AO3889" i="2"/>
  <c r="AO3893" i="2"/>
  <c r="AO3897" i="2"/>
  <c r="AO3901" i="2"/>
  <c r="AO3905" i="2"/>
  <c r="AO3909" i="2"/>
  <c r="AO3913" i="2"/>
  <c r="AO3917" i="2"/>
  <c r="AO3921" i="2"/>
  <c r="AO3925" i="2"/>
  <c r="AO3929" i="2"/>
  <c r="AO3933" i="2"/>
  <c r="AO3937" i="2"/>
  <c r="AO3941" i="2"/>
  <c r="AO3945" i="2"/>
  <c r="AO3949" i="2"/>
  <c r="AO3953" i="2"/>
  <c r="AO3957" i="2"/>
  <c r="AO3961" i="2"/>
  <c r="AO3965" i="2"/>
  <c r="AO3969" i="2"/>
  <c r="AO3973" i="2"/>
  <c r="AO3977" i="2"/>
  <c r="AO3981" i="2"/>
  <c r="AO3985" i="2"/>
  <c r="AO3989" i="2"/>
  <c r="AO3993" i="2"/>
  <c r="AO3997" i="2"/>
  <c r="AO4001" i="2"/>
  <c r="AO1373" i="2"/>
  <c r="AO1487" i="2"/>
  <c r="AO1601" i="2"/>
  <c r="AO1777" i="2"/>
  <c r="AO1933" i="2"/>
  <c r="AO2034" i="2"/>
  <c r="AO2067" i="2"/>
  <c r="AO2099" i="2"/>
  <c r="AO2131" i="2"/>
  <c r="AO2163" i="2"/>
  <c r="AO2179" i="2"/>
  <c r="AO2211" i="2"/>
  <c r="AO2243" i="2"/>
  <c r="AO2275" i="2"/>
  <c r="AO2307" i="2"/>
  <c r="AO2339" i="2"/>
  <c r="AO2355" i="2"/>
  <c r="AO2387" i="2"/>
  <c r="AO2419" i="2"/>
  <c r="AO2451" i="2"/>
  <c r="AO2499" i="2"/>
  <c r="AO2531" i="2"/>
  <c r="AO2563" i="2"/>
  <c r="AO2595" i="2"/>
  <c r="AO2627" i="2"/>
  <c r="AO2659" i="2"/>
  <c r="AO2691" i="2"/>
  <c r="AO2723" i="2"/>
  <c r="AO2755" i="2"/>
  <c r="AO2787" i="2"/>
  <c r="AO2819" i="2"/>
  <c r="AO2851" i="2"/>
  <c r="AO2899" i="2"/>
  <c r="AO2931" i="2"/>
  <c r="AO2963" i="2"/>
  <c r="AO2995" i="2"/>
  <c r="AO3027" i="2"/>
  <c r="AO3059" i="2"/>
  <c r="AO3091" i="2"/>
  <c r="AO3107" i="2"/>
  <c r="AO3118" i="2"/>
  <c r="AO3128" i="2"/>
  <c r="AO3139" i="2"/>
  <c r="AO3150" i="2"/>
  <c r="AO3166" i="2"/>
  <c r="AO763" i="2"/>
  <c r="AO1115" i="2"/>
  <c r="AO1317" i="2"/>
  <c r="AO1430" i="2"/>
  <c r="AO1543" i="2"/>
  <c r="AO1649" i="2"/>
  <c r="AO1734" i="2"/>
  <c r="AO1819" i="2"/>
  <c r="AO1901" i="2"/>
  <c r="AO1965" i="2"/>
  <c r="AO2023" i="2"/>
  <c r="AO2043" i="2"/>
  <c r="AO2059" i="2"/>
  <c r="AO2075" i="2"/>
  <c r="AO2091" i="2"/>
  <c r="AO2107" i="2"/>
  <c r="AO2123" i="2"/>
  <c r="AO2139" i="2"/>
  <c r="AO2155" i="2"/>
  <c r="AO2171" i="2"/>
  <c r="AO2187" i="2"/>
  <c r="AO2203" i="2"/>
  <c r="AO2219" i="2"/>
  <c r="AO2235" i="2"/>
  <c r="AO2251" i="2"/>
  <c r="AO2267" i="2"/>
  <c r="AO2283" i="2"/>
  <c r="AO2299" i="2"/>
  <c r="AO2315" i="2"/>
  <c r="AO2331" i="2"/>
  <c r="AO2347" i="2"/>
  <c r="AO2363" i="2"/>
  <c r="AO2379" i="2"/>
  <c r="AO2395" i="2"/>
  <c r="AO2411" i="2"/>
  <c r="AO2427" i="2"/>
  <c r="AO2443" i="2"/>
  <c r="AO2459" i="2"/>
  <c r="AO2475" i="2"/>
  <c r="AO2491" i="2"/>
  <c r="AO2507" i="2"/>
  <c r="AO2523" i="2"/>
  <c r="AO2539" i="2"/>
  <c r="AO2555" i="2"/>
  <c r="AO2571" i="2"/>
  <c r="AO2587" i="2"/>
  <c r="AO2603" i="2"/>
  <c r="AO2619" i="2"/>
  <c r="AO2635" i="2"/>
  <c r="AO2651" i="2"/>
  <c r="AO2667" i="2"/>
  <c r="AO2683" i="2"/>
  <c r="AO2699" i="2"/>
  <c r="AO2715" i="2"/>
  <c r="AO2731" i="2"/>
  <c r="AO2747" i="2"/>
  <c r="AO2763" i="2"/>
  <c r="AO2779" i="2"/>
  <c r="AO2795" i="2"/>
  <c r="AO2811" i="2"/>
  <c r="AO2827" i="2"/>
  <c r="AO2843" i="2"/>
  <c r="AO2859" i="2"/>
  <c r="AO2875" i="2"/>
  <c r="AO2891" i="2"/>
  <c r="AO2907" i="2"/>
  <c r="AO2923" i="2"/>
  <c r="AO2939" i="2"/>
  <c r="AO2955" i="2"/>
  <c r="AO2971" i="2"/>
  <c r="AO2987" i="2"/>
  <c r="AO3003" i="2"/>
  <c r="AO3019" i="2"/>
  <c r="AO3035" i="2"/>
  <c r="AO3051" i="2"/>
  <c r="AO3067" i="2"/>
  <c r="AO3083" i="2"/>
  <c r="AO3098" i="2"/>
  <c r="AO3104" i="2"/>
  <c r="AO3110" i="2"/>
  <c r="AO3115" i="2"/>
  <c r="AO3120" i="2"/>
  <c r="AO3126" i="2"/>
  <c r="AO3131" i="2"/>
  <c r="AO3136" i="2"/>
  <c r="AO3142" i="2"/>
  <c r="AO3147" i="2"/>
  <c r="AO3152" i="2"/>
  <c r="AO3158" i="2"/>
  <c r="AO3163" i="2"/>
  <c r="AO3168" i="2"/>
  <c r="AO3174" i="2"/>
  <c r="AO3179" i="2"/>
  <c r="AO3184" i="2"/>
  <c r="AO3190" i="2"/>
  <c r="AO3195" i="2"/>
  <c r="AO3200" i="2"/>
  <c r="AO3206" i="2"/>
  <c r="AO3211" i="2"/>
  <c r="AO3216" i="2"/>
  <c r="AO3222" i="2"/>
  <c r="AO3226" i="2"/>
  <c r="AO3230" i="2"/>
  <c r="AO3234" i="2"/>
  <c r="AO3238" i="2"/>
  <c r="AO3242" i="2"/>
  <c r="AO3246" i="2"/>
  <c r="AO3250" i="2"/>
  <c r="AO3254" i="2"/>
  <c r="AO3258" i="2"/>
  <c r="AO3262" i="2"/>
  <c r="AO3266" i="2"/>
  <c r="AO3270" i="2"/>
  <c r="AO3274" i="2"/>
  <c r="AO3278" i="2"/>
  <c r="AO3282" i="2"/>
  <c r="AO3286" i="2"/>
  <c r="AO3290" i="2"/>
  <c r="AO3294" i="2"/>
  <c r="AO3298" i="2"/>
  <c r="AO3302" i="2"/>
  <c r="AO3306" i="2"/>
  <c r="AO3310" i="2"/>
  <c r="AO3314" i="2"/>
  <c r="AO3318" i="2"/>
  <c r="AO3322" i="2"/>
  <c r="AO3326" i="2"/>
  <c r="AO3330" i="2"/>
  <c r="AO3334" i="2"/>
  <c r="AO3338" i="2"/>
  <c r="AO3342" i="2"/>
  <c r="AO3346" i="2"/>
  <c r="AO3350" i="2"/>
  <c r="AO3354" i="2"/>
  <c r="AO3358" i="2"/>
  <c r="AO3362" i="2"/>
  <c r="AO3366" i="2"/>
  <c r="AO3370" i="2"/>
  <c r="AO3374" i="2"/>
  <c r="AO3378" i="2"/>
  <c r="AO3382" i="2"/>
  <c r="AO3386" i="2"/>
  <c r="AO3390" i="2"/>
  <c r="AO3394" i="2"/>
  <c r="AO3398" i="2"/>
  <c r="AO3402" i="2"/>
  <c r="AO3406" i="2"/>
  <c r="AO3410" i="2"/>
  <c r="AO3414" i="2"/>
  <c r="AO3418" i="2"/>
  <c r="AO3422" i="2"/>
  <c r="AO3426" i="2"/>
  <c r="AO3430" i="2"/>
  <c r="AO3434" i="2"/>
  <c r="AO3438" i="2"/>
  <c r="AO3442" i="2"/>
  <c r="AO3446" i="2"/>
  <c r="AO3450" i="2"/>
  <c r="AO3454" i="2"/>
  <c r="AO3458" i="2"/>
  <c r="AO3462" i="2"/>
  <c r="AO3466" i="2"/>
  <c r="AO3470" i="2"/>
  <c r="AO3474" i="2"/>
  <c r="AO3478" i="2"/>
  <c r="AO3482" i="2"/>
  <c r="AO3486" i="2"/>
  <c r="AO3490" i="2"/>
  <c r="AO3494" i="2"/>
  <c r="AO3498" i="2"/>
  <c r="AO3502" i="2"/>
  <c r="AO3506" i="2"/>
  <c r="AO3510" i="2"/>
  <c r="AO3514" i="2"/>
  <c r="AO3518" i="2"/>
  <c r="AO3522" i="2"/>
  <c r="AO3526" i="2"/>
  <c r="AO3530" i="2"/>
  <c r="AO3534" i="2"/>
  <c r="AO3538" i="2"/>
  <c r="AO3542" i="2"/>
  <c r="AO3546" i="2"/>
  <c r="AO3550" i="2"/>
  <c r="AO3554" i="2"/>
  <c r="AO3558" i="2"/>
  <c r="AO3562" i="2"/>
  <c r="AO3566" i="2"/>
  <c r="AO3570" i="2"/>
  <c r="AO3574" i="2"/>
  <c r="AO3578" i="2"/>
  <c r="AO3582" i="2"/>
  <c r="AO3586" i="2"/>
  <c r="AO3590" i="2"/>
  <c r="AO3594" i="2"/>
  <c r="AO3598" i="2"/>
  <c r="AO3602" i="2"/>
  <c r="AO3606" i="2"/>
  <c r="AO3610" i="2"/>
  <c r="AO3614" i="2"/>
  <c r="AO3618" i="2"/>
  <c r="AO3622" i="2"/>
  <c r="AO3626" i="2"/>
  <c r="AO3630" i="2"/>
  <c r="AO3634" i="2"/>
  <c r="AO3638" i="2"/>
  <c r="AO3642" i="2"/>
  <c r="AO3646" i="2"/>
  <c r="AO3650" i="2"/>
  <c r="AO3654" i="2"/>
  <c r="AO3658" i="2"/>
  <c r="AO3662" i="2"/>
  <c r="AO3666" i="2"/>
  <c r="AO3670" i="2"/>
  <c r="AO3674" i="2"/>
  <c r="AO3678" i="2"/>
  <c r="AO3682" i="2"/>
  <c r="AO3686" i="2"/>
  <c r="AO3690" i="2"/>
  <c r="AO3694" i="2"/>
  <c r="AO3698" i="2"/>
  <c r="AO3702" i="2"/>
  <c r="AO3706" i="2"/>
  <c r="AO3710" i="2"/>
  <c r="AO3714" i="2"/>
  <c r="AO3718" i="2"/>
  <c r="AO3722" i="2"/>
  <c r="AO3726" i="2"/>
  <c r="AO3730" i="2"/>
  <c r="AO3734" i="2"/>
  <c r="AO3738" i="2"/>
  <c r="AO3742" i="2"/>
  <c r="AO3746" i="2"/>
  <c r="AO3750" i="2"/>
  <c r="AO3754" i="2"/>
  <c r="AO3758" i="2"/>
  <c r="AO3762" i="2"/>
  <c r="AO3766" i="2"/>
  <c r="AO3770" i="2"/>
  <c r="AO3774" i="2"/>
  <c r="AO3778" i="2"/>
  <c r="AO3782" i="2"/>
  <c r="AO3786" i="2"/>
  <c r="AO3790" i="2"/>
  <c r="AO3794" i="2"/>
  <c r="AO3798" i="2"/>
  <c r="AO3802" i="2"/>
  <c r="AO3806" i="2"/>
  <c r="AO3810" i="2"/>
  <c r="AO3814" i="2"/>
  <c r="AO3818" i="2"/>
  <c r="AO3822" i="2"/>
  <c r="AO3826" i="2"/>
  <c r="AO3830" i="2"/>
  <c r="AO3834" i="2"/>
  <c r="AO3838" i="2"/>
  <c r="AO3842" i="2"/>
  <c r="AO3846" i="2"/>
  <c r="AO3850" i="2"/>
  <c r="AO3854" i="2"/>
  <c r="AO3858" i="2"/>
  <c r="AO3862" i="2"/>
  <c r="AO3866" i="2"/>
  <c r="AO3870" i="2"/>
  <c r="AO3874" i="2"/>
  <c r="AO3878" i="2"/>
  <c r="AO3882" i="2"/>
  <c r="AO3886" i="2"/>
  <c r="AO3890" i="2"/>
  <c r="AO3894" i="2"/>
  <c r="AO3898" i="2"/>
  <c r="AO3902" i="2"/>
  <c r="AO3906" i="2"/>
  <c r="AO3910" i="2"/>
  <c r="AO3914" i="2"/>
  <c r="AO3918" i="2"/>
  <c r="AO3922" i="2"/>
  <c r="AO3926" i="2"/>
  <c r="AO3930" i="2"/>
  <c r="AO3934" i="2"/>
  <c r="AO3938" i="2"/>
  <c r="AO3942" i="2"/>
  <c r="AO3946" i="2"/>
  <c r="AO3950" i="2"/>
  <c r="AO3954" i="2"/>
  <c r="AO3958" i="2"/>
  <c r="AO3962" i="2"/>
  <c r="AO3966" i="2"/>
  <c r="AO3970" i="2"/>
  <c r="AO3974" i="2"/>
  <c r="AO3978" i="2"/>
  <c r="AO3982" i="2"/>
  <c r="AO3986" i="2"/>
  <c r="AO3990" i="2"/>
  <c r="AO3994" i="2"/>
  <c r="AO3998" i="2"/>
  <c r="AO4002" i="2"/>
  <c r="AO1243" i="2"/>
  <c r="AO1691" i="2"/>
  <c r="AO1862" i="2"/>
  <c r="AO1997" i="2"/>
  <c r="AO2051" i="2"/>
  <c r="AO2083" i="2"/>
  <c r="AO2115" i="2"/>
  <c r="AO2147" i="2"/>
  <c r="AO2195" i="2"/>
  <c r="AO2227" i="2"/>
  <c r="AO2259" i="2"/>
  <c r="AO2291" i="2"/>
  <c r="AO2323" i="2"/>
  <c r="AO2371" i="2"/>
  <c r="AO2403" i="2"/>
  <c r="AO2435" i="2"/>
  <c r="AO2467" i="2"/>
  <c r="AO2483" i="2"/>
  <c r="AO2515" i="2"/>
  <c r="AO2547" i="2"/>
  <c r="AO2579" i="2"/>
  <c r="AO2611" i="2"/>
  <c r="AO2643" i="2"/>
  <c r="AO2675" i="2"/>
  <c r="AO2707" i="2"/>
  <c r="AO2739" i="2"/>
  <c r="AO2771" i="2"/>
  <c r="AO2803" i="2"/>
  <c r="AO2835" i="2"/>
  <c r="AO2883" i="2"/>
  <c r="AO2915" i="2"/>
  <c r="AO2947" i="2"/>
  <c r="AO2979" i="2"/>
  <c r="AO3011" i="2"/>
  <c r="AO3043" i="2"/>
  <c r="AO3075" i="2"/>
  <c r="AO3102" i="2"/>
  <c r="AO3112" i="2"/>
  <c r="AO3123" i="2"/>
  <c r="AO3134" i="2"/>
  <c r="AO3144" i="2"/>
  <c r="AO3160" i="2"/>
  <c r="AO3171" i="2"/>
  <c r="AO915" i="2"/>
  <c r="AO1179" i="2"/>
  <c r="AO1345" i="2"/>
  <c r="AO1458" i="2"/>
  <c r="AO1573" i="2"/>
  <c r="AO1670" i="2"/>
  <c r="AO1755" i="2"/>
  <c r="AO1841" i="2"/>
  <c r="AO1917" i="2"/>
  <c r="AO1981" i="2"/>
  <c r="AO2029" i="2"/>
  <c r="AO2047" i="2"/>
  <c r="AO2063" i="2"/>
  <c r="AO2079" i="2"/>
  <c r="AO2095" i="2"/>
  <c r="AO2111" i="2"/>
  <c r="AO2127" i="2"/>
  <c r="AO2143" i="2"/>
  <c r="AO2159" i="2"/>
  <c r="AO2175" i="2"/>
  <c r="AO2191" i="2"/>
  <c r="AO2207" i="2"/>
  <c r="AO2223" i="2"/>
  <c r="AO2239" i="2"/>
  <c r="AO2255" i="2"/>
  <c r="AO2271" i="2"/>
  <c r="AO2287" i="2"/>
  <c r="AO2303" i="2"/>
  <c r="AO2319" i="2"/>
  <c r="AO2335" i="2"/>
  <c r="AO2351" i="2"/>
  <c r="AO2367" i="2"/>
  <c r="AO2383" i="2"/>
  <c r="AO2399" i="2"/>
  <c r="AO2415" i="2"/>
  <c r="AO2431" i="2"/>
  <c r="AO2447" i="2"/>
  <c r="AO2463" i="2"/>
  <c r="AO2479" i="2"/>
  <c r="AO2495" i="2"/>
  <c r="AO2511" i="2"/>
  <c r="AO2527" i="2"/>
  <c r="AO2543" i="2"/>
  <c r="AO2559" i="2"/>
  <c r="AO2575" i="2"/>
  <c r="AO2591" i="2"/>
  <c r="AO2607" i="2"/>
  <c r="AO2623" i="2"/>
  <c r="AO2639" i="2"/>
  <c r="AO2655" i="2"/>
  <c r="AO2671" i="2"/>
  <c r="AO2687" i="2"/>
  <c r="AO2703" i="2"/>
  <c r="AO2719" i="2"/>
  <c r="AO2735" i="2"/>
  <c r="AO2751" i="2"/>
  <c r="AO2767" i="2"/>
  <c r="AO2783" i="2"/>
  <c r="AO2799" i="2"/>
  <c r="AO2815" i="2"/>
  <c r="AO2831" i="2"/>
  <c r="AO2847" i="2"/>
  <c r="AO2863" i="2"/>
  <c r="AO2879" i="2"/>
  <c r="AO2895" i="2"/>
  <c r="AO2911" i="2"/>
  <c r="AO2927" i="2"/>
  <c r="AO2943" i="2"/>
  <c r="AO2959" i="2"/>
  <c r="AO2975" i="2"/>
  <c r="AO2991" i="2"/>
  <c r="AO3007" i="2"/>
  <c r="AO3023" i="2"/>
  <c r="AO3039" i="2"/>
  <c r="AO3055" i="2"/>
  <c r="AO3071" i="2"/>
  <c r="AO3087" i="2"/>
  <c r="AO3099" i="2"/>
  <c r="AO3106" i="2"/>
  <c r="AO3111" i="2"/>
  <c r="AO3116" i="2"/>
  <c r="AO3122" i="2"/>
  <c r="AO3127" i="2"/>
  <c r="AO3132" i="2"/>
  <c r="AO3138" i="2"/>
  <c r="AO3143" i="2"/>
  <c r="AO3148" i="2"/>
  <c r="AO3154" i="2"/>
  <c r="AO3159" i="2"/>
  <c r="AO3164" i="2"/>
  <c r="AO3170" i="2"/>
  <c r="AO3175" i="2"/>
  <c r="AO3180" i="2"/>
  <c r="AO3186" i="2"/>
  <c r="AO3191" i="2"/>
  <c r="AO3196" i="2"/>
  <c r="AO3202" i="2"/>
  <c r="AO3207" i="2"/>
  <c r="AO3212" i="2"/>
  <c r="AO3218" i="2"/>
  <c r="AO3223" i="2"/>
  <c r="AO3227" i="2"/>
  <c r="AO3231" i="2"/>
  <c r="AO3235" i="2"/>
  <c r="AO3239" i="2"/>
  <c r="AO3243" i="2"/>
  <c r="AO3247" i="2"/>
  <c r="AO3251" i="2"/>
  <c r="AO3255" i="2"/>
  <c r="AO3259" i="2"/>
  <c r="AO3263" i="2"/>
  <c r="AO3267" i="2"/>
  <c r="AO3271" i="2"/>
  <c r="AO3275" i="2"/>
  <c r="AO3279" i="2"/>
  <c r="AO3283" i="2"/>
  <c r="AO3287" i="2"/>
  <c r="AO3291" i="2"/>
  <c r="AO3295" i="2"/>
  <c r="AO3299" i="2"/>
  <c r="AO3303" i="2"/>
  <c r="AO3307" i="2"/>
  <c r="AO3311" i="2"/>
  <c r="AO3315" i="2"/>
  <c r="AO3319" i="2"/>
  <c r="AO3323" i="2"/>
  <c r="AO3327" i="2"/>
  <c r="AO3331" i="2"/>
  <c r="AO3335" i="2"/>
  <c r="AO3339" i="2"/>
  <c r="AO3343" i="2"/>
  <c r="AO3347" i="2"/>
  <c r="AO3351" i="2"/>
  <c r="AO3355" i="2"/>
  <c r="AO3359" i="2"/>
  <c r="AO3363" i="2"/>
  <c r="AO3367" i="2"/>
  <c r="AO3371" i="2"/>
  <c r="AO3375" i="2"/>
  <c r="AO3379" i="2"/>
  <c r="AO3383" i="2"/>
  <c r="AO3387" i="2"/>
  <c r="AO3391" i="2"/>
  <c r="AO3395" i="2"/>
  <c r="AO3399" i="2"/>
  <c r="AO3403" i="2"/>
  <c r="AO3407" i="2"/>
  <c r="AO3411" i="2"/>
  <c r="AO3415" i="2"/>
  <c r="AO3419" i="2"/>
  <c r="AO3423" i="2"/>
  <c r="AO3427" i="2"/>
  <c r="AO3431" i="2"/>
  <c r="AO3435" i="2"/>
  <c r="AO3439" i="2"/>
  <c r="AO3443" i="2"/>
  <c r="AO3447" i="2"/>
  <c r="AO3451" i="2"/>
  <c r="AO3455" i="2"/>
  <c r="AO3459" i="2"/>
  <c r="AO3463" i="2"/>
  <c r="AO3467" i="2"/>
  <c r="AO3471" i="2"/>
  <c r="AO3475" i="2"/>
  <c r="AO3479" i="2"/>
  <c r="AO3483" i="2"/>
  <c r="AO3487" i="2"/>
  <c r="AO3491" i="2"/>
  <c r="AO3495" i="2"/>
  <c r="AO3499" i="2"/>
  <c r="AO3503" i="2"/>
  <c r="AO3507" i="2"/>
  <c r="AO3511" i="2"/>
  <c r="AO3515" i="2"/>
  <c r="AO3519" i="2"/>
  <c r="AO3523" i="2"/>
  <c r="AO3527" i="2"/>
  <c r="AO3531" i="2"/>
  <c r="AO3535" i="2"/>
  <c r="AO3539" i="2"/>
  <c r="AO3543" i="2"/>
  <c r="AO3547" i="2"/>
  <c r="AO3551" i="2"/>
  <c r="AO3555" i="2"/>
  <c r="AO3559" i="2"/>
  <c r="AO3563" i="2"/>
  <c r="AO3567" i="2"/>
  <c r="AO3571" i="2"/>
  <c r="AO3575" i="2"/>
  <c r="AO3579" i="2"/>
  <c r="AO3583" i="2"/>
  <c r="AO3587" i="2"/>
  <c r="AO3591" i="2"/>
  <c r="AO3595" i="2"/>
  <c r="AO3599" i="2"/>
  <c r="AO3603" i="2"/>
  <c r="AO3607" i="2"/>
  <c r="AO3611" i="2"/>
  <c r="AO3615" i="2"/>
  <c r="AO3619" i="2"/>
  <c r="AO3623" i="2"/>
  <c r="AO3627" i="2"/>
  <c r="AO3631" i="2"/>
  <c r="AO3635" i="2"/>
  <c r="AO3639" i="2"/>
  <c r="AO3643" i="2"/>
  <c r="AO3647" i="2"/>
  <c r="AO3651" i="2"/>
  <c r="AO3655" i="2"/>
  <c r="AO3659" i="2"/>
  <c r="AO3663" i="2"/>
  <c r="AO3667" i="2"/>
  <c r="AO3671" i="2"/>
  <c r="AO3675" i="2"/>
  <c r="AO3679" i="2"/>
  <c r="AO3683" i="2"/>
  <c r="AO3687" i="2"/>
  <c r="AO3691" i="2"/>
  <c r="AO3695" i="2"/>
  <c r="AO3699" i="2"/>
  <c r="AO3703" i="2"/>
  <c r="AO3707" i="2"/>
  <c r="AO3711" i="2"/>
  <c r="AO3715" i="2"/>
  <c r="AO3719" i="2"/>
  <c r="AO3723" i="2"/>
  <c r="AO3727" i="2"/>
  <c r="AO3731" i="2"/>
  <c r="AO3735" i="2"/>
  <c r="AO3739" i="2"/>
  <c r="AO3743" i="2"/>
  <c r="AO3747" i="2"/>
  <c r="AO3751" i="2"/>
  <c r="AO3755" i="2"/>
  <c r="AO3759" i="2"/>
  <c r="AO3763" i="2"/>
  <c r="AO3767" i="2"/>
  <c r="AO3771" i="2"/>
  <c r="AO3775" i="2"/>
  <c r="AO3779" i="2"/>
  <c r="AO3783" i="2"/>
  <c r="AO3787" i="2"/>
  <c r="AO3791" i="2"/>
  <c r="AO3795" i="2"/>
  <c r="AO3799" i="2"/>
  <c r="AO3803" i="2"/>
  <c r="AO3807" i="2"/>
  <c r="AO3811" i="2"/>
  <c r="AO3815" i="2"/>
  <c r="AO3819" i="2"/>
  <c r="AO3823" i="2"/>
  <c r="AO3827" i="2"/>
  <c r="AO3831" i="2"/>
  <c r="AO3835" i="2"/>
  <c r="AO3839" i="2"/>
  <c r="AO3843" i="2"/>
  <c r="AO3847" i="2"/>
  <c r="AO3851" i="2"/>
  <c r="AO3855" i="2"/>
  <c r="AO3859" i="2"/>
  <c r="AO3863" i="2"/>
  <c r="AO3867" i="2"/>
  <c r="AO3871" i="2"/>
  <c r="AO3875" i="2"/>
  <c r="AO3879" i="2"/>
  <c r="AO3883" i="2"/>
  <c r="AO3887" i="2"/>
  <c r="AO3891" i="2"/>
  <c r="AO3895" i="2"/>
  <c r="AO3899" i="2"/>
  <c r="AO3903" i="2"/>
  <c r="AO3907" i="2"/>
  <c r="AO3911" i="2"/>
  <c r="AO3915" i="2"/>
  <c r="AO3919" i="2"/>
  <c r="AO3923" i="2"/>
  <c r="AO3927" i="2"/>
  <c r="AO3931" i="2"/>
  <c r="AO3935" i="2"/>
  <c r="AO3939" i="2"/>
  <c r="AO3943" i="2"/>
  <c r="AO3947" i="2"/>
  <c r="AO3951" i="2"/>
  <c r="AO3955" i="2"/>
  <c r="AO3959" i="2"/>
  <c r="AO3963" i="2"/>
  <c r="AO3967" i="2"/>
  <c r="AO3971" i="2"/>
  <c r="AO3975" i="2"/>
  <c r="AO3979" i="2"/>
  <c r="AO3983" i="2"/>
  <c r="AO3987" i="2"/>
  <c r="AO3991" i="2"/>
  <c r="AO3995" i="2"/>
  <c r="AO3999" i="2"/>
  <c r="AO4003" i="2"/>
  <c r="AO987" i="2"/>
  <c r="AO2867" i="2"/>
  <c r="AO3155" i="2"/>
  <c r="AO3192" i="2"/>
  <c r="AO3214" i="2"/>
  <c r="AO3232" i="2"/>
  <c r="AO3248" i="2"/>
  <c r="AO3264" i="2"/>
  <c r="AO3280" i="2"/>
  <c r="AO3296" i="2"/>
  <c r="AO3312" i="2"/>
  <c r="AO3328" i="2"/>
  <c r="AO3344" i="2"/>
  <c r="AO3360" i="2"/>
  <c r="AO3376" i="2"/>
  <c r="AO3392" i="2"/>
  <c r="AO3408" i="2"/>
  <c r="AO3424" i="2"/>
  <c r="AO3440" i="2"/>
  <c r="AO3456" i="2"/>
  <c r="AO3472" i="2"/>
  <c r="AO3488" i="2"/>
  <c r="AO3504" i="2"/>
  <c r="AO3520" i="2"/>
  <c r="AO3536" i="2"/>
  <c r="AO3552" i="2"/>
  <c r="AO3568" i="2"/>
  <c r="AO3584" i="2"/>
  <c r="AO3600" i="2"/>
  <c r="AO3616" i="2"/>
  <c r="AO3632" i="2"/>
  <c r="AO3648" i="2"/>
  <c r="AO3664" i="2"/>
  <c r="AO3680" i="2"/>
  <c r="AO3696" i="2"/>
  <c r="AO3712" i="2"/>
  <c r="AO3728" i="2"/>
  <c r="AO3744" i="2"/>
  <c r="AO3760" i="2"/>
  <c r="AO3776" i="2"/>
  <c r="AO3792" i="2"/>
  <c r="AO3808" i="2"/>
  <c r="AO3824" i="2"/>
  <c r="AO3840" i="2"/>
  <c r="AO3856" i="2"/>
  <c r="AO3872" i="2"/>
  <c r="AO3888" i="2"/>
  <c r="AO3904" i="2"/>
  <c r="AO3920" i="2"/>
  <c r="AO3936" i="2"/>
  <c r="AO3952" i="2"/>
  <c r="AO3968" i="2"/>
  <c r="AO3984" i="2"/>
  <c r="AO4000" i="2"/>
  <c r="AO3176" i="2"/>
  <c r="AO3198" i="2"/>
  <c r="AO3219" i="2"/>
  <c r="AO3236" i="2"/>
  <c r="AO3252" i="2"/>
  <c r="AO3268" i="2"/>
  <c r="AO3284" i="2"/>
  <c r="AO3300" i="2"/>
  <c r="AO3316" i="2"/>
  <c r="AO3332" i="2"/>
  <c r="AO3348" i="2"/>
  <c r="AO3364" i="2"/>
  <c r="AO3380" i="2"/>
  <c r="AO3396" i="2"/>
  <c r="AO3412" i="2"/>
  <c r="AO3428" i="2"/>
  <c r="AO3444" i="2"/>
  <c r="AO3460" i="2"/>
  <c r="AO3476" i="2"/>
  <c r="AO3492" i="2"/>
  <c r="AO3508" i="2"/>
  <c r="AO3524" i="2"/>
  <c r="AO3540" i="2"/>
  <c r="AO3556" i="2"/>
  <c r="AO3572" i="2"/>
  <c r="AO3588" i="2"/>
  <c r="AO3604" i="2"/>
  <c r="AO3620" i="2"/>
  <c r="AO3636" i="2"/>
  <c r="AO3652" i="2"/>
  <c r="AO3668" i="2"/>
  <c r="AO3684" i="2"/>
  <c r="AO3700" i="2"/>
  <c r="AO3716" i="2"/>
  <c r="AO3732" i="2"/>
  <c r="AO3748" i="2"/>
  <c r="AO3764" i="2"/>
  <c r="AO3780" i="2"/>
  <c r="AO3796" i="2"/>
  <c r="AO3812" i="2"/>
  <c r="AO3828" i="2"/>
  <c r="AO3844" i="2"/>
  <c r="AO3860" i="2"/>
  <c r="AO3876" i="2"/>
  <c r="AO3892" i="2"/>
  <c r="AO3908" i="2"/>
  <c r="AO3924" i="2"/>
  <c r="AO3940" i="2"/>
  <c r="AO3956" i="2"/>
  <c r="AO3972" i="2"/>
  <c r="AO3988" i="2"/>
  <c r="AO3187" i="2"/>
  <c r="AO3308" i="2"/>
  <c r="AO3356" i="2"/>
  <c r="AO3388" i="2"/>
  <c r="AO3420" i="2"/>
  <c r="AO3452" i="2"/>
  <c r="AO3484" i="2"/>
  <c r="AO3516" i="2"/>
  <c r="AO3548" i="2"/>
  <c r="AO3564" i="2"/>
  <c r="AO3596" i="2"/>
  <c r="AO3628" i="2"/>
  <c r="AO3660" i="2"/>
  <c r="AO3692" i="2"/>
  <c r="AO3724" i="2"/>
  <c r="AO3756" i="2"/>
  <c r="AO3788" i="2"/>
  <c r="AO3804" i="2"/>
  <c r="AO3836" i="2"/>
  <c r="AO3868" i="2"/>
  <c r="AO3900" i="2"/>
  <c r="AO3932" i="2"/>
  <c r="AO3964" i="2"/>
  <c r="AO3996" i="2"/>
  <c r="AO3182" i="2"/>
  <c r="AO3203" i="2"/>
  <c r="AO3224" i="2"/>
  <c r="AO3240" i="2"/>
  <c r="AO3256" i="2"/>
  <c r="AO3272" i="2"/>
  <c r="AO3288" i="2"/>
  <c r="AO3304" i="2"/>
  <c r="AO3320" i="2"/>
  <c r="AO3336" i="2"/>
  <c r="AO3352" i="2"/>
  <c r="AO3368" i="2"/>
  <c r="AO3384" i="2"/>
  <c r="AO3400" i="2"/>
  <c r="AO3416" i="2"/>
  <c r="AO3432" i="2"/>
  <c r="AO3448" i="2"/>
  <c r="AO3464" i="2"/>
  <c r="AO3480" i="2"/>
  <c r="AO3496" i="2"/>
  <c r="AO3512" i="2"/>
  <c r="AO3528" i="2"/>
  <c r="AO3544" i="2"/>
  <c r="AO3560" i="2"/>
  <c r="AO3576" i="2"/>
  <c r="AO3592" i="2"/>
  <c r="AO3608" i="2"/>
  <c r="AO3624" i="2"/>
  <c r="AO3640" i="2"/>
  <c r="AO3656" i="2"/>
  <c r="AO3672" i="2"/>
  <c r="AO3688" i="2"/>
  <c r="AO3704" i="2"/>
  <c r="AO3720" i="2"/>
  <c r="AO3736" i="2"/>
  <c r="AO3752" i="2"/>
  <c r="AO3768" i="2"/>
  <c r="AO3784" i="2"/>
  <c r="AO3800" i="2"/>
  <c r="AO3816" i="2"/>
  <c r="AO3832" i="2"/>
  <c r="AO3848" i="2"/>
  <c r="AO3864" i="2"/>
  <c r="AO3880" i="2"/>
  <c r="AO3896" i="2"/>
  <c r="AO3912" i="2"/>
  <c r="AO3928" i="2"/>
  <c r="AO3944" i="2"/>
  <c r="AO3960" i="2"/>
  <c r="AO3976" i="2"/>
  <c r="AO3992" i="2"/>
  <c r="AO3208" i="2"/>
  <c r="AO3228" i="2"/>
  <c r="AO3244" i="2"/>
  <c r="AO3260" i="2"/>
  <c r="AO3276" i="2"/>
  <c r="AO3292" i="2"/>
  <c r="AO3324" i="2"/>
  <c r="AO3340" i="2"/>
  <c r="AO3372" i="2"/>
  <c r="AO3404" i="2"/>
  <c r="AO3436" i="2"/>
  <c r="AO3468" i="2"/>
  <c r="AO3500" i="2"/>
  <c r="AO3532" i="2"/>
  <c r="AO3580" i="2"/>
  <c r="AO3612" i="2"/>
  <c r="AO3644" i="2"/>
  <c r="AO3676" i="2"/>
  <c r="AO3708" i="2"/>
  <c r="AO3740" i="2"/>
  <c r="AO3772" i="2"/>
  <c r="AO3820" i="2"/>
  <c r="AO3852" i="2"/>
  <c r="AO3884" i="2"/>
  <c r="AO3916" i="2"/>
  <c r="AO3948" i="2"/>
  <c r="AO3980" i="2"/>
  <c r="J17" i="2" a="1"/>
  <c r="J6" i="2" a="1"/>
  <c r="AW17" i="2" l="1"/>
  <c r="AW18" i="2" s="1"/>
  <c r="AV16" i="2"/>
  <c r="AV15" i="2"/>
  <c r="J17" i="2"/>
  <c r="J18" i="2"/>
  <c r="J19" i="2"/>
  <c r="J20" i="2"/>
  <c r="J21" i="2"/>
  <c r="J22" i="2"/>
  <c r="J23" i="2"/>
  <c r="M20" i="2"/>
  <c r="M23" i="2"/>
  <c r="K17" i="2"/>
  <c r="K18" i="2"/>
  <c r="K19" i="2"/>
  <c r="K20" i="2"/>
  <c r="K21" i="2"/>
  <c r="K22" i="2"/>
  <c r="K23" i="2"/>
  <c r="M18" i="2"/>
  <c r="M22" i="2"/>
  <c r="L17" i="2"/>
  <c r="L18" i="2"/>
  <c r="L19" i="2"/>
  <c r="L20" i="2"/>
  <c r="L21" i="2"/>
  <c r="L22" i="2"/>
  <c r="L23" i="2"/>
  <c r="M17" i="2"/>
  <c r="M19" i="2"/>
  <c r="M21" i="2"/>
  <c r="J6" i="2"/>
  <c r="N6" i="2"/>
  <c r="L7" i="2"/>
  <c r="J8" i="2"/>
  <c r="N8" i="2"/>
  <c r="L9" i="2"/>
  <c r="J10" i="2"/>
  <c r="N10" i="2"/>
  <c r="L11" i="2"/>
  <c r="J12" i="2"/>
  <c r="N12" i="2"/>
  <c r="K6" i="2"/>
  <c r="O6" i="2"/>
  <c r="M7" i="2"/>
  <c r="K8" i="2"/>
  <c r="O8" i="2"/>
  <c r="M9" i="2"/>
  <c r="K10" i="2"/>
  <c r="O10" i="2"/>
  <c r="M11" i="2"/>
  <c r="K12" i="2"/>
  <c r="O12" i="2"/>
  <c r="J7" i="2"/>
  <c r="N7" i="2"/>
  <c r="L8" i="2"/>
  <c r="J9" i="2"/>
  <c r="N9" i="2"/>
  <c r="L10" i="2"/>
  <c r="J11" i="2"/>
  <c r="N11" i="2"/>
  <c r="L12" i="2"/>
  <c r="M6" i="2"/>
  <c r="K7" i="2"/>
  <c r="O7" i="2"/>
  <c r="M8" i="2"/>
  <c r="K9" i="2"/>
  <c r="O9" i="2"/>
  <c r="M10" i="2"/>
  <c r="K11" i="2"/>
  <c r="O11" i="2"/>
  <c r="M12" i="2"/>
  <c r="L6" i="2"/>
  <c r="AW19" i="2" l="1"/>
  <c r="AW20" i="2" s="1"/>
  <c r="AV17" i="2"/>
  <c r="AV18" i="2"/>
  <c r="Q21" i="2"/>
  <c r="Q25" i="2"/>
  <c r="Q29" i="2"/>
  <c r="Q33" i="2"/>
  <c r="Q37" i="2"/>
  <c r="Q41" i="2"/>
  <c r="Q45" i="2"/>
  <c r="Q49" i="2"/>
  <c r="Q53" i="2"/>
  <c r="Q57" i="2"/>
  <c r="Q61" i="2"/>
  <c r="Q65" i="2"/>
  <c r="Q69" i="2"/>
  <c r="Q73" i="2"/>
  <c r="Q77" i="2"/>
  <c r="Q81" i="2"/>
  <c r="Q85" i="2"/>
  <c r="Q89" i="2"/>
  <c r="Q93" i="2"/>
  <c r="Q97" i="2"/>
  <c r="Q101" i="2"/>
  <c r="Q105" i="2"/>
  <c r="Q109" i="2"/>
  <c r="Q113" i="2"/>
  <c r="Q117" i="2"/>
  <c r="Q121" i="2"/>
  <c r="Q125" i="2"/>
  <c r="Q129" i="2"/>
  <c r="Q133" i="2"/>
  <c r="Q137" i="2"/>
  <c r="Q141" i="2"/>
  <c r="Q145" i="2"/>
  <c r="Q149" i="2"/>
  <c r="Q153" i="2"/>
  <c r="Q157" i="2"/>
  <c r="Q161" i="2"/>
  <c r="Q165" i="2"/>
  <c r="Q169" i="2"/>
  <c r="Q173" i="2"/>
  <c r="Q177" i="2"/>
  <c r="Q181" i="2"/>
  <c r="Q185" i="2"/>
  <c r="Q189" i="2"/>
  <c r="Q193" i="2"/>
  <c r="Q197" i="2"/>
  <c r="Q201" i="2"/>
  <c r="Q205" i="2"/>
  <c r="Q209" i="2"/>
  <c r="Q213" i="2"/>
  <c r="Q217" i="2"/>
  <c r="Q221" i="2"/>
  <c r="Q225" i="2"/>
  <c r="Q229" i="2"/>
  <c r="Q233" i="2"/>
  <c r="Q237" i="2"/>
  <c r="Q241" i="2"/>
  <c r="Q245" i="2"/>
  <c r="Q249" i="2"/>
  <c r="Q253" i="2"/>
  <c r="Q257" i="2"/>
  <c r="Q261" i="2"/>
  <c r="Q265" i="2"/>
  <c r="Q269" i="2"/>
  <c r="Q273" i="2"/>
  <c r="Q277" i="2"/>
  <c r="Q281" i="2"/>
  <c r="Q285" i="2"/>
  <c r="Q289" i="2"/>
  <c r="Q293" i="2"/>
  <c r="Q297" i="2"/>
  <c r="Q301" i="2"/>
  <c r="Q305" i="2"/>
  <c r="Q309" i="2"/>
  <c r="Q313" i="2"/>
  <c r="Q317" i="2"/>
  <c r="Q321" i="2"/>
  <c r="Q325" i="2"/>
  <c r="Q329" i="2"/>
  <c r="Q333" i="2"/>
  <c r="Q337" i="2"/>
  <c r="Q341" i="2"/>
  <c r="Q345" i="2"/>
  <c r="Q349" i="2"/>
  <c r="Q353" i="2"/>
  <c r="Q357" i="2"/>
  <c r="Q22" i="2"/>
  <c r="Q26" i="2"/>
  <c r="Q30" i="2"/>
  <c r="Q34" i="2"/>
  <c r="Q38" i="2"/>
  <c r="Q42" i="2"/>
  <c r="Q46" i="2"/>
  <c r="Q50" i="2"/>
  <c r="Q54" i="2"/>
  <c r="Q58" i="2"/>
  <c r="Q62" i="2"/>
  <c r="Q66" i="2"/>
  <c r="Q70" i="2"/>
  <c r="Q74" i="2"/>
  <c r="Q78" i="2"/>
  <c r="Q82" i="2"/>
  <c r="Q86" i="2"/>
  <c r="Q90" i="2"/>
  <c r="Q94" i="2"/>
  <c r="Q98" i="2"/>
  <c r="Q102" i="2"/>
  <c r="Q106" i="2"/>
  <c r="Q110" i="2"/>
  <c r="Q114" i="2"/>
  <c r="Q118" i="2"/>
  <c r="Q122" i="2"/>
  <c r="Q126" i="2"/>
  <c r="Q130" i="2"/>
  <c r="Q134" i="2"/>
  <c r="Q138" i="2"/>
  <c r="Q142" i="2"/>
  <c r="Q146" i="2"/>
  <c r="Q150" i="2"/>
  <c r="Q154" i="2"/>
  <c r="Q158" i="2"/>
  <c r="Q162" i="2"/>
  <c r="Q166" i="2"/>
  <c r="Q170" i="2"/>
  <c r="Q174" i="2"/>
  <c r="Q178" i="2"/>
  <c r="Q182" i="2"/>
  <c r="Q186" i="2"/>
  <c r="Q190" i="2"/>
  <c r="Q194" i="2"/>
  <c r="Q198" i="2"/>
  <c r="Q202" i="2"/>
  <c r="Q206" i="2"/>
  <c r="Q210" i="2"/>
  <c r="Q214" i="2"/>
  <c r="Q218" i="2"/>
  <c r="Q222" i="2"/>
  <c r="Q226" i="2"/>
  <c r="Q230" i="2"/>
  <c r="Q234" i="2"/>
  <c r="Q238" i="2"/>
  <c r="Q242" i="2"/>
  <c r="Q246" i="2"/>
  <c r="Q250" i="2"/>
  <c r="Q254" i="2"/>
  <c r="Q258" i="2"/>
  <c r="Q262" i="2"/>
  <c r="Q266" i="2"/>
  <c r="Q270" i="2"/>
  <c r="Q274" i="2"/>
  <c r="Q278" i="2"/>
  <c r="Q282" i="2"/>
  <c r="Q286" i="2"/>
  <c r="Q290" i="2"/>
  <c r="Q294" i="2"/>
  <c r="Q298" i="2"/>
  <c r="Q302" i="2"/>
  <c r="Q306" i="2"/>
  <c r="Q310" i="2"/>
  <c r="Q314" i="2"/>
  <c r="Q318" i="2"/>
  <c r="Q322" i="2"/>
  <c r="Q326" i="2"/>
  <c r="Q330" i="2"/>
  <c r="Q334" i="2"/>
  <c r="Q338" i="2"/>
  <c r="Q342" i="2"/>
  <c r="Q346" i="2"/>
  <c r="Q350" i="2"/>
  <c r="Q354" i="2"/>
  <c r="Q23" i="2"/>
  <c r="Q27" i="2"/>
  <c r="Q24" i="2"/>
  <c r="Q28" i="2"/>
  <c r="Q36" i="2"/>
  <c r="Q44" i="2"/>
  <c r="Q52" i="2"/>
  <c r="Q60" i="2"/>
  <c r="Q68" i="2"/>
  <c r="Q76" i="2"/>
  <c r="Q84" i="2"/>
  <c r="Q92" i="2"/>
  <c r="Q100" i="2"/>
  <c r="Q108" i="2"/>
  <c r="Q116" i="2"/>
  <c r="Q124" i="2"/>
  <c r="Q132" i="2"/>
  <c r="Q140" i="2"/>
  <c r="Q148" i="2"/>
  <c r="Q156" i="2"/>
  <c r="Q164" i="2"/>
  <c r="Q172" i="2"/>
  <c r="Q180" i="2"/>
  <c r="Q188" i="2"/>
  <c r="Q196" i="2"/>
  <c r="Q204" i="2"/>
  <c r="Q212" i="2"/>
  <c r="Q220" i="2"/>
  <c r="Q228" i="2"/>
  <c r="Q236" i="2"/>
  <c r="Q244" i="2"/>
  <c r="Q252" i="2"/>
  <c r="Q260" i="2"/>
  <c r="Q268" i="2"/>
  <c r="Q276" i="2"/>
  <c r="Q284" i="2"/>
  <c r="Q292" i="2"/>
  <c r="Q300" i="2"/>
  <c r="Q308" i="2"/>
  <c r="Q316" i="2"/>
  <c r="Q324" i="2"/>
  <c r="Q332" i="2"/>
  <c r="Q340" i="2"/>
  <c r="Q348" i="2"/>
  <c r="Q356" i="2"/>
  <c r="Q361" i="2"/>
  <c r="Q365" i="2"/>
  <c r="Q369" i="2"/>
  <c r="Q373" i="2"/>
  <c r="Q377" i="2"/>
  <c r="Q381" i="2"/>
  <c r="Q385" i="2"/>
  <c r="Q389" i="2"/>
  <c r="Q393" i="2"/>
  <c r="Q397" i="2"/>
  <c r="Q401" i="2"/>
  <c r="Q405" i="2"/>
  <c r="Q409" i="2"/>
  <c r="Q413" i="2"/>
  <c r="Q417" i="2"/>
  <c r="Q421" i="2"/>
  <c r="Q425" i="2"/>
  <c r="Q429" i="2"/>
  <c r="Q433" i="2"/>
  <c r="Q437" i="2"/>
  <c r="Q441" i="2"/>
  <c r="Q445" i="2"/>
  <c r="Q449" i="2"/>
  <c r="Q453" i="2"/>
  <c r="Q457" i="2"/>
  <c r="Q461" i="2"/>
  <c r="Q465" i="2"/>
  <c r="Q469" i="2"/>
  <c r="Q473" i="2"/>
  <c r="Q477" i="2"/>
  <c r="Q481" i="2"/>
  <c r="Q485" i="2"/>
  <c r="Q489" i="2"/>
  <c r="Q493" i="2"/>
  <c r="Q497" i="2"/>
  <c r="Q501" i="2"/>
  <c r="Q505" i="2"/>
  <c r="Q509" i="2"/>
  <c r="Q513" i="2"/>
  <c r="Q517" i="2"/>
  <c r="Q521" i="2"/>
  <c r="Q525" i="2"/>
  <c r="Q529" i="2"/>
  <c r="Q533" i="2"/>
  <c r="Q537" i="2"/>
  <c r="Q31" i="2"/>
  <c r="Q39" i="2"/>
  <c r="Q47" i="2"/>
  <c r="Q55" i="2"/>
  <c r="Q63" i="2"/>
  <c r="Q71" i="2"/>
  <c r="Q79" i="2"/>
  <c r="Q87" i="2"/>
  <c r="Q95" i="2"/>
  <c r="Q103" i="2"/>
  <c r="Q111" i="2"/>
  <c r="Q119" i="2"/>
  <c r="Q127" i="2"/>
  <c r="Q135" i="2"/>
  <c r="Q143" i="2"/>
  <c r="Q151" i="2"/>
  <c r="Q159" i="2"/>
  <c r="Q167" i="2"/>
  <c r="Q175" i="2"/>
  <c r="Q183" i="2"/>
  <c r="Q191" i="2"/>
  <c r="Q199" i="2"/>
  <c r="Q207" i="2"/>
  <c r="Q215" i="2"/>
  <c r="Q223" i="2"/>
  <c r="Q231" i="2"/>
  <c r="Q239" i="2"/>
  <c r="Q247" i="2"/>
  <c r="Q255" i="2"/>
  <c r="Q263" i="2"/>
  <c r="Q271" i="2"/>
  <c r="Q279" i="2"/>
  <c r="Q287" i="2"/>
  <c r="Q295" i="2"/>
  <c r="Q303" i="2"/>
  <c r="Q311" i="2"/>
  <c r="Q319" i="2"/>
  <c r="Q327" i="2"/>
  <c r="Q335" i="2"/>
  <c r="Q343" i="2"/>
  <c r="Q351" i="2"/>
  <c r="Q358" i="2"/>
  <c r="Q362" i="2"/>
  <c r="Q366" i="2"/>
  <c r="Q370" i="2"/>
  <c r="Q374" i="2"/>
  <c r="Q378" i="2"/>
  <c r="Q382" i="2"/>
  <c r="Q386" i="2"/>
  <c r="Q390" i="2"/>
  <c r="Q394" i="2"/>
  <c r="Q398" i="2"/>
  <c r="Q402" i="2"/>
  <c r="Q406" i="2"/>
  <c r="Q410" i="2"/>
  <c r="Q414" i="2"/>
  <c r="Q418" i="2"/>
  <c r="Q422" i="2"/>
  <c r="Q426" i="2"/>
  <c r="Q430" i="2"/>
  <c r="Q434" i="2"/>
  <c r="Q438" i="2"/>
  <c r="Q442" i="2"/>
  <c r="Q446" i="2"/>
  <c r="Q450" i="2"/>
  <c r="Q454" i="2"/>
  <c r="Q458" i="2"/>
  <c r="Q462" i="2"/>
  <c r="Q466" i="2"/>
  <c r="Q470" i="2"/>
  <c r="Q474" i="2"/>
  <c r="Q478" i="2"/>
  <c r="Q482" i="2"/>
  <c r="Q486" i="2"/>
  <c r="Q490" i="2"/>
  <c r="Q494" i="2"/>
  <c r="Q498" i="2"/>
  <c r="Q502" i="2"/>
  <c r="Q506" i="2"/>
  <c r="Q510" i="2"/>
  <c r="Q514" i="2"/>
  <c r="Q518" i="2"/>
  <c r="Q522" i="2"/>
  <c r="Q526" i="2"/>
  <c r="Q530" i="2"/>
  <c r="Q32" i="2"/>
  <c r="Q40" i="2"/>
  <c r="Q48" i="2"/>
  <c r="Q56" i="2"/>
  <c r="Q64" i="2"/>
  <c r="Q72" i="2"/>
  <c r="Q80" i="2"/>
  <c r="Q88" i="2"/>
  <c r="Q96" i="2"/>
  <c r="Q104" i="2"/>
  <c r="Q112" i="2"/>
  <c r="Q120" i="2"/>
  <c r="Q128" i="2"/>
  <c r="Q136" i="2"/>
  <c r="Q144" i="2"/>
  <c r="Q152" i="2"/>
  <c r="Q160" i="2"/>
  <c r="Q168" i="2"/>
  <c r="Q176" i="2"/>
  <c r="Q184" i="2"/>
  <c r="Q192" i="2"/>
  <c r="Q200" i="2"/>
  <c r="Q208" i="2"/>
  <c r="Q216" i="2"/>
  <c r="Q224" i="2"/>
  <c r="Q232" i="2"/>
  <c r="Q240" i="2"/>
  <c r="Q248" i="2"/>
  <c r="Q256" i="2"/>
  <c r="Q264" i="2"/>
  <c r="Q272" i="2"/>
  <c r="Q280" i="2"/>
  <c r="Q288" i="2"/>
  <c r="Q296" i="2"/>
  <c r="Q304" i="2"/>
  <c r="Q312" i="2"/>
  <c r="Q320" i="2"/>
  <c r="Q328" i="2"/>
  <c r="Q336" i="2"/>
  <c r="Q344" i="2"/>
  <c r="Q352" i="2"/>
  <c r="Q359" i="2"/>
  <c r="Q363" i="2"/>
  <c r="Q367" i="2"/>
  <c r="Q371" i="2"/>
  <c r="Q375" i="2"/>
  <c r="Q379" i="2"/>
  <c r="Q383" i="2"/>
  <c r="Q387" i="2"/>
  <c r="Q391" i="2"/>
  <c r="Q395" i="2"/>
  <c r="Q399" i="2"/>
  <c r="Q403" i="2"/>
  <c r="Q407" i="2"/>
  <c r="Q411" i="2"/>
  <c r="Q415" i="2"/>
  <c r="Q419" i="2"/>
  <c r="Q423" i="2"/>
  <c r="Q427" i="2"/>
  <c r="Q431" i="2"/>
  <c r="Q435" i="2"/>
  <c r="Q439" i="2"/>
  <c r="Q443" i="2"/>
  <c r="Q447" i="2"/>
  <c r="Q451" i="2"/>
  <c r="Q455" i="2"/>
  <c r="Q459" i="2"/>
  <c r="Q463" i="2"/>
  <c r="Q467" i="2"/>
  <c r="Q471" i="2"/>
  <c r="Q475" i="2"/>
  <c r="Q479" i="2"/>
  <c r="Q483" i="2"/>
  <c r="Q487" i="2"/>
  <c r="Q491" i="2"/>
  <c r="Q495" i="2"/>
  <c r="Q499" i="2"/>
  <c r="Q503" i="2"/>
  <c r="Q35" i="2"/>
  <c r="Q43" i="2"/>
  <c r="Q51" i="2"/>
  <c r="Q59" i="2"/>
  <c r="Q67" i="2"/>
  <c r="Q75" i="2"/>
  <c r="Q83" i="2"/>
  <c r="Q91" i="2"/>
  <c r="Q99" i="2"/>
  <c r="Q107" i="2"/>
  <c r="Q115" i="2"/>
  <c r="Q123" i="2"/>
  <c r="Q131" i="2"/>
  <c r="Q139" i="2"/>
  <c r="Q147" i="2"/>
  <c r="Q155" i="2"/>
  <c r="Q163" i="2"/>
  <c r="Q171" i="2"/>
  <c r="Q179" i="2"/>
  <c r="Q187" i="2"/>
  <c r="Q195" i="2"/>
  <c r="Q203" i="2"/>
  <c r="Q211" i="2"/>
  <c r="Q219" i="2"/>
  <c r="Q227" i="2"/>
  <c r="Q235" i="2"/>
  <c r="Q243" i="2"/>
  <c r="Q251" i="2"/>
  <c r="Q259" i="2"/>
  <c r="Q267" i="2"/>
  <c r="Q275" i="2"/>
  <c r="Q283" i="2"/>
  <c r="Q291" i="2"/>
  <c r="Q299" i="2"/>
  <c r="Q307" i="2"/>
  <c r="Q315" i="2"/>
  <c r="Q323" i="2"/>
  <c r="Q331" i="2"/>
  <c r="Q339" i="2"/>
  <c r="Q347" i="2"/>
  <c r="Q355" i="2"/>
  <c r="Q360" i="2"/>
  <c r="Q364" i="2"/>
  <c r="Q368" i="2"/>
  <c r="Q372" i="2"/>
  <c r="Q376" i="2"/>
  <c r="Q380" i="2"/>
  <c r="Q384" i="2"/>
  <c r="Q388" i="2"/>
  <c r="Q392" i="2"/>
  <c r="Q396" i="2"/>
  <c r="Q400" i="2"/>
  <c r="Q404" i="2"/>
  <c r="Q408" i="2"/>
  <c r="Q412" i="2"/>
  <c r="Q416" i="2"/>
  <c r="Q420" i="2"/>
  <c r="Q424" i="2"/>
  <c r="Q428" i="2"/>
  <c r="Q432" i="2"/>
  <c r="Q436" i="2"/>
  <c r="Q440" i="2"/>
  <c r="Q444" i="2"/>
  <c r="Q448" i="2"/>
  <c r="Q452" i="2"/>
  <c r="Q456" i="2"/>
  <c r="Q460" i="2"/>
  <c r="Q464" i="2"/>
  <c r="Q468" i="2"/>
  <c r="Q472" i="2"/>
  <c r="Q476" i="2"/>
  <c r="Q480" i="2"/>
  <c r="Q484" i="2"/>
  <c r="Q488" i="2"/>
  <c r="Q492" i="2"/>
  <c r="Q496" i="2"/>
  <c r="Q500" i="2"/>
  <c r="Q504" i="2"/>
  <c r="Q508" i="2"/>
  <c r="Q512" i="2"/>
  <c r="Q516" i="2"/>
  <c r="Q507" i="2"/>
  <c r="Q520" i="2"/>
  <c r="Q528" i="2"/>
  <c r="Q535" i="2"/>
  <c r="Q540" i="2"/>
  <c r="Q544" i="2"/>
  <c r="Q548" i="2"/>
  <c r="Q552" i="2"/>
  <c r="Q556" i="2"/>
  <c r="Q560" i="2"/>
  <c r="Q564" i="2"/>
  <c r="Q568" i="2"/>
  <c r="Q572" i="2"/>
  <c r="Q576" i="2"/>
  <c r="Q580" i="2"/>
  <c r="Q584" i="2"/>
  <c r="Q588" i="2"/>
  <c r="Q592" i="2"/>
  <c r="Q596" i="2"/>
  <c r="Q600" i="2"/>
  <c r="Q604" i="2"/>
  <c r="Q608" i="2"/>
  <c r="Q612" i="2"/>
  <c r="Q616" i="2"/>
  <c r="Q620" i="2"/>
  <c r="Q624" i="2"/>
  <c r="Q628" i="2"/>
  <c r="Q632" i="2"/>
  <c r="Q636" i="2"/>
  <c r="Q640" i="2"/>
  <c r="Q644" i="2"/>
  <c r="Q648" i="2"/>
  <c r="Q652" i="2"/>
  <c r="Q656" i="2"/>
  <c r="Q660" i="2"/>
  <c r="Q664" i="2"/>
  <c r="Q668" i="2"/>
  <c r="Q672" i="2"/>
  <c r="Q676" i="2"/>
  <c r="Q680" i="2"/>
  <c r="Q684" i="2"/>
  <c r="Q688" i="2"/>
  <c r="Q692" i="2"/>
  <c r="Q696" i="2"/>
  <c r="Q700" i="2"/>
  <c r="Q704" i="2"/>
  <c r="Q708" i="2"/>
  <c r="Q712" i="2"/>
  <c r="Q716" i="2"/>
  <c r="Q720" i="2"/>
  <c r="Q724" i="2"/>
  <c r="Q728" i="2"/>
  <c r="Q732" i="2"/>
  <c r="Q736" i="2"/>
  <c r="Q740" i="2"/>
  <c r="Q744" i="2"/>
  <c r="Q748" i="2"/>
  <c r="Q752" i="2"/>
  <c r="Q756" i="2"/>
  <c r="Q760" i="2"/>
  <c r="Q764" i="2"/>
  <c r="Q768" i="2"/>
  <c r="Q772" i="2"/>
  <c r="Q776" i="2"/>
  <c r="Q780" i="2"/>
  <c r="Q784" i="2"/>
  <c r="Q788" i="2"/>
  <c r="Q792" i="2"/>
  <c r="Q796" i="2"/>
  <c r="Q800" i="2"/>
  <c r="Q804" i="2"/>
  <c r="Q808" i="2"/>
  <c r="Q812" i="2"/>
  <c r="Q816" i="2"/>
  <c r="Q820" i="2"/>
  <c r="Q824" i="2"/>
  <c r="Q828" i="2"/>
  <c r="Q832" i="2"/>
  <c r="Q836" i="2"/>
  <c r="Q840" i="2"/>
  <c r="Q844" i="2"/>
  <c r="Q848" i="2"/>
  <c r="Q852" i="2"/>
  <c r="Q856" i="2"/>
  <c r="Q860" i="2"/>
  <c r="Q864" i="2"/>
  <c r="Q868" i="2"/>
  <c r="Q872" i="2"/>
  <c r="Q876" i="2"/>
  <c r="Q880" i="2"/>
  <c r="Q884" i="2"/>
  <c r="Q888" i="2"/>
  <c r="Q892" i="2"/>
  <c r="Q896" i="2"/>
  <c r="Q900" i="2"/>
  <c r="Q904" i="2"/>
  <c r="Q908" i="2"/>
  <c r="Q912" i="2"/>
  <c r="Q916" i="2"/>
  <c r="Q920" i="2"/>
  <c r="Q924" i="2"/>
  <c r="Q928" i="2"/>
  <c r="Q932" i="2"/>
  <c r="Q936" i="2"/>
  <c r="Q940" i="2"/>
  <c r="Q944" i="2"/>
  <c r="Q948" i="2"/>
  <c r="Q952" i="2"/>
  <c r="Q956" i="2"/>
  <c r="Q960" i="2"/>
  <c r="Q964" i="2"/>
  <c r="Q968" i="2"/>
  <c r="Q972" i="2"/>
  <c r="Q976" i="2"/>
  <c r="Q980" i="2"/>
  <c r="Q984" i="2"/>
  <c r="Q988" i="2"/>
  <c r="Q992" i="2"/>
  <c r="Q996" i="2"/>
  <c r="Q1000" i="2"/>
  <c r="Q1004" i="2"/>
  <c r="Q1008" i="2"/>
  <c r="Q1012" i="2"/>
  <c r="Q1016" i="2"/>
  <c r="Q1020" i="2"/>
  <c r="Q1024" i="2"/>
  <c r="Q511" i="2"/>
  <c r="Q523" i="2"/>
  <c r="Q531" i="2"/>
  <c r="Q536" i="2"/>
  <c r="Q541" i="2"/>
  <c r="Q545" i="2"/>
  <c r="Q549" i="2"/>
  <c r="Q553" i="2"/>
  <c r="Q557" i="2"/>
  <c r="Q561" i="2"/>
  <c r="Q565" i="2"/>
  <c r="Q569" i="2"/>
  <c r="Q573" i="2"/>
  <c r="Q577" i="2"/>
  <c r="Q581" i="2"/>
  <c r="Q585" i="2"/>
  <c r="Q589" i="2"/>
  <c r="Q593" i="2"/>
  <c r="Q597" i="2"/>
  <c r="Q601" i="2"/>
  <c r="Q605" i="2"/>
  <c r="Q609" i="2"/>
  <c r="Q613" i="2"/>
  <c r="Q617" i="2"/>
  <c r="Q621" i="2"/>
  <c r="Q625" i="2"/>
  <c r="Q629" i="2"/>
  <c r="Q633" i="2"/>
  <c r="Q637" i="2"/>
  <c r="Q641" i="2"/>
  <c r="Q645" i="2"/>
  <c r="Q649" i="2"/>
  <c r="Q653" i="2"/>
  <c r="Q657" i="2"/>
  <c r="Q661" i="2"/>
  <c r="Q665" i="2"/>
  <c r="Q669" i="2"/>
  <c r="Q673" i="2"/>
  <c r="Q677" i="2"/>
  <c r="Q681" i="2"/>
  <c r="Q685" i="2"/>
  <c r="Q689" i="2"/>
  <c r="Q693" i="2"/>
  <c r="Q697" i="2"/>
  <c r="Q701" i="2"/>
  <c r="Q705" i="2"/>
  <c r="Q709" i="2"/>
  <c r="Q713" i="2"/>
  <c r="Q717" i="2"/>
  <c r="Q721" i="2"/>
  <c r="Q725" i="2"/>
  <c r="Q729" i="2"/>
  <c r="Q733" i="2"/>
  <c r="Q737" i="2"/>
  <c r="Q741" i="2"/>
  <c r="Q745" i="2"/>
  <c r="Q749" i="2"/>
  <c r="Q753" i="2"/>
  <c r="Q757" i="2"/>
  <c r="Q761" i="2"/>
  <c r="Q765" i="2"/>
  <c r="Q769" i="2"/>
  <c r="Q773" i="2"/>
  <c r="Q777" i="2"/>
  <c r="Q781" i="2"/>
  <c r="Q785" i="2"/>
  <c r="Q789" i="2"/>
  <c r="Q793" i="2"/>
  <c r="Q797" i="2"/>
  <c r="Q801" i="2"/>
  <c r="Q805" i="2"/>
  <c r="Q809" i="2"/>
  <c r="Q813" i="2"/>
  <c r="Q817" i="2"/>
  <c r="Q821" i="2"/>
  <c r="Q825" i="2"/>
  <c r="Q829" i="2"/>
  <c r="Q833" i="2"/>
  <c r="Q837" i="2"/>
  <c r="Q841" i="2"/>
  <c r="Q845" i="2"/>
  <c r="Q849" i="2"/>
  <c r="Q853" i="2"/>
  <c r="Q857" i="2"/>
  <c r="Q861" i="2"/>
  <c r="Q865" i="2"/>
  <c r="Q869" i="2"/>
  <c r="Q873" i="2"/>
  <c r="Q877" i="2"/>
  <c r="Q881" i="2"/>
  <c r="Q885" i="2"/>
  <c r="Q889" i="2"/>
  <c r="Q893" i="2"/>
  <c r="Q897" i="2"/>
  <c r="Q901" i="2"/>
  <c r="Q905" i="2"/>
  <c r="Q909" i="2"/>
  <c r="Q913" i="2"/>
  <c r="Q917" i="2"/>
  <c r="Q921" i="2"/>
  <c r="Q925" i="2"/>
  <c r="Q929" i="2"/>
  <c r="Q933" i="2"/>
  <c r="Q515" i="2"/>
  <c r="Q524" i="2"/>
  <c r="Q532" i="2"/>
  <c r="Q538" i="2"/>
  <c r="Q542" i="2"/>
  <c r="Q546" i="2"/>
  <c r="Q550" i="2"/>
  <c r="Q554" i="2"/>
  <c r="Q558" i="2"/>
  <c r="Q562" i="2"/>
  <c r="Q566" i="2"/>
  <c r="Q570" i="2"/>
  <c r="Q574" i="2"/>
  <c r="Q578" i="2"/>
  <c r="Q582" i="2"/>
  <c r="Q586" i="2"/>
  <c r="Q590" i="2"/>
  <c r="Q594" i="2"/>
  <c r="Q598" i="2"/>
  <c r="Q602" i="2"/>
  <c r="Q606" i="2"/>
  <c r="Q610" i="2"/>
  <c r="Q614" i="2"/>
  <c r="Q618" i="2"/>
  <c r="Q622" i="2"/>
  <c r="Q626" i="2"/>
  <c r="Q630" i="2"/>
  <c r="Q634" i="2"/>
  <c r="Q638" i="2"/>
  <c r="Q642" i="2"/>
  <c r="Q646" i="2"/>
  <c r="Q650" i="2"/>
  <c r="Q654" i="2"/>
  <c r="Q658" i="2"/>
  <c r="Q662" i="2"/>
  <c r="Q666" i="2"/>
  <c r="Q670" i="2"/>
  <c r="Q674" i="2"/>
  <c r="Q678" i="2"/>
  <c r="Q682" i="2"/>
  <c r="Q686" i="2"/>
  <c r="Q690" i="2"/>
  <c r="Q694" i="2"/>
  <c r="Q698" i="2"/>
  <c r="Q702" i="2"/>
  <c r="Q706" i="2"/>
  <c r="Q710" i="2"/>
  <c r="Q714" i="2"/>
  <c r="Q718" i="2"/>
  <c r="Q722" i="2"/>
  <c r="Q726" i="2"/>
  <c r="Q730" i="2"/>
  <c r="Q734" i="2"/>
  <c r="Q738" i="2"/>
  <c r="Q742" i="2"/>
  <c r="Q746" i="2"/>
  <c r="Q750" i="2"/>
  <c r="Q754" i="2"/>
  <c r="Q758" i="2"/>
  <c r="Q762" i="2"/>
  <c r="Q766" i="2"/>
  <c r="Q770" i="2"/>
  <c r="Q774" i="2"/>
  <c r="Q778" i="2"/>
  <c r="Q782" i="2"/>
  <c r="Q786" i="2"/>
  <c r="Q790" i="2"/>
  <c r="Q794" i="2"/>
  <c r="Q798" i="2"/>
  <c r="Q802" i="2"/>
  <c r="Q806" i="2"/>
  <c r="Q810" i="2"/>
  <c r="Q814" i="2"/>
  <c r="Q818" i="2"/>
  <c r="Q822" i="2"/>
  <c r="Q826" i="2"/>
  <c r="Q830" i="2"/>
  <c r="Q834" i="2"/>
  <c r="Q838" i="2"/>
  <c r="Q842" i="2"/>
  <c r="Q846" i="2"/>
  <c r="Q850" i="2"/>
  <c r="Q854" i="2"/>
  <c r="Q858" i="2"/>
  <c r="Q862" i="2"/>
  <c r="Q519" i="2"/>
  <c r="Q527" i="2"/>
  <c r="Q534" i="2"/>
  <c r="Q539" i="2"/>
  <c r="Q543" i="2"/>
  <c r="Q547" i="2"/>
  <c r="Q551" i="2"/>
  <c r="Q555" i="2"/>
  <c r="Q559" i="2"/>
  <c r="Q563" i="2"/>
  <c r="Q567" i="2"/>
  <c r="Q571" i="2"/>
  <c r="Q575" i="2"/>
  <c r="Q579" i="2"/>
  <c r="Q583" i="2"/>
  <c r="Q587" i="2"/>
  <c r="Q591" i="2"/>
  <c r="Q595" i="2"/>
  <c r="Q599" i="2"/>
  <c r="Q603" i="2"/>
  <c r="Q607" i="2"/>
  <c r="Q611" i="2"/>
  <c r="Q615" i="2"/>
  <c r="Q619" i="2"/>
  <c r="Q623" i="2"/>
  <c r="Q627" i="2"/>
  <c r="Q631" i="2"/>
  <c r="Q635" i="2"/>
  <c r="Q639" i="2"/>
  <c r="Q643" i="2"/>
  <c r="Q647" i="2"/>
  <c r="Q651" i="2"/>
  <c r="Q655" i="2"/>
  <c r="Q659" i="2"/>
  <c r="Q663" i="2"/>
  <c r="Q667" i="2"/>
  <c r="Q671" i="2"/>
  <c r="Q675" i="2"/>
  <c r="Q679" i="2"/>
  <c r="Q683" i="2"/>
  <c r="Q687" i="2"/>
  <c r="Q691" i="2"/>
  <c r="Q695" i="2"/>
  <c r="Q699" i="2"/>
  <c r="Q703" i="2"/>
  <c r="Q707" i="2"/>
  <c r="Q711" i="2"/>
  <c r="Q715" i="2"/>
  <c r="Q719" i="2"/>
  <c r="Q723" i="2"/>
  <c r="Q727" i="2"/>
  <c r="Q731" i="2"/>
  <c r="Q735" i="2"/>
  <c r="Q739" i="2"/>
  <c r="Q743" i="2"/>
  <c r="Q747" i="2"/>
  <c r="Q751" i="2"/>
  <c r="Q755" i="2"/>
  <c r="Q759" i="2"/>
  <c r="Q763" i="2"/>
  <c r="Q767" i="2"/>
  <c r="Q771" i="2"/>
  <c r="Q775" i="2"/>
  <c r="Q779" i="2"/>
  <c r="Q783" i="2"/>
  <c r="Q787" i="2"/>
  <c r="Q791" i="2"/>
  <c r="Q795" i="2"/>
  <c r="Q799" i="2"/>
  <c r="Q803" i="2"/>
  <c r="Q807" i="2"/>
  <c r="Q811" i="2"/>
  <c r="Q815" i="2"/>
  <c r="Q819" i="2"/>
  <c r="Q823" i="2"/>
  <c r="Q827" i="2"/>
  <c r="Q831" i="2"/>
  <c r="Q835" i="2"/>
  <c r="Q839" i="2"/>
  <c r="Q843" i="2"/>
  <c r="Q847" i="2"/>
  <c r="Q851" i="2"/>
  <c r="Q855" i="2"/>
  <c r="Q859" i="2"/>
  <c r="Q863" i="2"/>
  <c r="Q866" i="2"/>
  <c r="Q874" i="2"/>
  <c r="Q882" i="2"/>
  <c r="Q890" i="2"/>
  <c r="Q898" i="2"/>
  <c r="Q906" i="2"/>
  <c r="Q914" i="2"/>
  <c r="Q922" i="2"/>
  <c r="Q930" i="2"/>
  <c r="Q937" i="2"/>
  <c r="Q942" i="2"/>
  <c r="Q947" i="2"/>
  <c r="Q953" i="2"/>
  <c r="Q958" i="2"/>
  <c r="Q963" i="2"/>
  <c r="Q969" i="2"/>
  <c r="Q974" i="2"/>
  <c r="Q979" i="2"/>
  <c r="Q985" i="2"/>
  <c r="Q990" i="2"/>
  <c r="Q995" i="2"/>
  <c r="Q1001" i="2"/>
  <c r="Q1006" i="2"/>
  <c r="Q1011" i="2"/>
  <c r="Q1017" i="2"/>
  <c r="Q1022" i="2"/>
  <c r="Q1027" i="2"/>
  <c r="Q1031" i="2"/>
  <c r="Q1035" i="2"/>
  <c r="Q1039" i="2"/>
  <c r="Q1043" i="2"/>
  <c r="Q1047" i="2"/>
  <c r="Q1051" i="2"/>
  <c r="Q1055" i="2"/>
  <c r="Q1059" i="2"/>
  <c r="Q1063" i="2"/>
  <c r="Q1067" i="2"/>
  <c r="Q1071" i="2"/>
  <c r="Q1075" i="2"/>
  <c r="Q1079" i="2"/>
  <c r="Q1083" i="2"/>
  <c r="Q1087" i="2"/>
  <c r="Q1091" i="2"/>
  <c r="Q1095" i="2"/>
  <c r="Q1099" i="2"/>
  <c r="Q1103" i="2"/>
  <c r="Q1107" i="2"/>
  <c r="Q1111" i="2"/>
  <c r="Q1115" i="2"/>
  <c r="Q1119" i="2"/>
  <c r="Q1123" i="2"/>
  <c r="Q1127" i="2"/>
  <c r="Q1131" i="2"/>
  <c r="Q1135" i="2"/>
  <c r="Q1139" i="2"/>
  <c r="Q1143" i="2"/>
  <c r="Q1147" i="2"/>
  <c r="Q1151" i="2"/>
  <c r="Q1155" i="2"/>
  <c r="Q1159" i="2"/>
  <c r="Q1163" i="2"/>
  <c r="Q1167" i="2"/>
  <c r="Q1171" i="2"/>
  <c r="Q1175" i="2"/>
  <c r="Q1179" i="2"/>
  <c r="Q1183" i="2"/>
  <c r="Q1187" i="2"/>
  <c r="Q1191" i="2"/>
  <c r="Q1195" i="2"/>
  <c r="Q1199" i="2"/>
  <c r="Q1203" i="2"/>
  <c r="Q1207" i="2"/>
  <c r="Q1211" i="2"/>
  <c r="Q1215" i="2"/>
  <c r="Q1219" i="2"/>
  <c r="Q1223" i="2"/>
  <c r="Q1227" i="2"/>
  <c r="Q1231" i="2"/>
  <c r="Q1235" i="2"/>
  <c r="Q1239" i="2"/>
  <c r="Q1243" i="2"/>
  <c r="Q1247" i="2"/>
  <c r="Q1251" i="2"/>
  <c r="Q1255" i="2"/>
  <c r="Q1259" i="2"/>
  <c r="Q1263" i="2"/>
  <c r="Q1267" i="2"/>
  <c r="Q1271" i="2"/>
  <c r="Q1275" i="2"/>
  <c r="Q1279" i="2"/>
  <c r="Q1283" i="2"/>
  <c r="Q1287" i="2"/>
  <c r="Q1291" i="2"/>
  <c r="Q1295" i="2"/>
  <c r="Q1299" i="2"/>
  <c r="Q1303" i="2"/>
  <c r="Q1307" i="2"/>
  <c r="Q1311" i="2"/>
  <c r="Q1315" i="2"/>
  <c r="Q1319" i="2"/>
  <c r="Q1323" i="2"/>
  <c r="Q1327" i="2"/>
  <c r="Q1331" i="2"/>
  <c r="Q1335" i="2"/>
  <c r="Q1339" i="2"/>
  <c r="Q1343" i="2"/>
  <c r="Q1347" i="2"/>
  <c r="Q1351" i="2"/>
  <c r="Q1355" i="2"/>
  <c r="Q1359" i="2"/>
  <c r="Q1363" i="2"/>
  <c r="Q1367" i="2"/>
  <c r="Q1371" i="2"/>
  <c r="Q1375" i="2"/>
  <c r="Q1379" i="2"/>
  <c r="Q1383" i="2"/>
  <c r="Q1387" i="2"/>
  <c r="Q867" i="2"/>
  <c r="Q875" i="2"/>
  <c r="Q883" i="2"/>
  <c r="Q891" i="2"/>
  <c r="Q899" i="2"/>
  <c r="Q907" i="2"/>
  <c r="Q915" i="2"/>
  <c r="Q923" i="2"/>
  <c r="Q931" i="2"/>
  <c r="Q938" i="2"/>
  <c r="Q943" i="2"/>
  <c r="Q949" i="2"/>
  <c r="Q954" i="2"/>
  <c r="Q959" i="2"/>
  <c r="Q965" i="2"/>
  <c r="Q970" i="2"/>
  <c r="Q975" i="2"/>
  <c r="Q981" i="2"/>
  <c r="Q986" i="2"/>
  <c r="Q991" i="2"/>
  <c r="Q997" i="2"/>
  <c r="Q1002" i="2"/>
  <c r="Q1007" i="2"/>
  <c r="Q1013" i="2"/>
  <c r="Q1018" i="2"/>
  <c r="Q1023" i="2"/>
  <c r="Q1028" i="2"/>
  <c r="Q1032" i="2"/>
  <c r="Q1036" i="2"/>
  <c r="Q1040" i="2"/>
  <c r="Q1044" i="2"/>
  <c r="Q1048" i="2"/>
  <c r="Q1052" i="2"/>
  <c r="Q1056" i="2"/>
  <c r="Q1060" i="2"/>
  <c r="Q1064" i="2"/>
  <c r="Q1068" i="2"/>
  <c r="Q1072" i="2"/>
  <c r="Q1076" i="2"/>
  <c r="Q1080" i="2"/>
  <c r="Q1084" i="2"/>
  <c r="Q1088" i="2"/>
  <c r="Q1092" i="2"/>
  <c r="Q1096" i="2"/>
  <c r="Q1100" i="2"/>
  <c r="Q1104" i="2"/>
  <c r="Q1108" i="2"/>
  <c r="Q1112" i="2"/>
  <c r="Q1116" i="2"/>
  <c r="Q1120" i="2"/>
  <c r="Q1124" i="2"/>
  <c r="Q1128" i="2"/>
  <c r="Q1132" i="2"/>
  <c r="Q1136" i="2"/>
  <c r="Q1140" i="2"/>
  <c r="Q1144" i="2"/>
  <c r="Q1148" i="2"/>
  <c r="Q1152" i="2"/>
  <c r="Q1156" i="2"/>
  <c r="Q1160" i="2"/>
  <c r="Q1164" i="2"/>
  <c r="Q1168" i="2"/>
  <c r="Q1172" i="2"/>
  <c r="Q1176" i="2"/>
  <c r="Q1180" i="2"/>
  <c r="Q1184" i="2"/>
  <c r="Q1188" i="2"/>
  <c r="Q1192" i="2"/>
  <c r="Q1196" i="2"/>
  <c r="Q1200" i="2"/>
  <c r="Q1204" i="2"/>
  <c r="Q1208" i="2"/>
  <c r="Q1212" i="2"/>
  <c r="Q1216" i="2"/>
  <c r="Q1220" i="2"/>
  <c r="Q1224" i="2"/>
  <c r="Q1228" i="2"/>
  <c r="Q1232" i="2"/>
  <c r="Q1236" i="2"/>
  <c r="Q1240" i="2"/>
  <c r="Q1244" i="2"/>
  <c r="Q1248" i="2"/>
  <c r="Q1252" i="2"/>
  <c r="Q1256" i="2"/>
  <c r="Q1260" i="2"/>
  <c r="Q1264" i="2"/>
  <c r="Q1268" i="2"/>
  <c r="Q1272" i="2"/>
  <c r="Q1276" i="2"/>
  <c r="Q1280" i="2"/>
  <c r="Q1284" i="2"/>
  <c r="Q1288" i="2"/>
  <c r="Q1292" i="2"/>
  <c r="Q1296" i="2"/>
  <c r="Q870" i="2"/>
  <c r="Q878" i="2"/>
  <c r="Q886" i="2"/>
  <c r="Q894" i="2"/>
  <c r="Q902" i="2"/>
  <c r="Q910" i="2"/>
  <c r="Q918" i="2"/>
  <c r="Q926" i="2"/>
  <c r="Q934" i="2"/>
  <c r="Q939" i="2"/>
  <c r="Q945" i="2"/>
  <c r="Q950" i="2"/>
  <c r="Q955" i="2"/>
  <c r="Q961" i="2"/>
  <c r="Q966" i="2"/>
  <c r="Q971" i="2"/>
  <c r="Q977" i="2"/>
  <c r="Q982" i="2"/>
  <c r="Q987" i="2"/>
  <c r="Q993" i="2"/>
  <c r="Q998" i="2"/>
  <c r="Q1003" i="2"/>
  <c r="Q1009" i="2"/>
  <c r="Q1014" i="2"/>
  <c r="Q1019" i="2"/>
  <c r="Q1025" i="2"/>
  <c r="Q1029" i="2"/>
  <c r="Q1033" i="2"/>
  <c r="Q1037" i="2"/>
  <c r="Q1041" i="2"/>
  <c r="Q1045" i="2"/>
  <c r="Q1049" i="2"/>
  <c r="Q1053" i="2"/>
  <c r="Q1057" i="2"/>
  <c r="Q1061" i="2"/>
  <c r="Q1065" i="2"/>
  <c r="Q1069" i="2"/>
  <c r="Q1073" i="2"/>
  <c r="Q1077" i="2"/>
  <c r="Q1081" i="2"/>
  <c r="Q1085" i="2"/>
  <c r="Q1089" i="2"/>
  <c r="Q1093" i="2"/>
  <c r="Q1097" i="2"/>
  <c r="Q1101" i="2"/>
  <c r="Q1105" i="2"/>
  <c r="Q1109" i="2"/>
  <c r="Q1113" i="2"/>
  <c r="Q1117" i="2"/>
  <c r="Q1121" i="2"/>
  <c r="Q1125" i="2"/>
  <c r="Q1129" i="2"/>
  <c r="Q1133" i="2"/>
  <c r="Q1137" i="2"/>
  <c r="Q1141" i="2"/>
  <c r="Q1145" i="2"/>
  <c r="Q1149" i="2"/>
  <c r="Q1153" i="2"/>
  <c r="Q1157" i="2"/>
  <c r="Q1161" i="2"/>
  <c r="Q1165" i="2"/>
  <c r="Q1169" i="2"/>
  <c r="Q1173" i="2"/>
  <c r="Q1177" i="2"/>
  <c r="Q1181" i="2"/>
  <c r="Q1185" i="2"/>
  <c r="Q1189" i="2"/>
  <c r="Q1193" i="2"/>
  <c r="Q1197" i="2"/>
  <c r="Q1201" i="2"/>
  <c r="Q1205" i="2"/>
  <c r="Q1209" i="2"/>
  <c r="Q1213" i="2"/>
  <c r="Q1217" i="2"/>
  <c r="Q1221" i="2"/>
  <c r="Q1225" i="2"/>
  <c r="Q1229" i="2"/>
  <c r="Q1233" i="2"/>
  <c r="Q1237" i="2"/>
  <c r="Q1241" i="2"/>
  <c r="Q1245" i="2"/>
  <c r="Q1249" i="2"/>
  <c r="Q1253" i="2"/>
  <c r="Q1257" i="2"/>
  <c r="Q1261" i="2"/>
  <c r="Q1265" i="2"/>
  <c r="Q1269" i="2"/>
  <c r="Q1273" i="2"/>
  <c r="Q1277" i="2"/>
  <c r="Q1281" i="2"/>
  <c r="Q1285" i="2"/>
  <c r="Q1289" i="2"/>
  <c r="Q1293" i="2"/>
  <c r="Q1297" i="2"/>
  <c r="Q871" i="2"/>
  <c r="Q879" i="2"/>
  <c r="Q887" i="2"/>
  <c r="Q895" i="2"/>
  <c r="Q903" i="2"/>
  <c r="Q911" i="2"/>
  <c r="Q919" i="2"/>
  <c r="Q927" i="2"/>
  <c r="Q935" i="2"/>
  <c r="Q941" i="2"/>
  <c r="Q946" i="2"/>
  <c r="Q951" i="2"/>
  <c r="Q957" i="2"/>
  <c r="Q962" i="2"/>
  <c r="Q967" i="2"/>
  <c r="Q973" i="2"/>
  <c r="Q978" i="2"/>
  <c r="Q983" i="2"/>
  <c r="Q989" i="2"/>
  <c r="Q994" i="2"/>
  <c r="Q999" i="2"/>
  <c r="Q1005" i="2"/>
  <c r="Q1010" i="2"/>
  <c r="Q1015" i="2"/>
  <c r="Q1021" i="2"/>
  <c r="Q1026" i="2"/>
  <c r="Q1030" i="2"/>
  <c r="Q1034" i="2"/>
  <c r="Q1038" i="2"/>
  <c r="Q1042" i="2"/>
  <c r="Q1046" i="2"/>
  <c r="Q1050" i="2"/>
  <c r="Q1054" i="2"/>
  <c r="Q1058" i="2"/>
  <c r="Q1062" i="2"/>
  <c r="Q1066" i="2"/>
  <c r="Q1070" i="2"/>
  <c r="Q1074" i="2"/>
  <c r="Q1078" i="2"/>
  <c r="Q1082" i="2"/>
  <c r="Q1086" i="2"/>
  <c r="Q1090" i="2"/>
  <c r="Q1094" i="2"/>
  <c r="Q1098" i="2"/>
  <c r="Q1102" i="2"/>
  <c r="Q1106" i="2"/>
  <c r="Q1110" i="2"/>
  <c r="Q1114" i="2"/>
  <c r="Q1118" i="2"/>
  <c r="Q1122" i="2"/>
  <c r="Q1126" i="2"/>
  <c r="Q1130" i="2"/>
  <c r="Q1134" i="2"/>
  <c r="Q1138" i="2"/>
  <c r="Q1142" i="2"/>
  <c r="Q1146" i="2"/>
  <c r="Q1150" i="2"/>
  <c r="Q1154" i="2"/>
  <c r="Q1158" i="2"/>
  <c r="Q1162" i="2"/>
  <c r="Q1166" i="2"/>
  <c r="Q1170" i="2"/>
  <c r="Q1174" i="2"/>
  <c r="Q1178" i="2"/>
  <c r="Q1182" i="2"/>
  <c r="Q1186" i="2"/>
  <c r="Q1190" i="2"/>
  <c r="Q1194" i="2"/>
  <c r="Q1198" i="2"/>
  <c r="Q1202" i="2"/>
  <c r="Q1206" i="2"/>
  <c r="Q1210" i="2"/>
  <c r="Q1214" i="2"/>
  <c r="Q1218" i="2"/>
  <c r="Q1222" i="2"/>
  <c r="Q1226" i="2"/>
  <c r="Q1230" i="2"/>
  <c r="Q1234" i="2"/>
  <c r="Q1238" i="2"/>
  <c r="Q1242" i="2"/>
  <c r="Q1246" i="2"/>
  <c r="Q1250" i="2"/>
  <c r="Q1254" i="2"/>
  <c r="Q1258" i="2"/>
  <c r="Q1262" i="2"/>
  <c r="Q1266" i="2"/>
  <c r="Q1282" i="2"/>
  <c r="Q1298" i="2"/>
  <c r="Q1304" i="2"/>
  <c r="Q1309" i="2"/>
  <c r="Q1314" i="2"/>
  <c r="Q1320" i="2"/>
  <c r="Q1325" i="2"/>
  <c r="Q1330" i="2"/>
  <c r="Q1336" i="2"/>
  <c r="Q1341" i="2"/>
  <c r="Q1346" i="2"/>
  <c r="Q1352" i="2"/>
  <c r="Q1357" i="2"/>
  <c r="Q1362" i="2"/>
  <c r="Q1368" i="2"/>
  <c r="Q1373" i="2"/>
  <c r="Q1378" i="2"/>
  <c r="Q1384" i="2"/>
  <c r="Q1389" i="2"/>
  <c r="Q1393" i="2"/>
  <c r="Q1397" i="2"/>
  <c r="Q1401" i="2"/>
  <c r="Q1405" i="2"/>
  <c r="Q1409" i="2"/>
  <c r="Q1413" i="2"/>
  <c r="Q1417" i="2"/>
  <c r="Q1421" i="2"/>
  <c r="Q1425" i="2"/>
  <c r="Q1429" i="2"/>
  <c r="Q1433" i="2"/>
  <c r="Q1437" i="2"/>
  <c r="Q1441" i="2"/>
  <c r="Q1445" i="2"/>
  <c r="Q1449" i="2"/>
  <c r="Q1453" i="2"/>
  <c r="Q1457" i="2"/>
  <c r="Q1461" i="2"/>
  <c r="Q1465" i="2"/>
  <c r="Q1469" i="2"/>
  <c r="Q1473" i="2"/>
  <c r="Q1477" i="2"/>
  <c r="Q1481" i="2"/>
  <c r="Q1485" i="2"/>
  <c r="Q1489" i="2"/>
  <c r="Q1493" i="2"/>
  <c r="Q1497" i="2"/>
  <c r="Q1501" i="2"/>
  <c r="Q1505" i="2"/>
  <c r="Q1509" i="2"/>
  <c r="Q1513" i="2"/>
  <c r="Q1517" i="2"/>
  <c r="Q1521" i="2"/>
  <c r="Q1525" i="2"/>
  <c r="Q1529" i="2"/>
  <c r="Q1533" i="2"/>
  <c r="Q1537" i="2"/>
  <c r="Q1541" i="2"/>
  <c r="Q1545" i="2"/>
  <c r="Q1549" i="2"/>
  <c r="Q1553" i="2"/>
  <c r="Q1557" i="2"/>
  <c r="Q1561" i="2"/>
  <c r="Q1565" i="2"/>
  <c r="Q1569" i="2"/>
  <c r="Q1573" i="2"/>
  <c r="Q1577" i="2"/>
  <c r="Q1581" i="2"/>
  <c r="Q1585" i="2"/>
  <c r="Q1589" i="2"/>
  <c r="Q1593" i="2"/>
  <c r="Q1597" i="2"/>
  <c r="Q1601" i="2"/>
  <c r="Q1605" i="2"/>
  <c r="Q1609" i="2"/>
  <c r="Q1613" i="2"/>
  <c r="Q1270" i="2"/>
  <c r="Q1286" i="2"/>
  <c r="Q1300" i="2"/>
  <c r="Q1305" i="2"/>
  <c r="Q1310" i="2"/>
  <c r="Q1316" i="2"/>
  <c r="Q1321" i="2"/>
  <c r="Q1326" i="2"/>
  <c r="Q1332" i="2"/>
  <c r="Q1337" i="2"/>
  <c r="Q1342" i="2"/>
  <c r="Q1348" i="2"/>
  <c r="Q1353" i="2"/>
  <c r="Q1358" i="2"/>
  <c r="Q1364" i="2"/>
  <c r="Q1369" i="2"/>
  <c r="Q1374" i="2"/>
  <c r="Q1380" i="2"/>
  <c r="Q1385" i="2"/>
  <c r="Q1390" i="2"/>
  <c r="Q1394" i="2"/>
  <c r="Q1398" i="2"/>
  <c r="Q1402" i="2"/>
  <c r="Q1406" i="2"/>
  <c r="Q1410" i="2"/>
  <c r="Q1414" i="2"/>
  <c r="Q1418" i="2"/>
  <c r="Q1422" i="2"/>
  <c r="Q1426" i="2"/>
  <c r="Q1430" i="2"/>
  <c r="Q1434" i="2"/>
  <c r="Q1438" i="2"/>
  <c r="Q1442" i="2"/>
  <c r="Q1446" i="2"/>
  <c r="Q1450" i="2"/>
  <c r="Q1454" i="2"/>
  <c r="Q1458" i="2"/>
  <c r="Q1462" i="2"/>
  <c r="Q1466" i="2"/>
  <c r="Q1470" i="2"/>
  <c r="Q1474" i="2"/>
  <c r="Q1478" i="2"/>
  <c r="Q1482" i="2"/>
  <c r="Q1486" i="2"/>
  <c r="Q1490" i="2"/>
  <c r="Q1494" i="2"/>
  <c r="Q1498" i="2"/>
  <c r="Q1502" i="2"/>
  <c r="Q1506" i="2"/>
  <c r="Q1510" i="2"/>
  <c r="Q1514" i="2"/>
  <c r="Q1518" i="2"/>
  <c r="Q1522" i="2"/>
  <c r="Q1526" i="2"/>
  <c r="Q1530" i="2"/>
  <c r="Q1534" i="2"/>
  <c r="Q1538" i="2"/>
  <c r="Q1542" i="2"/>
  <c r="Q1546" i="2"/>
  <c r="Q1550" i="2"/>
  <c r="Q1554" i="2"/>
  <c r="Q1558" i="2"/>
  <c r="Q1562" i="2"/>
  <c r="Q1566" i="2"/>
  <c r="Q1570" i="2"/>
  <c r="Q1574" i="2"/>
  <c r="Q1578" i="2"/>
  <c r="Q1582" i="2"/>
  <c r="Q1586" i="2"/>
  <c r="Q1590" i="2"/>
  <c r="Q1594" i="2"/>
  <c r="Q1598" i="2"/>
  <c r="Q1602" i="2"/>
  <c r="Q1606" i="2"/>
  <c r="Q1610" i="2"/>
  <c r="Q1614" i="2"/>
  <c r="Q1618" i="2"/>
  <c r="Q1622" i="2"/>
  <c r="Q1626" i="2"/>
  <c r="Q1630" i="2"/>
  <c r="Q1634" i="2"/>
  <c r="Q1638" i="2"/>
  <c r="Q1642" i="2"/>
  <c r="Q1646" i="2"/>
  <c r="Q1650" i="2"/>
  <c r="Q1654" i="2"/>
  <c r="Q1658" i="2"/>
  <c r="Q1662" i="2"/>
  <c r="Q1666" i="2"/>
  <c r="Q1670" i="2"/>
  <c r="Q1674" i="2"/>
  <c r="Q1678" i="2"/>
  <c r="Q1682" i="2"/>
  <c r="Q1686" i="2"/>
  <c r="Q1690" i="2"/>
  <c r="Q1694" i="2"/>
  <c r="Q1698" i="2"/>
  <c r="Q1702" i="2"/>
  <c r="Q1706" i="2"/>
  <c r="Q1710" i="2"/>
  <c r="Q1714" i="2"/>
  <c r="Q1718" i="2"/>
  <c r="Q1722" i="2"/>
  <c r="Q1726" i="2"/>
  <c r="Q1730" i="2"/>
  <c r="Q1734" i="2"/>
  <c r="Q1738" i="2"/>
  <c r="Q1742" i="2"/>
  <c r="Q1746" i="2"/>
  <c r="Q1750" i="2"/>
  <c r="Q1754" i="2"/>
  <c r="Q1758" i="2"/>
  <c r="Q1762" i="2"/>
  <c r="Q1766" i="2"/>
  <c r="Q1770" i="2"/>
  <c r="Q1774" i="2"/>
  <c r="Q1778" i="2"/>
  <c r="Q1782" i="2"/>
  <c r="Q1786" i="2"/>
  <c r="Q1790" i="2"/>
  <c r="Q1794" i="2"/>
  <c r="Q1798" i="2"/>
  <c r="Q1802" i="2"/>
  <c r="Q1806" i="2"/>
  <c r="Q1810" i="2"/>
  <c r="Q1814" i="2"/>
  <c r="Q1818" i="2"/>
  <c r="Q1822" i="2"/>
  <c r="Q1826" i="2"/>
  <c r="Q1830" i="2"/>
  <c r="Q1834" i="2"/>
  <c r="Q1838" i="2"/>
  <c r="Q1842" i="2"/>
  <c r="Q1846" i="2"/>
  <c r="Q1850" i="2"/>
  <c r="Q1854" i="2"/>
  <c r="Q1858" i="2"/>
  <c r="Q1862" i="2"/>
  <c r="Q1866" i="2"/>
  <c r="Q1870" i="2"/>
  <c r="Q1874" i="2"/>
  <c r="Q1878" i="2"/>
  <c r="Q1882" i="2"/>
  <c r="Q1886" i="2"/>
  <c r="Q1890" i="2"/>
  <c r="Q1894" i="2"/>
  <c r="Q1898" i="2"/>
  <c r="Q1902" i="2"/>
  <c r="Q1906" i="2"/>
  <c r="Q1910" i="2"/>
  <c r="Q1914" i="2"/>
  <c r="Q1918" i="2"/>
  <c r="Q1922" i="2"/>
  <c r="Q1926" i="2"/>
  <c r="Q1930" i="2"/>
  <c r="Q1934" i="2"/>
  <c r="Q1938" i="2"/>
  <c r="Q1942" i="2"/>
  <c r="Q1946" i="2"/>
  <c r="Q1950" i="2"/>
  <c r="Q1954" i="2"/>
  <c r="Q1958" i="2"/>
  <c r="Q1962" i="2"/>
  <c r="Q1966" i="2"/>
  <c r="Q1970" i="2"/>
  <c r="Q1974" i="2"/>
  <c r="Q1978" i="2"/>
  <c r="Q1982" i="2"/>
  <c r="Q1986" i="2"/>
  <c r="Q1990" i="2"/>
  <c r="Q1274" i="2"/>
  <c r="Q1290" i="2"/>
  <c r="Q1301" i="2"/>
  <c r="Q1306" i="2"/>
  <c r="Q1312" i="2"/>
  <c r="Q1317" i="2"/>
  <c r="Q1322" i="2"/>
  <c r="Q1328" i="2"/>
  <c r="Q1333" i="2"/>
  <c r="Q1338" i="2"/>
  <c r="Q1344" i="2"/>
  <c r="Q1349" i="2"/>
  <c r="Q1354" i="2"/>
  <c r="Q1360" i="2"/>
  <c r="Q1365" i="2"/>
  <c r="Q1370" i="2"/>
  <c r="Q1376" i="2"/>
  <c r="Q1381" i="2"/>
  <c r="Q1386" i="2"/>
  <c r="Q1391" i="2"/>
  <c r="Q1395" i="2"/>
  <c r="Q1399" i="2"/>
  <c r="Q1403" i="2"/>
  <c r="Q1407" i="2"/>
  <c r="Q1411" i="2"/>
  <c r="Q1415" i="2"/>
  <c r="Q1419" i="2"/>
  <c r="Q1423" i="2"/>
  <c r="Q1427" i="2"/>
  <c r="Q1431" i="2"/>
  <c r="Q1435" i="2"/>
  <c r="Q1439" i="2"/>
  <c r="Q1443" i="2"/>
  <c r="Q1447" i="2"/>
  <c r="Q1451" i="2"/>
  <c r="Q1455" i="2"/>
  <c r="Q1459" i="2"/>
  <c r="Q1463" i="2"/>
  <c r="Q1467" i="2"/>
  <c r="Q1471" i="2"/>
  <c r="Q1475" i="2"/>
  <c r="Q1479" i="2"/>
  <c r="Q1483" i="2"/>
  <c r="Q1487" i="2"/>
  <c r="Q1491" i="2"/>
  <c r="Q1495" i="2"/>
  <c r="Q1499" i="2"/>
  <c r="Q1503" i="2"/>
  <c r="Q1507" i="2"/>
  <c r="Q1511" i="2"/>
  <c r="Q1515" i="2"/>
  <c r="Q1519" i="2"/>
  <c r="Q1523" i="2"/>
  <c r="Q1527" i="2"/>
  <c r="Q1531" i="2"/>
  <c r="Q1535" i="2"/>
  <c r="Q1539" i="2"/>
  <c r="Q1543" i="2"/>
  <c r="Q1547" i="2"/>
  <c r="Q1551" i="2"/>
  <c r="Q1555" i="2"/>
  <c r="Q1559" i="2"/>
  <c r="Q1563" i="2"/>
  <c r="Q1567" i="2"/>
  <c r="Q1571" i="2"/>
  <c r="Q1575" i="2"/>
  <c r="Q1579" i="2"/>
  <c r="Q1583" i="2"/>
  <c r="Q1587" i="2"/>
  <c r="Q1591" i="2"/>
  <c r="Q1595" i="2"/>
  <c r="Q1599" i="2"/>
  <c r="Q1603" i="2"/>
  <c r="Q1607" i="2"/>
  <c r="Q1611" i="2"/>
  <c r="Q1615" i="2"/>
  <c r="Q1619" i="2"/>
  <c r="Q1623" i="2"/>
  <c r="Q1627" i="2"/>
  <c r="Q1631" i="2"/>
  <c r="Q1635" i="2"/>
  <c r="Q1639" i="2"/>
  <c r="Q1643" i="2"/>
  <c r="Q1647" i="2"/>
  <c r="Q1651" i="2"/>
  <c r="Q1655" i="2"/>
  <c r="Q1659" i="2"/>
  <c r="Q1663" i="2"/>
  <c r="Q1667" i="2"/>
  <c r="Q1671" i="2"/>
  <c r="Q1675" i="2"/>
  <c r="Q1679" i="2"/>
  <c r="Q1683" i="2"/>
  <c r="Q1687" i="2"/>
  <c r="Q1691" i="2"/>
  <c r="Q1695" i="2"/>
  <c r="Q1699" i="2"/>
  <c r="Q1703" i="2"/>
  <c r="Q1707" i="2"/>
  <c r="Q1711" i="2"/>
  <c r="Q1715" i="2"/>
  <c r="Q1719" i="2"/>
  <c r="Q1723" i="2"/>
  <c r="Q1727" i="2"/>
  <c r="Q1731" i="2"/>
  <c r="Q1735" i="2"/>
  <c r="Q1739" i="2"/>
  <c r="Q1743" i="2"/>
  <c r="Q1747" i="2"/>
  <c r="Q1751" i="2"/>
  <c r="Q1755" i="2"/>
  <c r="Q1759" i="2"/>
  <c r="Q1763" i="2"/>
  <c r="Q1767" i="2"/>
  <c r="Q1771" i="2"/>
  <c r="Q1775" i="2"/>
  <c r="Q1779" i="2"/>
  <c r="Q1783" i="2"/>
  <c r="Q1787" i="2"/>
  <c r="Q1791" i="2"/>
  <c r="Q1795" i="2"/>
  <c r="Q1799" i="2"/>
  <c r="Q1803" i="2"/>
  <c r="Q1807" i="2"/>
  <c r="Q1811" i="2"/>
  <c r="Q1815" i="2"/>
  <c r="Q1819" i="2"/>
  <c r="Q1823" i="2"/>
  <c r="Q1827" i="2"/>
  <c r="Q1831" i="2"/>
  <c r="Q1835" i="2"/>
  <c r="Q1839" i="2"/>
  <c r="Q1843" i="2"/>
  <c r="Q1847" i="2"/>
  <c r="Q1851" i="2"/>
  <c r="Q1855" i="2"/>
  <c r="Q1859" i="2"/>
  <c r="Q1863" i="2"/>
  <c r="Q1867" i="2"/>
  <c r="Q1871" i="2"/>
  <c r="Q1875" i="2"/>
  <c r="Q1879" i="2"/>
  <c r="Q1278" i="2"/>
  <c r="Q1294" i="2"/>
  <c r="Q1302" i="2"/>
  <c r="Q1308" i="2"/>
  <c r="Q1313" i="2"/>
  <c r="Q1318" i="2"/>
  <c r="Q1324" i="2"/>
  <c r="Q1329" i="2"/>
  <c r="Q1334" i="2"/>
  <c r="Q1340" i="2"/>
  <c r="Q1345" i="2"/>
  <c r="Q1350" i="2"/>
  <c r="Q1356" i="2"/>
  <c r="Q1361" i="2"/>
  <c r="Q1366" i="2"/>
  <c r="Q1372" i="2"/>
  <c r="Q1377" i="2"/>
  <c r="Q1382" i="2"/>
  <c r="Q1388" i="2"/>
  <c r="Q1392" i="2"/>
  <c r="Q1396" i="2"/>
  <c r="Q1400" i="2"/>
  <c r="Q1404" i="2"/>
  <c r="Q1408" i="2"/>
  <c r="Q1412" i="2"/>
  <c r="Q1416" i="2"/>
  <c r="Q1420" i="2"/>
  <c r="Q1424" i="2"/>
  <c r="Q1428" i="2"/>
  <c r="Q1432" i="2"/>
  <c r="Q1436" i="2"/>
  <c r="Q1440" i="2"/>
  <c r="Q1444" i="2"/>
  <c r="Q1448" i="2"/>
  <c r="Q1452" i="2"/>
  <c r="Q1456" i="2"/>
  <c r="Q1460" i="2"/>
  <c r="Q1464" i="2"/>
  <c r="Q1468" i="2"/>
  <c r="Q1472" i="2"/>
  <c r="Q1476" i="2"/>
  <c r="Q1480" i="2"/>
  <c r="Q1484" i="2"/>
  <c r="Q1488" i="2"/>
  <c r="Q1492" i="2"/>
  <c r="Q1496" i="2"/>
  <c r="Q1500" i="2"/>
  <c r="Q1504" i="2"/>
  <c r="Q1508" i="2"/>
  <c r="Q1512" i="2"/>
  <c r="Q1516" i="2"/>
  <c r="Q1520" i="2"/>
  <c r="Q1524" i="2"/>
  <c r="Q1528" i="2"/>
  <c r="Q1532" i="2"/>
  <c r="Q1536" i="2"/>
  <c r="Q1540" i="2"/>
  <c r="Q1544" i="2"/>
  <c r="Q1548" i="2"/>
  <c r="Q1552" i="2"/>
  <c r="Q1556" i="2"/>
  <c r="Q1560" i="2"/>
  <c r="Q1564" i="2"/>
  <c r="Q1568" i="2"/>
  <c r="Q1572" i="2"/>
  <c r="Q1576" i="2"/>
  <c r="Q1580" i="2"/>
  <c r="Q1584" i="2"/>
  <c r="Q1588" i="2"/>
  <c r="Q1592" i="2"/>
  <c r="Q1596" i="2"/>
  <c r="Q1600" i="2"/>
  <c r="Q1604" i="2"/>
  <c r="Q1608" i="2"/>
  <c r="Q1612" i="2"/>
  <c r="Q1616" i="2"/>
  <c r="Q1620" i="2"/>
  <c r="Q1624" i="2"/>
  <c r="Q1628" i="2"/>
  <c r="Q1632" i="2"/>
  <c r="Q1636" i="2"/>
  <c r="Q1640" i="2"/>
  <c r="Q1644" i="2"/>
  <c r="Q1648" i="2"/>
  <c r="Q1652" i="2"/>
  <c r="Q1656" i="2"/>
  <c r="Q1660" i="2"/>
  <c r="Q1664" i="2"/>
  <c r="Q1668" i="2"/>
  <c r="Q1672" i="2"/>
  <c r="Q1676" i="2"/>
  <c r="Q1680" i="2"/>
  <c r="Q1684" i="2"/>
  <c r="Q1688" i="2"/>
  <c r="Q1692" i="2"/>
  <c r="Q1696" i="2"/>
  <c r="Q1700" i="2"/>
  <c r="Q1704" i="2"/>
  <c r="Q1708" i="2"/>
  <c r="Q1712" i="2"/>
  <c r="Q1716" i="2"/>
  <c r="Q1720" i="2"/>
  <c r="Q1724" i="2"/>
  <c r="Q1728" i="2"/>
  <c r="Q1732" i="2"/>
  <c r="Q1736" i="2"/>
  <c r="Q1740" i="2"/>
  <c r="Q1744" i="2"/>
  <c r="Q1748" i="2"/>
  <c r="Q1752" i="2"/>
  <c r="Q1756" i="2"/>
  <c r="Q1760" i="2"/>
  <c r="Q1764" i="2"/>
  <c r="Q1768" i="2"/>
  <c r="Q1772" i="2"/>
  <c r="Q1776" i="2"/>
  <c r="Q1780" i="2"/>
  <c r="Q1784" i="2"/>
  <c r="Q1788" i="2"/>
  <c r="Q1792" i="2"/>
  <c r="Q1796" i="2"/>
  <c r="Q1800" i="2"/>
  <c r="Q1804" i="2"/>
  <c r="Q1808" i="2"/>
  <c r="Q1812" i="2"/>
  <c r="Q1816" i="2"/>
  <c r="Q1820" i="2"/>
  <c r="Q1824" i="2"/>
  <c r="Q1828" i="2"/>
  <c r="Q1832" i="2"/>
  <c r="Q1836" i="2"/>
  <c r="Q1840" i="2"/>
  <c r="Q1844" i="2"/>
  <c r="Q1848" i="2"/>
  <c r="Q1852" i="2"/>
  <c r="Q1856" i="2"/>
  <c r="Q1860" i="2"/>
  <c r="Q1864" i="2"/>
  <c r="Q1868" i="2"/>
  <c r="Q1872" i="2"/>
  <c r="Q1876" i="2"/>
  <c r="Q1880" i="2"/>
  <c r="Q1617" i="2"/>
  <c r="Q1633" i="2"/>
  <c r="Q1649" i="2"/>
  <c r="Q1665" i="2"/>
  <c r="Q1681" i="2"/>
  <c r="Q1697" i="2"/>
  <c r="Q1713" i="2"/>
  <c r="Q1729" i="2"/>
  <c r="Q1745" i="2"/>
  <c r="Q1761" i="2"/>
  <c r="Q1777" i="2"/>
  <c r="Q1793" i="2"/>
  <c r="Q1809" i="2"/>
  <c r="Q1825" i="2"/>
  <c r="Q1841" i="2"/>
  <c r="Q1857" i="2"/>
  <c r="Q1873" i="2"/>
  <c r="Q1884" i="2"/>
  <c r="Q1889" i="2"/>
  <c r="Q1895" i="2"/>
  <c r="Q1900" i="2"/>
  <c r="Q1905" i="2"/>
  <c r="Q1911" i="2"/>
  <c r="Q1916" i="2"/>
  <c r="Q1921" i="2"/>
  <c r="Q1927" i="2"/>
  <c r="Q1932" i="2"/>
  <c r="Q1937" i="2"/>
  <c r="Q1943" i="2"/>
  <c r="Q1948" i="2"/>
  <c r="Q1953" i="2"/>
  <c r="Q1959" i="2"/>
  <c r="Q1964" i="2"/>
  <c r="Q1969" i="2"/>
  <c r="Q1975" i="2"/>
  <c r="Q1980" i="2"/>
  <c r="Q1985" i="2"/>
  <c r="Q1991" i="2"/>
  <c r="Q1995" i="2"/>
  <c r="Q1999" i="2"/>
  <c r="Q2003" i="2"/>
  <c r="Q2007" i="2"/>
  <c r="Q2011" i="2"/>
  <c r="Q2015" i="2"/>
  <c r="Q2019" i="2"/>
  <c r="Q2023" i="2"/>
  <c r="Q2027" i="2"/>
  <c r="Q2031" i="2"/>
  <c r="Q2035" i="2"/>
  <c r="Q2039" i="2"/>
  <c r="Q2043" i="2"/>
  <c r="Q2047" i="2"/>
  <c r="Q2051" i="2"/>
  <c r="Q2055" i="2"/>
  <c r="Q2059" i="2"/>
  <c r="Q2063" i="2"/>
  <c r="Q2067" i="2"/>
  <c r="Q2071" i="2"/>
  <c r="Q2075" i="2"/>
  <c r="Q2079" i="2"/>
  <c r="Q2083" i="2"/>
  <c r="Q2087" i="2"/>
  <c r="Q2091" i="2"/>
  <c r="Q2095" i="2"/>
  <c r="Q2099" i="2"/>
  <c r="Q2103" i="2"/>
  <c r="Q2107" i="2"/>
  <c r="Q2111" i="2"/>
  <c r="Q2115" i="2"/>
  <c r="Q2119" i="2"/>
  <c r="Q2123" i="2"/>
  <c r="Q2127" i="2"/>
  <c r="Q2131" i="2"/>
  <c r="Q2135" i="2"/>
  <c r="Q2139" i="2"/>
  <c r="Q2143" i="2"/>
  <c r="Q2147" i="2"/>
  <c r="Q2151" i="2"/>
  <c r="Q2155" i="2"/>
  <c r="Q2159" i="2"/>
  <c r="Q2163" i="2"/>
  <c r="Q2167" i="2"/>
  <c r="Q2171" i="2"/>
  <c r="Q2175" i="2"/>
  <c r="Q2179" i="2"/>
  <c r="Q2183" i="2"/>
  <c r="Q2187" i="2"/>
  <c r="Q2191" i="2"/>
  <c r="Q2195" i="2"/>
  <c r="Q2199" i="2"/>
  <c r="Q2203" i="2"/>
  <c r="Q2207" i="2"/>
  <c r="Q2211" i="2"/>
  <c r="Q2215" i="2"/>
  <c r="Q2219" i="2"/>
  <c r="Q2223" i="2"/>
  <c r="Q2227" i="2"/>
  <c r="Q2231" i="2"/>
  <c r="Q2235" i="2"/>
  <c r="Q2239" i="2"/>
  <c r="Q2243" i="2"/>
  <c r="Q2247" i="2"/>
  <c r="Q2251" i="2"/>
  <c r="Q2255" i="2"/>
  <c r="Q2259" i="2"/>
  <c r="Q2263" i="2"/>
  <c r="Q2267" i="2"/>
  <c r="Q2271" i="2"/>
  <c r="Q2275" i="2"/>
  <c r="Q2279" i="2"/>
  <c r="Q2283" i="2"/>
  <c r="Q2287" i="2"/>
  <c r="Q2291" i="2"/>
  <c r="Q2295" i="2"/>
  <c r="Q2299" i="2"/>
  <c r="Q2303" i="2"/>
  <c r="Q2307" i="2"/>
  <c r="Q2311" i="2"/>
  <c r="Q2315" i="2"/>
  <c r="Q2319" i="2"/>
  <c r="Q2323" i="2"/>
  <c r="Q2327" i="2"/>
  <c r="Q2331" i="2"/>
  <c r="Q2335" i="2"/>
  <c r="Q2339" i="2"/>
  <c r="Q2343" i="2"/>
  <c r="Q2347" i="2"/>
  <c r="Q2351" i="2"/>
  <c r="Q2355" i="2"/>
  <c r="Q2359" i="2"/>
  <c r="Q2363" i="2"/>
  <c r="Q2367" i="2"/>
  <c r="Q2371" i="2"/>
  <c r="Q2375" i="2"/>
  <c r="Q2379" i="2"/>
  <c r="Q2383" i="2"/>
  <c r="Q2387" i="2"/>
  <c r="Q2391" i="2"/>
  <c r="Q2395" i="2"/>
  <c r="Q2399" i="2"/>
  <c r="Q2403" i="2"/>
  <c r="Q2407" i="2"/>
  <c r="Q2411" i="2"/>
  <c r="Q2415" i="2"/>
  <c r="Q2419" i="2"/>
  <c r="Q2423" i="2"/>
  <c r="Q2427" i="2"/>
  <c r="Q2431" i="2"/>
  <c r="Q2435" i="2"/>
  <c r="Q2439" i="2"/>
  <c r="Q2443" i="2"/>
  <c r="Q2447" i="2"/>
  <c r="Q2451" i="2"/>
  <c r="Q2455" i="2"/>
  <c r="Q2459" i="2"/>
  <c r="Q2463" i="2"/>
  <c r="Q2467" i="2"/>
  <c r="Q2471" i="2"/>
  <c r="Q2475" i="2"/>
  <c r="Q2479" i="2"/>
  <c r="Q2483" i="2"/>
  <c r="Q2487" i="2"/>
  <c r="Q2491" i="2"/>
  <c r="Q2495" i="2"/>
  <c r="Q2499" i="2"/>
  <c r="Q2503" i="2"/>
  <c r="Q2507" i="2"/>
  <c r="Q2511" i="2"/>
  <c r="Q2515" i="2"/>
  <c r="Q2519" i="2"/>
  <c r="Q1621" i="2"/>
  <c r="Q1637" i="2"/>
  <c r="Q1653" i="2"/>
  <c r="Q1669" i="2"/>
  <c r="Q1685" i="2"/>
  <c r="Q1701" i="2"/>
  <c r="Q1717" i="2"/>
  <c r="Q1733" i="2"/>
  <c r="Q1749" i="2"/>
  <c r="Q1765" i="2"/>
  <c r="Q1781" i="2"/>
  <c r="Q1797" i="2"/>
  <c r="Q1813" i="2"/>
  <c r="Q1829" i="2"/>
  <c r="Q1845" i="2"/>
  <c r="Q1861" i="2"/>
  <c r="Q1877" i="2"/>
  <c r="Q1885" i="2"/>
  <c r="Q1891" i="2"/>
  <c r="Q1896" i="2"/>
  <c r="Q1901" i="2"/>
  <c r="Q1907" i="2"/>
  <c r="Q1912" i="2"/>
  <c r="Q1917" i="2"/>
  <c r="Q1923" i="2"/>
  <c r="Q1928" i="2"/>
  <c r="Q1933" i="2"/>
  <c r="Q1939" i="2"/>
  <c r="Q1944" i="2"/>
  <c r="Q1949" i="2"/>
  <c r="Q1955" i="2"/>
  <c r="Q1960" i="2"/>
  <c r="Q1965" i="2"/>
  <c r="Q1971" i="2"/>
  <c r="Q1976" i="2"/>
  <c r="Q1981" i="2"/>
  <c r="Q1987" i="2"/>
  <c r="Q1992" i="2"/>
  <c r="Q1996" i="2"/>
  <c r="Q2000" i="2"/>
  <c r="Q2004" i="2"/>
  <c r="Q2008" i="2"/>
  <c r="Q2012" i="2"/>
  <c r="Q2016" i="2"/>
  <c r="Q2020" i="2"/>
  <c r="Q2024" i="2"/>
  <c r="Q2028" i="2"/>
  <c r="Q2032" i="2"/>
  <c r="Q2036" i="2"/>
  <c r="Q2040" i="2"/>
  <c r="Q2044" i="2"/>
  <c r="Q2048" i="2"/>
  <c r="Q2052" i="2"/>
  <c r="Q2056" i="2"/>
  <c r="Q2060" i="2"/>
  <c r="Q2064" i="2"/>
  <c r="Q2068" i="2"/>
  <c r="Q2072" i="2"/>
  <c r="Q2076" i="2"/>
  <c r="Q2080" i="2"/>
  <c r="Q2084" i="2"/>
  <c r="Q2088" i="2"/>
  <c r="Q2092" i="2"/>
  <c r="Q2096" i="2"/>
  <c r="Q2100" i="2"/>
  <c r="Q2104" i="2"/>
  <c r="Q2108" i="2"/>
  <c r="Q2112" i="2"/>
  <c r="Q2116" i="2"/>
  <c r="Q2120" i="2"/>
  <c r="Q2124" i="2"/>
  <c r="Q2128" i="2"/>
  <c r="Q2132" i="2"/>
  <c r="Q2136" i="2"/>
  <c r="Q2140" i="2"/>
  <c r="Q2144" i="2"/>
  <c r="Q2148" i="2"/>
  <c r="Q2152" i="2"/>
  <c r="Q2156" i="2"/>
  <c r="Q2160" i="2"/>
  <c r="Q2164" i="2"/>
  <c r="Q2168" i="2"/>
  <c r="Q2172" i="2"/>
  <c r="Q2176" i="2"/>
  <c r="Q2180" i="2"/>
  <c r="Q2184" i="2"/>
  <c r="Q2188" i="2"/>
  <c r="Q2192" i="2"/>
  <c r="Q2196" i="2"/>
  <c r="Q2200" i="2"/>
  <c r="Q2204" i="2"/>
  <c r="Q2208" i="2"/>
  <c r="Q2212" i="2"/>
  <c r="Q2216" i="2"/>
  <c r="Q2220" i="2"/>
  <c r="Q2224" i="2"/>
  <c r="Q2228" i="2"/>
  <c r="Q2232" i="2"/>
  <c r="Q2236" i="2"/>
  <c r="Q2240" i="2"/>
  <c r="Q2244" i="2"/>
  <c r="Q2248" i="2"/>
  <c r="Q2252" i="2"/>
  <c r="Q2256" i="2"/>
  <c r="Q2260" i="2"/>
  <c r="Q2264" i="2"/>
  <c r="Q2268" i="2"/>
  <c r="Q2272" i="2"/>
  <c r="Q2276" i="2"/>
  <c r="Q2280" i="2"/>
  <c r="Q2284" i="2"/>
  <c r="Q2288" i="2"/>
  <c r="Q2292" i="2"/>
  <c r="Q2296" i="2"/>
  <c r="Q2300" i="2"/>
  <c r="Q2304" i="2"/>
  <c r="Q2308" i="2"/>
  <c r="Q2312" i="2"/>
  <c r="Q2316" i="2"/>
  <c r="Q2320" i="2"/>
  <c r="Q2324" i="2"/>
  <c r="Q2328" i="2"/>
  <c r="Q2332" i="2"/>
  <c r="Q2336" i="2"/>
  <c r="Q2340" i="2"/>
  <c r="Q2344" i="2"/>
  <c r="Q2348" i="2"/>
  <c r="Q2352" i="2"/>
  <c r="Q2356" i="2"/>
  <c r="Q2360" i="2"/>
  <c r="Q2364" i="2"/>
  <c r="Q2368" i="2"/>
  <c r="Q2372" i="2"/>
  <c r="Q2376" i="2"/>
  <c r="Q2380" i="2"/>
  <c r="Q2384" i="2"/>
  <c r="Q2388" i="2"/>
  <c r="Q2392" i="2"/>
  <c r="Q2396" i="2"/>
  <c r="Q2400" i="2"/>
  <c r="Q2404" i="2"/>
  <c r="Q2408" i="2"/>
  <c r="Q2412" i="2"/>
  <c r="Q2416" i="2"/>
  <c r="Q2420" i="2"/>
  <c r="Q2424" i="2"/>
  <c r="Q2428" i="2"/>
  <c r="Q2432" i="2"/>
  <c r="Q2436" i="2"/>
  <c r="Q2440" i="2"/>
  <c r="Q2444" i="2"/>
  <c r="Q2448" i="2"/>
  <c r="Q2452" i="2"/>
  <c r="Q2456" i="2"/>
  <c r="Q2460" i="2"/>
  <c r="Q2464" i="2"/>
  <c r="Q2468" i="2"/>
  <c r="Q2472" i="2"/>
  <c r="Q2476" i="2"/>
  <c r="Q2480" i="2"/>
  <c r="Q2484" i="2"/>
  <c r="Q2488" i="2"/>
  <c r="Q2492" i="2"/>
  <c r="Q2496" i="2"/>
  <c r="Q2500" i="2"/>
  <c r="Q2504" i="2"/>
  <c r="Q2508" i="2"/>
  <c r="Q2512" i="2"/>
  <c r="Q2516" i="2"/>
  <c r="Q2520" i="2"/>
  <c r="Q1625" i="2"/>
  <c r="Q1641" i="2"/>
  <c r="Q1657" i="2"/>
  <c r="Q1673" i="2"/>
  <c r="Q1689" i="2"/>
  <c r="Q1705" i="2"/>
  <c r="Q1721" i="2"/>
  <c r="Q1737" i="2"/>
  <c r="Q1753" i="2"/>
  <c r="Q1769" i="2"/>
  <c r="Q1785" i="2"/>
  <c r="Q1801" i="2"/>
  <c r="Q1817" i="2"/>
  <c r="Q1833" i="2"/>
  <c r="Q1849" i="2"/>
  <c r="Q1865" i="2"/>
  <c r="Q1881" i="2"/>
  <c r="Q1887" i="2"/>
  <c r="Q1892" i="2"/>
  <c r="Q1897" i="2"/>
  <c r="Q1903" i="2"/>
  <c r="Q1908" i="2"/>
  <c r="Q1913" i="2"/>
  <c r="Q1919" i="2"/>
  <c r="Q1924" i="2"/>
  <c r="Q1929" i="2"/>
  <c r="Q1935" i="2"/>
  <c r="Q1940" i="2"/>
  <c r="Q1945" i="2"/>
  <c r="Q1951" i="2"/>
  <c r="Q1956" i="2"/>
  <c r="Q1961" i="2"/>
  <c r="Q1967" i="2"/>
  <c r="Q1972" i="2"/>
  <c r="Q1977" i="2"/>
  <c r="Q1983" i="2"/>
  <c r="Q1988" i="2"/>
  <c r="Q1993" i="2"/>
  <c r="Q1997" i="2"/>
  <c r="Q2001" i="2"/>
  <c r="Q2005" i="2"/>
  <c r="Q2009" i="2"/>
  <c r="Q2013" i="2"/>
  <c r="Q2017" i="2"/>
  <c r="Q2021" i="2"/>
  <c r="Q2025" i="2"/>
  <c r="Q2029" i="2"/>
  <c r="Q2033" i="2"/>
  <c r="Q2037" i="2"/>
  <c r="Q2041" i="2"/>
  <c r="Q2045" i="2"/>
  <c r="Q2049" i="2"/>
  <c r="Q2053" i="2"/>
  <c r="Q2057" i="2"/>
  <c r="Q2061" i="2"/>
  <c r="Q2065" i="2"/>
  <c r="Q2069" i="2"/>
  <c r="Q2073" i="2"/>
  <c r="Q2077" i="2"/>
  <c r="Q2081" i="2"/>
  <c r="Q2085" i="2"/>
  <c r="Q2089" i="2"/>
  <c r="Q2093" i="2"/>
  <c r="Q2097" i="2"/>
  <c r="Q2101" i="2"/>
  <c r="Q2105" i="2"/>
  <c r="Q2109" i="2"/>
  <c r="Q2113" i="2"/>
  <c r="Q2117" i="2"/>
  <c r="Q2121" i="2"/>
  <c r="Q2125" i="2"/>
  <c r="Q2129" i="2"/>
  <c r="Q2133" i="2"/>
  <c r="Q2137" i="2"/>
  <c r="Q2141" i="2"/>
  <c r="Q2145" i="2"/>
  <c r="Q2149" i="2"/>
  <c r="Q2153" i="2"/>
  <c r="Q2157" i="2"/>
  <c r="Q2161" i="2"/>
  <c r="Q2165" i="2"/>
  <c r="Q2169" i="2"/>
  <c r="Q2173" i="2"/>
  <c r="Q2177" i="2"/>
  <c r="Q2181" i="2"/>
  <c r="Q2185" i="2"/>
  <c r="Q2189" i="2"/>
  <c r="Q2193" i="2"/>
  <c r="Q2197" i="2"/>
  <c r="Q2201" i="2"/>
  <c r="Q2205" i="2"/>
  <c r="Q2209" i="2"/>
  <c r="Q2213" i="2"/>
  <c r="Q2217" i="2"/>
  <c r="Q2221" i="2"/>
  <c r="Q2225" i="2"/>
  <c r="Q2229" i="2"/>
  <c r="Q2233" i="2"/>
  <c r="Q2237" i="2"/>
  <c r="Q2241" i="2"/>
  <c r="Q2245" i="2"/>
  <c r="Q2249" i="2"/>
  <c r="Q2253" i="2"/>
  <c r="Q2257" i="2"/>
  <c r="Q2261" i="2"/>
  <c r="Q2265" i="2"/>
  <c r="Q2269" i="2"/>
  <c r="Q2273" i="2"/>
  <c r="Q2277" i="2"/>
  <c r="Q2281" i="2"/>
  <c r="Q2285" i="2"/>
  <c r="Q2289" i="2"/>
  <c r="Q2293" i="2"/>
  <c r="Q2297" i="2"/>
  <c r="Q2301" i="2"/>
  <c r="Q2305" i="2"/>
  <c r="Q2309" i="2"/>
  <c r="Q2313" i="2"/>
  <c r="Q2317" i="2"/>
  <c r="Q2321" i="2"/>
  <c r="Q2325" i="2"/>
  <c r="Q2329" i="2"/>
  <c r="Q2333" i="2"/>
  <c r="Q2337" i="2"/>
  <c r="Q2341" i="2"/>
  <c r="Q2345" i="2"/>
  <c r="Q2349" i="2"/>
  <c r="Q2353" i="2"/>
  <c r="Q2357" i="2"/>
  <c r="Q2361" i="2"/>
  <c r="Q2365" i="2"/>
  <c r="Q2369" i="2"/>
  <c r="Q2373" i="2"/>
  <c r="Q2377" i="2"/>
  <c r="Q2381" i="2"/>
  <c r="Q2385" i="2"/>
  <c r="Q2389" i="2"/>
  <c r="Q2393" i="2"/>
  <c r="Q2397" i="2"/>
  <c r="Q2401" i="2"/>
  <c r="Q2405" i="2"/>
  <c r="Q2409" i="2"/>
  <c r="Q2413" i="2"/>
  <c r="Q2417" i="2"/>
  <c r="Q2421" i="2"/>
  <c r="Q2425" i="2"/>
  <c r="Q2429" i="2"/>
  <c r="Q2433" i="2"/>
  <c r="Q2437" i="2"/>
  <c r="Q2441" i="2"/>
  <c r="Q1629" i="2"/>
  <c r="Q1645" i="2"/>
  <c r="Q1661" i="2"/>
  <c r="Q1677" i="2"/>
  <c r="Q1693" i="2"/>
  <c r="Q1709" i="2"/>
  <c r="Q1725" i="2"/>
  <c r="Q1741" i="2"/>
  <c r="Q1757" i="2"/>
  <c r="Q1773" i="2"/>
  <c r="Q1789" i="2"/>
  <c r="Q1805" i="2"/>
  <c r="Q1821" i="2"/>
  <c r="Q1837" i="2"/>
  <c r="Q1853" i="2"/>
  <c r="Q1869" i="2"/>
  <c r="Q1883" i="2"/>
  <c r="Q1888" i="2"/>
  <c r="Q1893" i="2"/>
  <c r="Q1899" i="2"/>
  <c r="Q1904" i="2"/>
  <c r="Q1909" i="2"/>
  <c r="Q1915" i="2"/>
  <c r="Q1920" i="2"/>
  <c r="Q1925" i="2"/>
  <c r="Q1931" i="2"/>
  <c r="Q1936" i="2"/>
  <c r="Q1941" i="2"/>
  <c r="Q1947" i="2"/>
  <c r="Q1952" i="2"/>
  <c r="Q1957" i="2"/>
  <c r="Q1963" i="2"/>
  <c r="Q1968" i="2"/>
  <c r="Q1973" i="2"/>
  <c r="Q1979" i="2"/>
  <c r="Q1984" i="2"/>
  <c r="Q1989" i="2"/>
  <c r="Q1994" i="2"/>
  <c r="Q1998" i="2"/>
  <c r="Q2002" i="2"/>
  <c r="Q2006" i="2"/>
  <c r="Q2010" i="2"/>
  <c r="Q2014" i="2"/>
  <c r="Q2018" i="2"/>
  <c r="Q2022" i="2"/>
  <c r="Q2026" i="2"/>
  <c r="Q2030" i="2"/>
  <c r="Q2034" i="2"/>
  <c r="Q2038" i="2"/>
  <c r="Q2042" i="2"/>
  <c r="Q2046" i="2"/>
  <c r="Q2050" i="2"/>
  <c r="Q2054" i="2"/>
  <c r="Q2058" i="2"/>
  <c r="Q2062" i="2"/>
  <c r="Q2066" i="2"/>
  <c r="Q2070" i="2"/>
  <c r="Q2074" i="2"/>
  <c r="Q2078" i="2"/>
  <c r="Q2082" i="2"/>
  <c r="Q2086" i="2"/>
  <c r="Q2090" i="2"/>
  <c r="Q2094" i="2"/>
  <c r="Q2098" i="2"/>
  <c r="Q2102" i="2"/>
  <c r="Q2106" i="2"/>
  <c r="Q2110" i="2"/>
  <c r="Q2114" i="2"/>
  <c r="Q2118" i="2"/>
  <c r="Q2122" i="2"/>
  <c r="Q2126" i="2"/>
  <c r="Q2130" i="2"/>
  <c r="Q2134" i="2"/>
  <c r="Q2138" i="2"/>
  <c r="Q2142" i="2"/>
  <c r="Q2146" i="2"/>
  <c r="Q2150" i="2"/>
  <c r="Q2154" i="2"/>
  <c r="Q2158" i="2"/>
  <c r="Q2162" i="2"/>
  <c r="Q2166" i="2"/>
  <c r="Q2170" i="2"/>
  <c r="Q2174" i="2"/>
  <c r="Q2178" i="2"/>
  <c r="Q2182" i="2"/>
  <c r="Q2186" i="2"/>
  <c r="Q2190" i="2"/>
  <c r="Q2194" i="2"/>
  <c r="Q2198" i="2"/>
  <c r="Q2202" i="2"/>
  <c r="Q2206" i="2"/>
  <c r="Q2210" i="2"/>
  <c r="Q2214" i="2"/>
  <c r="Q2218" i="2"/>
  <c r="Q2222" i="2"/>
  <c r="Q2226" i="2"/>
  <c r="Q2230" i="2"/>
  <c r="Q2234" i="2"/>
  <c r="Q2238" i="2"/>
  <c r="Q2242" i="2"/>
  <c r="Q2246" i="2"/>
  <c r="Q2250" i="2"/>
  <c r="Q2254" i="2"/>
  <c r="Q2258" i="2"/>
  <c r="Q2262" i="2"/>
  <c r="Q2266" i="2"/>
  <c r="Q2270" i="2"/>
  <c r="Q2274" i="2"/>
  <c r="Q2278" i="2"/>
  <c r="Q2282" i="2"/>
  <c r="Q2286" i="2"/>
  <c r="Q2290" i="2"/>
  <c r="Q2294" i="2"/>
  <c r="Q2298" i="2"/>
  <c r="Q2302" i="2"/>
  <c r="Q2306" i="2"/>
  <c r="Q2310" i="2"/>
  <c r="Q2314" i="2"/>
  <c r="Q2318" i="2"/>
  <c r="Q2322" i="2"/>
  <c r="Q2326" i="2"/>
  <c r="Q2330" i="2"/>
  <c r="Q2334" i="2"/>
  <c r="Q2338" i="2"/>
  <c r="Q2342" i="2"/>
  <c r="Q2346" i="2"/>
  <c r="Q2350" i="2"/>
  <c r="Q2354" i="2"/>
  <c r="Q2358" i="2"/>
  <c r="Q2362" i="2"/>
  <c r="Q2366" i="2"/>
  <c r="Q2370" i="2"/>
  <c r="Q2374" i="2"/>
  <c r="Q2378" i="2"/>
  <c r="Q2382" i="2"/>
  <c r="Q2386" i="2"/>
  <c r="Q2390" i="2"/>
  <c r="Q2394" i="2"/>
  <c r="Q2398" i="2"/>
  <c r="Q2402" i="2"/>
  <c r="Q2406" i="2"/>
  <c r="Q2410" i="2"/>
  <c r="Q2414" i="2"/>
  <c r="Q2418" i="2"/>
  <c r="Q2422" i="2"/>
  <c r="Q2426" i="2"/>
  <c r="Q2430" i="2"/>
  <c r="Q2434" i="2"/>
  <c r="Q2438" i="2"/>
  <c r="Q2442" i="2"/>
  <c r="Q2446" i="2"/>
  <c r="Q2445" i="2"/>
  <c r="Q2454" i="2"/>
  <c r="Q2462" i="2"/>
  <c r="Q2470" i="2"/>
  <c r="Q2478" i="2"/>
  <c r="Q2486" i="2"/>
  <c r="Q2494" i="2"/>
  <c r="Q2502" i="2"/>
  <c r="Q2510" i="2"/>
  <c r="Q2518" i="2"/>
  <c r="Q2524" i="2"/>
  <c r="Q2528" i="2"/>
  <c r="Q2532" i="2"/>
  <c r="Q2536" i="2"/>
  <c r="Q2540" i="2"/>
  <c r="Q2544" i="2"/>
  <c r="Q2548" i="2"/>
  <c r="Q2552" i="2"/>
  <c r="Q2556" i="2"/>
  <c r="Q2560" i="2"/>
  <c r="Q2564" i="2"/>
  <c r="Q2568" i="2"/>
  <c r="Q2572" i="2"/>
  <c r="Q2576" i="2"/>
  <c r="Q2580" i="2"/>
  <c r="Q2584" i="2"/>
  <c r="Q2588" i="2"/>
  <c r="Q2592" i="2"/>
  <c r="Q2596" i="2"/>
  <c r="Q2600" i="2"/>
  <c r="Q2604" i="2"/>
  <c r="Q2608" i="2"/>
  <c r="Q2612" i="2"/>
  <c r="Q2616" i="2"/>
  <c r="Q2620" i="2"/>
  <c r="Q2624" i="2"/>
  <c r="Q2628" i="2"/>
  <c r="Q2632" i="2"/>
  <c r="Q2636" i="2"/>
  <c r="Q2640" i="2"/>
  <c r="Q2644" i="2"/>
  <c r="Q2648" i="2"/>
  <c r="Q2652" i="2"/>
  <c r="Q2656" i="2"/>
  <c r="Q2660" i="2"/>
  <c r="Q2664" i="2"/>
  <c r="Q2668" i="2"/>
  <c r="Q2672" i="2"/>
  <c r="Q2676" i="2"/>
  <c r="Q2680" i="2"/>
  <c r="Q2684" i="2"/>
  <c r="Q2688" i="2"/>
  <c r="Q2692" i="2"/>
  <c r="Q2696" i="2"/>
  <c r="Q2700" i="2"/>
  <c r="Q2704" i="2"/>
  <c r="Q2708" i="2"/>
  <c r="Q2712" i="2"/>
  <c r="Q2716" i="2"/>
  <c r="Q2720" i="2"/>
  <c r="Q2724" i="2"/>
  <c r="Q2728" i="2"/>
  <c r="Q2732" i="2"/>
  <c r="Q2736" i="2"/>
  <c r="Q2740" i="2"/>
  <c r="Q2744" i="2"/>
  <c r="Q2748" i="2"/>
  <c r="Q2752" i="2"/>
  <c r="Q2756" i="2"/>
  <c r="Q2760" i="2"/>
  <c r="Q2764" i="2"/>
  <c r="Q2768" i="2"/>
  <c r="Q2772" i="2"/>
  <c r="Q2776" i="2"/>
  <c r="Q2780" i="2"/>
  <c r="Q2784" i="2"/>
  <c r="Q2788" i="2"/>
  <c r="Q2792" i="2"/>
  <c r="Q2796" i="2"/>
  <c r="Q2800" i="2"/>
  <c r="Q2804" i="2"/>
  <c r="Q2808" i="2"/>
  <c r="Q2812" i="2"/>
  <c r="Q2816" i="2"/>
  <c r="Q2820" i="2"/>
  <c r="Q2824" i="2"/>
  <c r="Q2828" i="2"/>
  <c r="Q2832" i="2"/>
  <c r="Q2836" i="2"/>
  <c r="Q2840" i="2"/>
  <c r="Q2844" i="2"/>
  <c r="Q2848" i="2"/>
  <c r="Q2852" i="2"/>
  <c r="Q2856" i="2"/>
  <c r="Q2860" i="2"/>
  <c r="Q2864" i="2"/>
  <c r="Q2868" i="2"/>
  <c r="Q2872" i="2"/>
  <c r="Q2876" i="2"/>
  <c r="Q2880" i="2"/>
  <c r="Q2884" i="2"/>
  <c r="Q2888" i="2"/>
  <c r="Q2892" i="2"/>
  <c r="Q2896" i="2"/>
  <c r="Q2900" i="2"/>
  <c r="Q2904" i="2"/>
  <c r="Q2908" i="2"/>
  <c r="Q2912" i="2"/>
  <c r="Q2916" i="2"/>
  <c r="Q2920" i="2"/>
  <c r="Q2924" i="2"/>
  <c r="Q2928" i="2"/>
  <c r="Q2932" i="2"/>
  <c r="Q2936" i="2"/>
  <c r="Q2940" i="2"/>
  <c r="Q2944" i="2"/>
  <c r="Q2948" i="2"/>
  <c r="Q2952" i="2"/>
  <c r="Q2956" i="2"/>
  <c r="Q2960" i="2"/>
  <c r="Q2964" i="2"/>
  <c r="Q2968" i="2"/>
  <c r="Q2972" i="2"/>
  <c r="Q2976" i="2"/>
  <c r="Q2980" i="2"/>
  <c r="Q2984" i="2"/>
  <c r="Q2988" i="2"/>
  <c r="Q2992" i="2"/>
  <c r="Q2996" i="2"/>
  <c r="Q3000" i="2"/>
  <c r="Q3004" i="2"/>
  <c r="Q3008" i="2"/>
  <c r="Q3012" i="2"/>
  <c r="Q3016" i="2"/>
  <c r="Q3020" i="2"/>
  <c r="Q3024" i="2"/>
  <c r="Q3028" i="2"/>
  <c r="Q3032" i="2"/>
  <c r="Q3036" i="2"/>
  <c r="Q3040" i="2"/>
  <c r="Q3044" i="2"/>
  <c r="Q3048" i="2"/>
  <c r="Q3052" i="2"/>
  <c r="Q3056" i="2"/>
  <c r="Q3060" i="2"/>
  <c r="Q3064" i="2"/>
  <c r="Q3068" i="2"/>
  <c r="Q3072" i="2"/>
  <c r="Q3076" i="2"/>
  <c r="Q3080" i="2"/>
  <c r="Q3084" i="2"/>
  <c r="Q3088" i="2"/>
  <c r="Q3092" i="2"/>
  <c r="Q3096" i="2"/>
  <c r="Q3100" i="2"/>
  <c r="Q3104" i="2"/>
  <c r="Q3108" i="2"/>
  <c r="Q3112" i="2"/>
  <c r="Q3116" i="2"/>
  <c r="Q3120" i="2"/>
  <c r="Q3124" i="2"/>
  <c r="Q3128" i="2"/>
  <c r="Q3132" i="2"/>
  <c r="Q3136" i="2"/>
  <c r="Q3140" i="2"/>
  <c r="Q3144" i="2"/>
  <c r="Q3148" i="2"/>
  <c r="Q2449" i="2"/>
  <c r="Q2457" i="2"/>
  <c r="Q2465" i="2"/>
  <c r="Q2473" i="2"/>
  <c r="Q2481" i="2"/>
  <c r="Q2489" i="2"/>
  <c r="Q2497" i="2"/>
  <c r="Q2505" i="2"/>
  <c r="Q2513" i="2"/>
  <c r="Q2521" i="2"/>
  <c r="Q2525" i="2"/>
  <c r="Q2529" i="2"/>
  <c r="Q2533" i="2"/>
  <c r="Q2537" i="2"/>
  <c r="Q2541" i="2"/>
  <c r="Q2545" i="2"/>
  <c r="Q2549" i="2"/>
  <c r="Q2553" i="2"/>
  <c r="Q2557" i="2"/>
  <c r="Q2561" i="2"/>
  <c r="Q2565" i="2"/>
  <c r="Q2569" i="2"/>
  <c r="Q2573" i="2"/>
  <c r="Q2577" i="2"/>
  <c r="Q2581" i="2"/>
  <c r="Q2585" i="2"/>
  <c r="Q2589" i="2"/>
  <c r="Q2593" i="2"/>
  <c r="Q2597" i="2"/>
  <c r="Q2601" i="2"/>
  <c r="Q2605" i="2"/>
  <c r="Q2609" i="2"/>
  <c r="Q2613" i="2"/>
  <c r="Q2617" i="2"/>
  <c r="Q2621" i="2"/>
  <c r="Q2625" i="2"/>
  <c r="Q2629" i="2"/>
  <c r="Q2633" i="2"/>
  <c r="Q2637" i="2"/>
  <c r="Q2641" i="2"/>
  <c r="Q2645" i="2"/>
  <c r="Q2649" i="2"/>
  <c r="Q2653" i="2"/>
  <c r="Q2657" i="2"/>
  <c r="Q2661" i="2"/>
  <c r="Q2665" i="2"/>
  <c r="Q2669" i="2"/>
  <c r="Q2673" i="2"/>
  <c r="Q2677" i="2"/>
  <c r="Q2681" i="2"/>
  <c r="Q2685" i="2"/>
  <c r="Q2689" i="2"/>
  <c r="Q2693" i="2"/>
  <c r="Q2697" i="2"/>
  <c r="Q2701" i="2"/>
  <c r="Q2705" i="2"/>
  <c r="Q2709" i="2"/>
  <c r="Q2713" i="2"/>
  <c r="Q2717" i="2"/>
  <c r="Q2721" i="2"/>
  <c r="Q2725" i="2"/>
  <c r="Q2729" i="2"/>
  <c r="Q2733" i="2"/>
  <c r="Q2737" i="2"/>
  <c r="Q2741" i="2"/>
  <c r="Q2745" i="2"/>
  <c r="Q2749" i="2"/>
  <c r="Q2753" i="2"/>
  <c r="Q2757" i="2"/>
  <c r="Q2761" i="2"/>
  <c r="Q2765" i="2"/>
  <c r="Q2769" i="2"/>
  <c r="Q2773" i="2"/>
  <c r="Q2777" i="2"/>
  <c r="Q2781" i="2"/>
  <c r="Q2785" i="2"/>
  <c r="Q2789" i="2"/>
  <c r="Q2793" i="2"/>
  <c r="Q2797" i="2"/>
  <c r="Q2801" i="2"/>
  <c r="Q2805" i="2"/>
  <c r="Q2809" i="2"/>
  <c r="Q2813" i="2"/>
  <c r="Q2817" i="2"/>
  <c r="Q2821" i="2"/>
  <c r="Q2825" i="2"/>
  <c r="Q2829" i="2"/>
  <c r="Q2833" i="2"/>
  <c r="Q2837" i="2"/>
  <c r="Q2841" i="2"/>
  <c r="Q2845" i="2"/>
  <c r="Q2849" i="2"/>
  <c r="Q2853" i="2"/>
  <c r="Q2857" i="2"/>
  <c r="Q2861" i="2"/>
  <c r="Q2865" i="2"/>
  <c r="Q2869" i="2"/>
  <c r="Q2873" i="2"/>
  <c r="Q2877" i="2"/>
  <c r="Q2881" i="2"/>
  <c r="Q2885" i="2"/>
  <c r="Q2889" i="2"/>
  <c r="Q2893" i="2"/>
  <c r="Q2897" i="2"/>
  <c r="Q2901" i="2"/>
  <c r="Q2905" i="2"/>
  <c r="Q2909" i="2"/>
  <c r="Q2913" i="2"/>
  <c r="Q2917" i="2"/>
  <c r="Q2921" i="2"/>
  <c r="Q2925" i="2"/>
  <c r="Q2929" i="2"/>
  <c r="Q2933" i="2"/>
  <c r="Q2937" i="2"/>
  <c r="Q2941" i="2"/>
  <c r="Q2945" i="2"/>
  <c r="Q2949" i="2"/>
  <c r="Q2953" i="2"/>
  <c r="Q2957" i="2"/>
  <c r="Q2961" i="2"/>
  <c r="Q2965" i="2"/>
  <c r="Q2969" i="2"/>
  <c r="Q2973" i="2"/>
  <c r="Q2977" i="2"/>
  <c r="Q2981" i="2"/>
  <c r="Q2985" i="2"/>
  <c r="Q2989" i="2"/>
  <c r="Q2993" i="2"/>
  <c r="Q2997" i="2"/>
  <c r="Q3001" i="2"/>
  <c r="Q3005" i="2"/>
  <c r="Q3009" i="2"/>
  <c r="Q3013" i="2"/>
  <c r="Q3017" i="2"/>
  <c r="Q3021" i="2"/>
  <c r="Q3025" i="2"/>
  <c r="Q3029" i="2"/>
  <c r="Q3033" i="2"/>
  <c r="Q3037" i="2"/>
  <c r="Q3041" i="2"/>
  <c r="Q3045" i="2"/>
  <c r="Q3049" i="2"/>
  <c r="Q3053" i="2"/>
  <c r="Q3057" i="2"/>
  <c r="Q3061" i="2"/>
  <c r="Q3065" i="2"/>
  <c r="Q3069" i="2"/>
  <c r="Q3073" i="2"/>
  <c r="Q3077" i="2"/>
  <c r="Q3081" i="2"/>
  <c r="Q3085" i="2"/>
  <c r="Q3089" i="2"/>
  <c r="Q3093" i="2"/>
  <c r="Q3097" i="2"/>
  <c r="Q3101" i="2"/>
  <c r="Q3105" i="2"/>
  <c r="Q3109" i="2"/>
  <c r="Q3113" i="2"/>
  <c r="Q3117" i="2"/>
  <c r="Q3121" i="2"/>
  <c r="Q3125" i="2"/>
  <c r="Q3129" i="2"/>
  <c r="Q3133" i="2"/>
  <c r="Q3137" i="2"/>
  <c r="Q3141" i="2"/>
  <c r="Q3145" i="2"/>
  <c r="Q3149" i="2"/>
  <c r="Q3153" i="2"/>
  <c r="Q3157" i="2"/>
  <c r="Q3161" i="2"/>
  <c r="Q3165" i="2"/>
  <c r="Q2450" i="2"/>
  <c r="Q2458" i="2"/>
  <c r="Q2466" i="2"/>
  <c r="Q2474" i="2"/>
  <c r="Q2482" i="2"/>
  <c r="Q2490" i="2"/>
  <c r="Q2498" i="2"/>
  <c r="Q2506" i="2"/>
  <c r="Q2514" i="2"/>
  <c r="Q2522" i="2"/>
  <c r="Q2526" i="2"/>
  <c r="Q2530" i="2"/>
  <c r="Q2534" i="2"/>
  <c r="Q2538" i="2"/>
  <c r="Q2542" i="2"/>
  <c r="Q2546" i="2"/>
  <c r="Q2550" i="2"/>
  <c r="Q2554" i="2"/>
  <c r="Q2558" i="2"/>
  <c r="Q2562" i="2"/>
  <c r="Q2566" i="2"/>
  <c r="Q2570" i="2"/>
  <c r="Q2574" i="2"/>
  <c r="Q2578" i="2"/>
  <c r="Q2582" i="2"/>
  <c r="Q2586" i="2"/>
  <c r="Q2590" i="2"/>
  <c r="Q2594" i="2"/>
  <c r="Q2598" i="2"/>
  <c r="Q2602" i="2"/>
  <c r="Q2606" i="2"/>
  <c r="Q2610" i="2"/>
  <c r="Q2614" i="2"/>
  <c r="Q2618" i="2"/>
  <c r="Q2622" i="2"/>
  <c r="Q2626" i="2"/>
  <c r="Q2630" i="2"/>
  <c r="Q2634" i="2"/>
  <c r="Q2638" i="2"/>
  <c r="Q2642" i="2"/>
  <c r="Q2646" i="2"/>
  <c r="Q2650" i="2"/>
  <c r="Q2654" i="2"/>
  <c r="Q2658" i="2"/>
  <c r="Q2662" i="2"/>
  <c r="Q2666" i="2"/>
  <c r="Q2670" i="2"/>
  <c r="Q2674" i="2"/>
  <c r="Q2678" i="2"/>
  <c r="Q2682" i="2"/>
  <c r="Q2686" i="2"/>
  <c r="Q2690" i="2"/>
  <c r="Q2694" i="2"/>
  <c r="Q2698" i="2"/>
  <c r="Q2702" i="2"/>
  <c r="Q2706" i="2"/>
  <c r="Q2710" i="2"/>
  <c r="Q2714" i="2"/>
  <c r="Q2718" i="2"/>
  <c r="Q2722" i="2"/>
  <c r="Q2726" i="2"/>
  <c r="Q2730" i="2"/>
  <c r="Q2734" i="2"/>
  <c r="Q2738" i="2"/>
  <c r="Q2742" i="2"/>
  <c r="Q2746" i="2"/>
  <c r="Q2750" i="2"/>
  <c r="Q2754" i="2"/>
  <c r="Q2758" i="2"/>
  <c r="Q2762" i="2"/>
  <c r="Q2766" i="2"/>
  <c r="Q2770" i="2"/>
  <c r="Q2774" i="2"/>
  <c r="Q2778" i="2"/>
  <c r="Q2782" i="2"/>
  <c r="Q2786" i="2"/>
  <c r="Q2790" i="2"/>
  <c r="Q2794" i="2"/>
  <c r="Q2798" i="2"/>
  <c r="Q2802" i="2"/>
  <c r="Q2806" i="2"/>
  <c r="Q2810" i="2"/>
  <c r="Q2814" i="2"/>
  <c r="Q2818" i="2"/>
  <c r="Q2822" i="2"/>
  <c r="Q2826" i="2"/>
  <c r="Q2830" i="2"/>
  <c r="Q2834" i="2"/>
  <c r="Q2838" i="2"/>
  <c r="Q2842" i="2"/>
  <c r="Q2846" i="2"/>
  <c r="Q2850" i="2"/>
  <c r="Q2854" i="2"/>
  <c r="Q2858" i="2"/>
  <c r="Q2862" i="2"/>
  <c r="Q2866" i="2"/>
  <c r="Q2870" i="2"/>
  <c r="Q2874" i="2"/>
  <c r="Q2878" i="2"/>
  <c r="Q2882" i="2"/>
  <c r="Q2886" i="2"/>
  <c r="Q2890" i="2"/>
  <c r="Q2894" i="2"/>
  <c r="Q2898" i="2"/>
  <c r="Q2902" i="2"/>
  <c r="Q2906" i="2"/>
  <c r="Q2910" i="2"/>
  <c r="Q2914" i="2"/>
  <c r="Q2918" i="2"/>
  <c r="Q2922" i="2"/>
  <c r="Q2926" i="2"/>
  <c r="Q2930" i="2"/>
  <c r="Q2934" i="2"/>
  <c r="Q2938" i="2"/>
  <c r="Q2942" i="2"/>
  <c r="Q2946" i="2"/>
  <c r="Q2950" i="2"/>
  <c r="Q2954" i="2"/>
  <c r="Q2958" i="2"/>
  <c r="Q2962" i="2"/>
  <c r="Q2966" i="2"/>
  <c r="Q2970" i="2"/>
  <c r="Q2974" i="2"/>
  <c r="Q2978" i="2"/>
  <c r="Q2982" i="2"/>
  <c r="Q2986" i="2"/>
  <c r="Q2990" i="2"/>
  <c r="Q2994" i="2"/>
  <c r="Q2998" i="2"/>
  <c r="Q3002" i="2"/>
  <c r="Q3006" i="2"/>
  <c r="Q3010" i="2"/>
  <c r="Q3014" i="2"/>
  <c r="Q3018" i="2"/>
  <c r="Q3022" i="2"/>
  <c r="Q3026" i="2"/>
  <c r="Q3030" i="2"/>
  <c r="Q3034" i="2"/>
  <c r="Q3038" i="2"/>
  <c r="Q3042" i="2"/>
  <c r="Q3046" i="2"/>
  <c r="Q3050" i="2"/>
  <c r="Q3054" i="2"/>
  <c r="Q3058" i="2"/>
  <c r="Q3062" i="2"/>
  <c r="Q3066" i="2"/>
  <c r="Q3070" i="2"/>
  <c r="Q3074" i="2"/>
  <c r="Q3078" i="2"/>
  <c r="Q3082" i="2"/>
  <c r="Q3086" i="2"/>
  <c r="Q3090" i="2"/>
  <c r="Q3094" i="2"/>
  <c r="Q3098" i="2"/>
  <c r="Q3102" i="2"/>
  <c r="Q3106" i="2"/>
  <c r="Q3110" i="2"/>
  <c r="Q3114" i="2"/>
  <c r="Q3118" i="2"/>
  <c r="Q3122" i="2"/>
  <c r="Q3126" i="2"/>
  <c r="Q3130" i="2"/>
  <c r="Q3134" i="2"/>
  <c r="Q3138" i="2"/>
  <c r="Q3142" i="2"/>
  <c r="Q3146" i="2"/>
  <c r="Q3150" i="2"/>
  <c r="Q3154" i="2"/>
  <c r="Q3158" i="2"/>
  <c r="Q3162" i="2"/>
  <c r="Q2453" i="2"/>
  <c r="Q2461" i="2"/>
  <c r="Q2469" i="2"/>
  <c r="Q2477" i="2"/>
  <c r="Q2485" i="2"/>
  <c r="Q2493" i="2"/>
  <c r="Q2501" i="2"/>
  <c r="Q2509" i="2"/>
  <c r="Q2517" i="2"/>
  <c r="Q2523" i="2"/>
  <c r="Q2527" i="2"/>
  <c r="Q2531" i="2"/>
  <c r="Q2535" i="2"/>
  <c r="Q2539" i="2"/>
  <c r="Q2543" i="2"/>
  <c r="Q2547" i="2"/>
  <c r="Q2551" i="2"/>
  <c r="Q2555" i="2"/>
  <c r="Q2559" i="2"/>
  <c r="Q2563" i="2"/>
  <c r="Q2567" i="2"/>
  <c r="Q2571" i="2"/>
  <c r="Q2575" i="2"/>
  <c r="Q2579" i="2"/>
  <c r="Q2583" i="2"/>
  <c r="Q2587" i="2"/>
  <c r="Q2591" i="2"/>
  <c r="Q2595" i="2"/>
  <c r="Q2599" i="2"/>
  <c r="Q2603" i="2"/>
  <c r="Q2607" i="2"/>
  <c r="Q2611" i="2"/>
  <c r="Q2615" i="2"/>
  <c r="Q2619" i="2"/>
  <c r="Q2623" i="2"/>
  <c r="Q2627" i="2"/>
  <c r="Q2631" i="2"/>
  <c r="Q2635" i="2"/>
  <c r="Q2639" i="2"/>
  <c r="Q2643" i="2"/>
  <c r="Q2647" i="2"/>
  <c r="Q2651" i="2"/>
  <c r="Q2655" i="2"/>
  <c r="Q2659" i="2"/>
  <c r="Q2663" i="2"/>
  <c r="Q2667" i="2"/>
  <c r="Q2671" i="2"/>
  <c r="Q2675" i="2"/>
  <c r="Q2679" i="2"/>
  <c r="Q2683" i="2"/>
  <c r="Q2687" i="2"/>
  <c r="Q2691" i="2"/>
  <c r="Q2695" i="2"/>
  <c r="Q2699" i="2"/>
  <c r="Q2703" i="2"/>
  <c r="Q2707" i="2"/>
  <c r="Q2711" i="2"/>
  <c r="Q2715" i="2"/>
  <c r="Q2719" i="2"/>
  <c r="Q2723" i="2"/>
  <c r="Q2727" i="2"/>
  <c r="Q2731" i="2"/>
  <c r="Q2735" i="2"/>
  <c r="Q2739" i="2"/>
  <c r="Q2743" i="2"/>
  <c r="Q2747" i="2"/>
  <c r="Q2751" i="2"/>
  <c r="Q2755" i="2"/>
  <c r="Q2759" i="2"/>
  <c r="Q2763" i="2"/>
  <c r="Q2767" i="2"/>
  <c r="Q2771" i="2"/>
  <c r="Q2775" i="2"/>
  <c r="Q2779" i="2"/>
  <c r="Q2783" i="2"/>
  <c r="Q2787" i="2"/>
  <c r="Q2791" i="2"/>
  <c r="Q2795" i="2"/>
  <c r="Q2799" i="2"/>
  <c r="Q2803" i="2"/>
  <c r="Q2807" i="2"/>
  <c r="Q2811" i="2"/>
  <c r="Q2815" i="2"/>
  <c r="Q2819" i="2"/>
  <c r="Q2823" i="2"/>
  <c r="Q2827" i="2"/>
  <c r="Q2831" i="2"/>
  <c r="Q2835" i="2"/>
  <c r="Q2839" i="2"/>
  <c r="Q2843" i="2"/>
  <c r="Q2847" i="2"/>
  <c r="Q2851" i="2"/>
  <c r="Q2855" i="2"/>
  <c r="Q2859" i="2"/>
  <c r="Q2863" i="2"/>
  <c r="Q2867" i="2"/>
  <c r="Q2871" i="2"/>
  <c r="Q2875" i="2"/>
  <c r="Q2879" i="2"/>
  <c r="Q2883" i="2"/>
  <c r="Q2887" i="2"/>
  <c r="Q2891" i="2"/>
  <c r="Q2895" i="2"/>
  <c r="Q2899" i="2"/>
  <c r="Q2903" i="2"/>
  <c r="Q2907" i="2"/>
  <c r="Q2911" i="2"/>
  <c r="Q2915" i="2"/>
  <c r="Q2919" i="2"/>
  <c r="Q2923" i="2"/>
  <c r="Q2927" i="2"/>
  <c r="Q2931" i="2"/>
  <c r="Q2935" i="2"/>
  <c r="Q2939" i="2"/>
  <c r="Q2943" i="2"/>
  <c r="Q2947" i="2"/>
  <c r="Q2951" i="2"/>
  <c r="Q2955" i="2"/>
  <c r="Q2959" i="2"/>
  <c r="Q2963" i="2"/>
  <c r="Q2967" i="2"/>
  <c r="Q2971" i="2"/>
  <c r="Q2975" i="2"/>
  <c r="Q2979" i="2"/>
  <c r="Q2983" i="2"/>
  <c r="Q2987" i="2"/>
  <c r="Q2991" i="2"/>
  <c r="Q2995" i="2"/>
  <c r="Q2999" i="2"/>
  <c r="Q3003" i="2"/>
  <c r="Q3007" i="2"/>
  <c r="Q3011" i="2"/>
  <c r="Q3015" i="2"/>
  <c r="Q3019" i="2"/>
  <c r="Q3023" i="2"/>
  <c r="Q3027" i="2"/>
  <c r="Q3031" i="2"/>
  <c r="Q3035" i="2"/>
  <c r="Q3039" i="2"/>
  <c r="Q3043" i="2"/>
  <c r="Q3047" i="2"/>
  <c r="Q3051" i="2"/>
  <c r="Q3055" i="2"/>
  <c r="Q3059" i="2"/>
  <c r="Q3063" i="2"/>
  <c r="Q3067" i="2"/>
  <c r="Q3071" i="2"/>
  <c r="Q3075" i="2"/>
  <c r="Q3079" i="2"/>
  <c r="Q3083" i="2"/>
  <c r="Q3087" i="2"/>
  <c r="Q3091" i="2"/>
  <c r="Q3095" i="2"/>
  <c r="Q3099" i="2"/>
  <c r="Q3103" i="2"/>
  <c r="Q3107" i="2"/>
  <c r="Q3111" i="2"/>
  <c r="Q3115" i="2"/>
  <c r="Q3119" i="2"/>
  <c r="Q3123" i="2"/>
  <c r="Q3127" i="2"/>
  <c r="Q3131" i="2"/>
  <c r="Q3135" i="2"/>
  <c r="Q3139" i="2"/>
  <c r="Q3143" i="2"/>
  <c r="Q3147" i="2"/>
  <c r="Q3156" i="2"/>
  <c r="Q3164" i="2"/>
  <c r="Q3169" i="2"/>
  <c r="Q3173" i="2"/>
  <c r="Q3177" i="2"/>
  <c r="Q3181" i="2"/>
  <c r="Q3185" i="2"/>
  <c r="Q3189" i="2"/>
  <c r="Q3193" i="2"/>
  <c r="Q3197" i="2"/>
  <c r="Q3201" i="2"/>
  <c r="Q3205" i="2"/>
  <c r="Q3209" i="2"/>
  <c r="Q3213" i="2"/>
  <c r="Q3217" i="2"/>
  <c r="Q3221" i="2"/>
  <c r="Q3225" i="2"/>
  <c r="Q3229" i="2"/>
  <c r="Q3233" i="2"/>
  <c r="Q3237" i="2"/>
  <c r="Q3241" i="2"/>
  <c r="Q3245" i="2"/>
  <c r="Q3249" i="2"/>
  <c r="Q3253" i="2"/>
  <c r="Q3257" i="2"/>
  <c r="Q3261" i="2"/>
  <c r="Q3265" i="2"/>
  <c r="Q3269" i="2"/>
  <c r="Q3273" i="2"/>
  <c r="Q3277" i="2"/>
  <c r="Q3281" i="2"/>
  <c r="Q3285" i="2"/>
  <c r="Q3289" i="2"/>
  <c r="Q3293" i="2"/>
  <c r="Q3297" i="2"/>
  <c r="Q3301" i="2"/>
  <c r="Q3305" i="2"/>
  <c r="Q3309" i="2"/>
  <c r="Q3313" i="2"/>
  <c r="Q3317" i="2"/>
  <c r="Q3321" i="2"/>
  <c r="Q3325" i="2"/>
  <c r="Q3329" i="2"/>
  <c r="Q3333" i="2"/>
  <c r="Q3337" i="2"/>
  <c r="Q3341" i="2"/>
  <c r="Q3345" i="2"/>
  <c r="Q3349" i="2"/>
  <c r="Q3353" i="2"/>
  <c r="Q3357" i="2"/>
  <c r="Q3361" i="2"/>
  <c r="Q3365" i="2"/>
  <c r="Q3369" i="2"/>
  <c r="Q3373" i="2"/>
  <c r="Q3377" i="2"/>
  <c r="Q3381" i="2"/>
  <c r="Q3385" i="2"/>
  <c r="Q3389" i="2"/>
  <c r="Q3393" i="2"/>
  <c r="Q3397" i="2"/>
  <c r="Q3401" i="2"/>
  <c r="Q3405" i="2"/>
  <c r="Q3409" i="2"/>
  <c r="Q3413" i="2"/>
  <c r="Q3417" i="2"/>
  <c r="Q3421" i="2"/>
  <c r="Q3425" i="2"/>
  <c r="Q3429" i="2"/>
  <c r="Q3433" i="2"/>
  <c r="Q3437" i="2"/>
  <c r="Q3441" i="2"/>
  <c r="Q3445" i="2"/>
  <c r="Q3449" i="2"/>
  <c r="Q3453" i="2"/>
  <c r="Q3457" i="2"/>
  <c r="Q3461" i="2"/>
  <c r="Q3465" i="2"/>
  <c r="Q3469" i="2"/>
  <c r="Q3473" i="2"/>
  <c r="Q3477" i="2"/>
  <c r="Q3481" i="2"/>
  <c r="Q3485" i="2"/>
  <c r="Q3489" i="2"/>
  <c r="Q3493" i="2"/>
  <c r="Q3497" i="2"/>
  <c r="Q3501" i="2"/>
  <c r="Q3505" i="2"/>
  <c r="Q3509" i="2"/>
  <c r="Q3513" i="2"/>
  <c r="Q3517" i="2"/>
  <c r="Q3521" i="2"/>
  <c r="Q3525" i="2"/>
  <c r="Q3529" i="2"/>
  <c r="Q3533" i="2"/>
  <c r="Q3537" i="2"/>
  <c r="Q3541" i="2"/>
  <c r="Q3545" i="2"/>
  <c r="Q3549" i="2"/>
  <c r="Q3553" i="2"/>
  <c r="Q3557" i="2"/>
  <c r="Q3561" i="2"/>
  <c r="Q3565" i="2"/>
  <c r="Q3569" i="2"/>
  <c r="Q3573" i="2"/>
  <c r="Q3577" i="2"/>
  <c r="Q3581" i="2"/>
  <c r="Q3585" i="2"/>
  <c r="Q3589" i="2"/>
  <c r="Q3593" i="2"/>
  <c r="Q3597" i="2"/>
  <c r="Q3601" i="2"/>
  <c r="Q3605" i="2"/>
  <c r="Q3609" i="2"/>
  <c r="Q3613" i="2"/>
  <c r="Q3617" i="2"/>
  <c r="Q3621" i="2"/>
  <c r="Q3625" i="2"/>
  <c r="Q3629" i="2"/>
  <c r="Q3633" i="2"/>
  <c r="Q3637" i="2"/>
  <c r="Q3641" i="2"/>
  <c r="Q3645" i="2"/>
  <c r="Q3649" i="2"/>
  <c r="Q3653" i="2"/>
  <c r="Q3657" i="2"/>
  <c r="Q3661" i="2"/>
  <c r="Q3665" i="2"/>
  <c r="Q3669" i="2"/>
  <c r="Q3673" i="2"/>
  <c r="Q3677" i="2"/>
  <c r="Q3681" i="2"/>
  <c r="Q3685" i="2"/>
  <c r="Q3689" i="2"/>
  <c r="Q3693" i="2"/>
  <c r="Q3697" i="2"/>
  <c r="Q3701" i="2"/>
  <c r="Q3705" i="2"/>
  <c r="Q3709" i="2"/>
  <c r="Q3713" i="2"/>
  <c r="Q3717" i="2"/>
  <c r="Q3721" i="2"/>
  <c r="Q3725" i="2"/>
  <c r="Q3729" i="2"/>
  <c r="Q3733" i="2"/>
  <c r="Q3737" i="2"/>
  <c r="Q3741" i="2"/>
  <c r="Q3745" i="2"/>
  <c r="Q3749" i="2"/>
  <c r="Q3753" i="2"/>
  <c r="Q3757" i="2"/>
  <c r="Q3761" i="2"/>
  <c r="Q3765" i="2"/>
  <c r="Q3769" i="2"/>
  <c r="Q3773" i="2"/>
  <c r="Q3777" i="2"/>
  <c r="Q3781" i="2"/>
  <c r="Q3785" i="2"/>
  <c r="Q3789" i="2"/>
  <c r="Q3793" i="2"/>
  <c r="Q3797" i="2"/>
  <c r="Q3801" i="2"/>
  <c r="Q3805" i="2"/>
  <c r="Q3809" i="2"/>
  <c r="Q3813" i="2"/>
  <c r="Q3817" i="2"/>
  <c r="Q3821" i="2"/>
  <c r="Q3825" i="2"/>
  <c r="Q3829" i="2"/>
  <c r="Q3833" i="2"/>
  <c r="Q3837" i="2"/>
  <c r="Q3841" i="2"/>
  <c r="Q3845" i="2"/>
  <c r="Q3849" i="2"/>
  <c r="Q3853" i="2"/>
  <c r="Q3857" i="2"/>
  <c r="Q3861" i="2"/>
  <c r="Q3865" i="2"/>
  <c r="Q3869" i="2"/>
  <c r="Q3873" i="2"/>
  <c r="Q3877" i="2"/>
  <c r="Q3881" i="2"/>
  <c r="Q3885" i="2"/>
  <c r="Q3889" i="2"/>
  <c r="Q3893" i="2"/>
  <c r="Q3897" i="2"/>
  <c r="Q3901" i="2"/>
  <c r="Q3905" i="2"/>
  <c r="Q3909" i="2"/>
  <c r="Q3913" i="2"/>
  <c r="Q3151" i="2"/>
  <c r="Q3159" i="2"/>
  <c r="Q3166" i="2"/>
  <c r="Q3170" i="2"/>
  <c r="Q3174" i="2"/>
  <c r="Q3178" i="2"/>
  <c r="Q3182" i="2"/>
  <c r="Q3186" i="2"/>
  <c r="Q3190" i="2"/>
  <c r="Q3194" i="2"/>
  <c r="Q3198" i="2"/>
  <c r="Q3202" i="2"/>
  <c r="Q3206" i="2"/>
  <c r="Q3210" i="2"/>
  <c r="Q3214" i="2"/>
  <c r="Q3218" i="2"/>
  <c r="Q3222" i="2"/>
  <c r="Q3226" i="2"/>
  <c r="Q3230" i="2"/>
  <c r="Q3234" i="2"/>
  <c r="Q3238" i="2"/>
  <c r="Q3242" i="2"/>
  <c r="Q3246" i="2"/>
  <c r="Q3250" i="2"/>
  <c r="Q3254" i="2"/>
  <c r="Q3258" i="2"/>
  <c r="Q3262" i="2"/>
  <c r="Q3266" i="2"/>
  <c r="Q3270" i="2"/>
  <c r="Q3274" i="2"/>
  <c r="Q3278" i="2"/>
  <c r="Q3282" i="2"/>
  <c r="Q3286" i="2"/>
  <c r="Q3290" i="2"/>
  <c r="Q3294" i="2"/>
  <c r="Q3298" i="2"/>
  <c r="Q3302" i="2"/>
  <c r="Q3306" i="2"/>
  <c r="Q3310" i="2"/>
  <c r="Q3314" i="2"/>
  <c r="Q3318" i="2"/>
  <c r="Q3322" i="2"/>
  <c r="Q3326" i="2"/>
  <c r="Q3330" i="2"/>
  <c r="Q3334" i="2"/>
  <c r="Q3338" i="2"/>
  <c r="Q3342" i="2"/>
  <c r="Q3346" i="2"/>
  <c r="Q3350" i="2"/>
  <c r="Q3354" i="2"/>
  <c r="Q3358" i="2"/>
  <c r="Q3362" i="2"/>
  <c r="Q3366" i="2"/>
  <c r="Q3370" i="2"/>
  <c r="Q3374" i="2"/>
  <c r="Q3378" i="2"/>
  <c r="Q3382" i="2"/>
  <c r="Q3386" i="2"/>
  <c r="Q3390" i="2"/>
  <c r="Q3394" i="2"/>
  <c r="Q3398" i="2"/>
  <c r="Q3402" i="2"/>
  <c r="Q3406" i="2"/>
  <c r="Q3410" i="2"/>
  <c r="Q3414" i="2"/>
  <c r="Q3418" i="2"/>
  <c r="Q3422" i="2"/>
  <c r="Q3426" i="2"/>
  <c r="Q3430" i="2"/>
  <c r="Q3434" i="2"/>
  <c r="Q3438" i="2"/>
  <c r="Q3442" i="2"/>
  <c r="Q3446" i="2"/>
  <c r="Q3450" i="2"/>
  <c r="Q3454" i="2"/>
  <c r="Q3458" i="2"/>
  <c r="Q3462" i="2"/>
  <c r="Q3466" i="2"/>
  <c r="Q3470" i="2"/>
  <c r="Q3474" i="2"/>
  <c r="Q3478" i="2"/>
  <c r="Q3482" i="2"/>
  <c r="Q3486" i="2"/>
  <c r="Q3490" i="2"/>
  <c r="Q3494" i="2"/>
  <c r="Q3498" i="2"/>
  <c r="Q3502" i="2"/>
  <c r="Q3506" i="2"/>
  <c r="Q3510" i="2"/>
  <c r="Q3514" i="2"/>
  <c r="Q3518" i="2"/>
  <c r="Q3522" i="2"/>
  <c r="Q3526" i="2"/>
  <c r="Q3530" i="2"/>
  <c r="Q3534" i="2"/>
  <c r="Q3538" i="2"/>
  <c r="Q3542" i="2"/>
  <c r="Q3546" i="2"/>
  <c r="Q3550" i="2"/>
  <c r="Q3554" i="2"/>
  <c r="Q3558" i="2"/>
  <c r="Q3562" i="2"/>
  <c r="Q3566" i="2"/>
  <c r="Q3570" i="2"/>
  <c r="Q3574" i="2"/>
  <c r="Q3578" i="2"/>
  <c r="Q3582" i="2"/>
  <c r="Q3586" i="2"/>
  <c r="Q3590" i="2"/>
  <c r="Q3594" i="2"/>
  <c r="Q3598" i="2"/>
  <c r="Q3602" i="2"/>
  <c r="Q3606" i="2"/>
  <c r="Q3610" i="2"/>
  <c r="Q3614" i="2"/>
  <c r="Q3618" i="2"/>
  <c r="Q3622" i="2"/>
  <c r="Q3626" i="2"/>
  <c r="Q3630" i="2"/>
  <c r="Q3634" i="2"/>
  <c r="Q3638" i="2"/>
  <c r="Q3642" i="2"/>
  <c r="Q3646" i="2"/>
  <c r="Q3650" i="2"/>
  <c r="Q3654" i="2"/>
  <c r="Q3658" i="2"/>
  <c r="Q3662" i="2"/>
  <c r="Q3666" i="2"/>
  <c r="Q3670" i="2"/>
  <c r="Q3674" i="2"/>
  <c r="Q3678" i="2"/>
  <c r="Q3682" i="2"/>
  <c r="Q3686" i="2"/>
  <c r="Q3690" i="2"/>
  <c r="Q3694" i="2"/>
  <c r="Q3698" i="2"/>
  <c r="Q3702" i="2"/>
  <c r="Q3706" i="2"/>
  <c r="Q3710" i="2"/>
  <c r="Q3714" i="2"/>
  <c r="Q3718" i="2"/>
  <c r="Q3722" i="2"/>
  <c r="Q3726" i="2"/>
  <c r="Q3730" i="2"/>
  <c r="Q3734" i="2"/>
  <c r="Q3738" i="2"/>
  <c r="Q3742" i="2"/>
  <c r="Q3746" i="2"/>
  <c r="Q3750" i="2"/>
  <c r="Q3754" i="2"/>
  <c r="Q3758" i="2"/>
  <c r="Q3762" i="2"/>
  <c r="Q3766" i="2"/>
  <c r="Q3770" i="2"/>
  <c r="Q3774" i="2"/>
  <c r="Q3778" i="2"/>
  <c r="Q3782" i="2"/>
  <c r="Q3786" i="2"/>
  <c r="Q3790" i="2"/>
  <c r="Q3794" i="2"/>
  <c r="Q3798" i="2"/>
  <c r="Q3802" i="2"/>
  <c r="Q3806" i="2"/>
  <c r="Q3810" i="2"/>
  <c r="Q3814" i="2"/>
  <c r="Q3818" i="2"/>
  <c r="Q3822" i="2"/>
  <c r="Q3826" i="2"/>
  <c r="Q3830" i="2"/>
  <c r="Q3834" i="2"/>
  <c r="Q3152" i="2"/>
  <c r="Q3160" i="2"/>
  <c r="Q3167" i="2"/>
  <c r="Q3171" i="2"/>
  <c r="Q3175" i="2"/>
  <c r="Q3179" i="2"/>
  <c r="Q3183" i="2"/>
  <c r="Q3187" i="2"/>
  <c r="Q3191" i="2"/>
  <c r="Q3195" i="2"/>
  <c r="Q3199" i="2"/>
  <c r="Q3203" i="2"/>
  <c r="Q3207" i="2"/>
  <c r="Q3211" i="2"/>
  <c r="Q3215" i="2"/>
  <c r="Q3219" i="2"/>
  <c r="Q3223" i="2"/>
  <c r="Q3227" i="2"/>
  <c r="Q3231" i="2"/>
  <c r="Q3235" i="2"/>
  <c r="Q3239" i="2"/>
  <c r="Q3243" i="2"/>
  <c r="Q3247" i="2"/>
  <c r="Q3251" i="2"/>
  <c r="Q3255" i="2"/>
  <c r="Q3259" i="2"/>
  <c r="Q3263" i="2"/>
  <c r="Q3267" i="2"/>
  <c r="Q3271" i="2"/>
  <c r="Q3275" i="2"/>
  <c r="Q3279" i="2"/>
  <c r="Q3283" i="2"/>
  <c r="Q3287" i="2"/>
  <c r="Q3291" i="2"/>
  <c r="Q3295" i="2"/>
  <c r="Q3299" i="2"/>
  <c r="Q3303" i="2"/>
  <c r="Q3307" i="2"/>
  <c r="Q3311" i="2"/>
  <c r="Q3315" i="2"/>
  <c r="Q3319" i="2"/>
  <c r="Q3323" i="2"/>
  <c r="Q3327" i="2"/>
  <c r="Q3331" i="2"/>
  <c r="Q3335" i="2"/>
  <c r="Q3339" i="2"/>
  <c r="Q3343" i="2"/>
  <c r="Q3347" i="2"/>
  <c r="Q3351" i="2"/>
  <c r="Q3355" i="2"/>
  <c r="Q3359" i="2"/>
  <c r="Q3363" i="2"/>
  <c r="Q3367" i="2"/>
  <c r="Q3371" i="2"/>
  <c r="Q3375" i="2"/>
  <c r="Q3379" i="2"/>
  <c r="Q3383" i="2"/>
  <c r="Q3387" i="2"/>
  <c r="Q3391" i="2"/>
  <c r="Q3395" i="2"/>
  <c r="Q3399" i="2"/>
  <c r="Q3403" i="2"/>
  <c r="Q3407" i="2"/>
  <c r="Q3411" i="2"/>
  <c r="Q3415" i="2"/>
  <c r="Q3419" i="2"/>
  <c r="Q3423" i="2"/>
  <c r="Q3427" i="2"/>
  <c r="Q3431" i="2"/>
  <c r="Q3435" i="2"/>
  <c r="Q3439" i="2"/>
  <c r="Q3443" i="2"/>
  <c r="Q3447" i="2"/>
  <c r="Q3451" i="2"/>
  <c r="Q3455" i="2"/>
  <c r="Q3459" i="2"/>
  <c r="Q3463" i="2"/>
  <c r="Q3467" i="2"/>
  <c r="Q3471" i="2"/>
  <c r="Q3475" i="2"/>
  <c r="Q3479" i="2"/>
  <c r="Q3483" i="2"/>
  <c r="Q3487" i="2"/>
  <c r="Q3491" i="2"/>
  <c r="Q3495" i="2"/>
  <c r="Q3499" i="2"/>
  <c r="Q3503" i="2"/>
  <c r="Q3507" i="2"/>
  <c r="Q3511" i="2"/>
  <c r="Q3515" i="2"/>
  <c r="Q3519" i="2"/>
  <c r="Q3523" i="2"/>
  <c r="Q3527" i="2"/>
  <c r="Q3531" i="2"/>
  <c r="Q3535" i="2"/>
  <c r="Q3539" i="2"/>
  <c r="Q3543" i="2"/>
  <c r="Q3547" i="2"/>
  <c r="Q3551" i="2"/>
  <c r="Q3555" i="2"/>
  <c r="Q3559" i="2"/>
  <c r="Q3563" i="2"/>
  <c r="Q3567" i="2"/>
  <c r="Q3571" i="2"/>
  <c r="Q3575" i="2"/>
  <c r="Q3579" i="2"/>
  <c r="Q3583" i="2"/>
  <c r="Q3587" i="2"/>
  <c r="Q3591" i="2"/>
  <c r="Q3595" i="2"/>
  <c r="Q3599" i="2"/>
  <c r="Q3603" i="2"/>
  <c r="Q3607" i="2"/>
  <c r="Q3611" i="2"/>
  <c r="Q3615" i="2"/>
  <c r="Q3619" i="2"/>
  <c r="Q3623" i="2"/>
  <c r="Q3627" i="2"/>
  <c r="Q3631" i="2"/>
  <c r="Q3635" i="2"/>
  <c r="Q3639" i="2"/>
  <c r="Q3643" i="2"/>
  <c r="Q3647" i="2"/>
  <c r="Q3651" i="2"/>
  <c r="Q3655" i="2"/>
  <c r="Q3659" i="2"/>
  <c r="Q3663" i="2"/>
  <c r="Q3667" i="2"/>
  <c r="Q3671" i="2"/>
  <c r="Q3675" i="2"/>
  <c r="Q3679" i="2"/>
  <c r="Q3683" i="2"/>
  <c r="Q3687" i="2"/>
  <c r="Q3691" i="2"/>
  <c r="Q3695" i="2"/>
  <c r="Q3699" i="2"/>
  <c r="Q3703" i="2"/>
  <c r="Q3707" i="2"/>
  <c r="Q3711" i="2"/>
  <c r="Q3715" i="2"/>
  <c r="Q3719" i="2"/>
  <c r="Q3723" i="2"/>
  <c r="Q3727" i="2"/>
  <c r="Q3731" i="2"/>
  <c r="Q3735" i="2"/>
  <c r="Q3739" i="2"/>
  <c r="Q3743" i="2"/>
  <c r="Q3747" i="2"/>
  <c r="Q3751" i="2"/>
  <c r="Q3755" i="2"/>
  <c r="Q3759" i="2"/>
  <c r="Q3763" i="2"/>
  <c r="Q3767" i="2"/>
  <c r="Q3771" i="2"/>
  <c r="Q3775" i="2"/>
  <c r="Q3779" i="2"/>
  <c r="Q3783" i="2"/>
  <c r="Q3787" i="2"/>
  <c r="Q3791" i="2"/>
  <c r="Q3795" i="2"/>
  <c r="Q3799" i="2"/>
  <c r="Q3803" i="2"/>
  <c r="Q3807" i="2"/>
  <c r="Q3811" i="2"/>
  <c r="Q3815" i="2"/>
  <c r="Q3819" i="2"/>
  <c r="Q3823" i="2"/>
  <c r="Q3827" i="2"/>
  <c r="Q3831" i="2"/>
  <c r="Q3835" i="2"/>
  <c r="Q3839" i="2"/>
  <c r="Q3843" i="2"/>
  <c r="Q3847" i="2"/>
  <c r="Q3851" i="2"/>
  <c r="Q3855" i="2"/>
  <c r="Q3859" i="2"/>
  <c r="Q3863" i="2"/>
  <c r="Q3867" i="2"/>
  <c r="Q3871" i="2"/>
  <c r="Q3875" i="2"/>
  <c r="Q3879" i="2"/>
  <c r="Q3883" i="2"/>
  <c r="Q3887" i="2"/>
  <c r="Q3891" i="2"/>
  <c r="Q3895" i="2"/>
  <c r="Q3899" i="2"/>
  <c r="Q3903" i="2"/>
  <c r="Q3907" i="2"/>
  <c r="Q3911" i="2"/>
  <c r="Q3915" i="2"/>
  <c r="Q3919" i="2"/>
  <c r="Q3155" i="2"/>
  <c r="Q3163" i="2"/>
  <c r="Q3168" i="2"/>
  <c r="Q3172" i="2"/>
  <c r="Q3176" i="2"/>
  <c r="Q3180" i="2"/>
  <c r="Q3184" i="2"/>
  <c r="Q3188" i="2"/>
  <c r="Q3192" i="2"/>
  <c r="Q3196" i="2"/>
  <c r="Q3200" i="2"/>
  <c r="Q3204" i="2"/>
  <c r="Q3208" i="2"/>
  <c r="Q3212" i="2"/>
  <c r="Q3216" i="2"/>
  <c r="Q3220" i="2"/>
  <c r="Q3224" i="2"/>
  <c r="Q3228" i="2"/>
  <c r="Q3232" i="2"/>
  <c r="Q3236" i="2"/>
  <c r="Q3240" i="2"/>
  <c r="Q3244" i="2"/>
  <c r="Q3248" i="2"/>
  <c r="Q3252" i="2"/>
  <c r="Q3256" i="2"/>
  <c r="Q3260" i="2"/>
  <c r="Q3264" i="2"/>
  <c r="Q3268" i="2"/>
  <c r="Q3272" i="2"/>
  <c r="Q3276" i="2"/>
  <c r="Q3280" i="2"/>
  <c r="Q3284" i="2"/>
  <c r="Q3288" i="2"/>
  <c r="Q3292" i="2"/>
  <c r="Q3296" i="2"/>
  <c r="Q3300" i="2"/>
  <c r="Q3304" i="2"/>
  <c r="Q3308" i="2"/>
  <c r="Q3312" i="2"/>
  <c r="Q3316" i="2"/>
  <c r="Q3320" i="2"/>
  <c r="Q3324" i="2"/>
  <c r="Q3328" i="2"/>
  <c r="Q3332" i="2"/>
  <c r="Q3336" i="2"/>
  <c r="Q3340" i="2"/>
  <c r="Q3344" i="2"/>
  <c r="Q3348" i="2"/>
  <c r="Q3352" i="2"/>
  <c r="Q3356" i="2"/>
  <c r="Q3360" i="2"/>
  <c r="Q3364" i="2"/>
  <c r="Q3368" i="2"/>
  <c r="Q3372" i="2"/>
  <c r="Q3376" i="2"/>
  <c r="Q3380" i="2"/>
  <c r="Q3384" i="2"/>
  <c r="Q3388" i="2"/>
  <c r="Q3392" i="2"/>
  <c r="Q3396" i="2"/>
  <c r="Q3400" i="2"/>
  <c r="Q3404" i="2"/>
  <c r="Q3408" i="2"/>
  <c r="Q3412" i="2"/>
  <c r="Q3416" i="2"/>
  <c r="Q3420" i="2"/>
  <c r="Q3424" i="2"/>
  <c r="Q3428" i="2"/>
  <c r="Q3432" i="2"/>
  <c r="Q3436" i="2"/>
  <c r="Q3440" i="2"/>
  <c r="Q3444" i="2"/>
  <c r="Q3448" i="2"/>
  <c r="Q3452" i="2"/>
  <c r="Q3456" i="2"/>
  <c r="Q3460" i="2"/>
  <c r="Q3464" i="2"/>
  <c r="Q3468" i="2"/>
  <c r="Q3472" i="2"/>
  <c r="Q3476" i="2"/>
  <c r="Q3480" i="2"/>
  <c r="Q3484" i="2"/>
  <c r="Q3488" i="2"/>
  <c r="Q3492" i="2"/>
  <c r="Q3496" i="2"/>
  <c r="Q3500" i="2"/>
  <c r="Q3504" i="2"/>
  <c r="Q3508" i="2"/>
  <c r="Q3512" i="2"/>
  <c r="Q3516" i="2"/>
  <c r="Q3520" i="2"/>
  <c r="Q3524" i="2"/>
  <c r="Q3528" i="2"/>
  <c r="Q3532" i="2"/>
  <c r="Q3536" i="2"/>
  <c r="Q3540" i="2"/>
  <c r="Q3544" i="2"/>
  <c r="Q3548" i="2"/>
  <c r="Q3552" i="2"/>
  <c r="Q3556" i="2"/>
  <c r="Q3560" i="2"/>
  <c r="Q3564" i="2"/>
  <c r="Q3568" i="2"/>
  <c r="Q3572" i="2"/>
  <c r="Q3576" i="2"/>
  <c r="Q3580" i="2"/>
  <c r="Q3584" i="2"/>
  <c r="Q3588" i="2"/>
  <c r="Q3592" i="2"/>
  <c r="Q3596" i="2"/>
  <c r="Q3600" i="2"/>
  <c r="Q3604" i="2"/>
  <c r="Q3608" i="2"/>
  <c r="Q3612" i="2"/>
  <c r="Q3616" i="2"/>
  <c r="Q3620" i="2"/>
  <c r="Q3624" i="2"/>
  <c r="Q3628" i="2"/>
  <c r="Q3632" i="2"/>
  <c r="Q3636" i="2"/>
  <c r="Q3640" i="2"/>
  <c r="Q3644" i="2"/>
  <c r="Q3648" i="2"/>
  <c r="Q3652" i="2"/>
  <c r="Q3656" i="2"/>
  <c r="Q3660" i="2"/>
  <c r="Q3664" i="2"/>
  <c r="Q3668" i="2"/>
  <c r="Q3672" i="2"/>
  <c r="Q3676" i="2"/>
  <c r="Q3680" i="2"/>
  <c r="Q3684" i="2"/>
  <c r="Q3688" i="2"/>
  <c r="Q3692" i="2"/>
  <c r="Q3696" i="2"/>
  <c r="Q3700" i="2"/>
  <c r="Q3704" i="2"/>
  <c r="Q3708" i="2"/>
  <c r="Q3712" i="2"/>
  <c r="Q3716" i="2"/>
  <c r="Q3720" i="2"/>
  <c r="Q3724" i="2"/>
  <c r="Q3728" i="2"/>
  <c r="Q3732" i="2"/>
  <c r="Q3736" i="2"/>
  <c r="Q3740" i="2"/>
  <c r="Q3744" i="2"/>
  <c r="Q3748" i="2"/>
  <c r="Q3752" i="2"/>
  <c r="Q3756" i="2"/>
  <c r="Q3760" i="2"/>
  <c r="Q3764" i="2"/>
  <c r="Q3768" i="2"/>
  <c r="Q3772" i="2"/>
  <c r="Q3776" i="2"/>
  <c r="Q3780" i="2"/>
  <c r="Q3784" i="2"/>
  <c r="Q3788" i="2"/>
  <c r="Q3792" i="2"/>
  <c r="Q3796" i="2"/>
  <c r="Q3800" i="2"/>
  <c r="Q3804" i="2"/>
  <c r="Q3808" i="2"/>
  <c r="Q3812" i="2"/>
  <c r="Q3816" i="2"/>
  <c r="Q3820" i="2"/>
  <c r="Q3824" i="2"/>
  <c r="Q3828" i="2"/>
  <c r="Q3832" i="2"/>
  <c r="Q3836" i="2"/>
  <c r="Q3838" i="2"/>
  <c r="Q3846" i="2"/>
  <c r="Q3854" i="2"/>
  <c r="Q3862" i="2"/>
  <c r="Q3870" i="2"/>
  <c r="Q3878" i="2"/>
  <c r="Q3886" i="2"/>
  <c r="Q3894" i="2"/>
  <c r="Q3902" i="2"/>
  <c r="Q3910" i="2"/>
  <c r="Q3917" i="2"/>
  <c r="Q3922" i="2"/>
  <c r="Q3926" i="2"/>
  <c r="Q3930" i="2"/>
  <c r="Q3934" i="2"/>
  <c r="Q3938" i="2"/>
  <c r="Q3942" i="2"/>
  <c r="Q3946" i="2"/>
  <c r="Q3950" i="2"/>
  <c r="Q3954" i="2"/>
  <c r="Q3958" i="2"/>
  <c r="Q3962" i="2"/>
  <c r="Q3966" i="2"/>
  <c r="Q3970" i="2"/>
  <c r="Q3974" i="2"/>
  <c r="Q3978" i="2"/>
  <c r="Q3982" i="2"/>
  <c r="Q3986" i="2"/>
  <c r="Q3990" i="2"/>
  <c r="Q3994" i="2"/>
  <c r="Q3998" i="2"/>
  <c r="Q4002" i="2"/>
  <c r="Q7" i="2"/>
  <c r="Q11" i="2"/>
  <c r="Q15" i="2"/>
  <c r="Q19" i="2"/>
  <c r="Q3840" i="2"/>
  <c r="Q3848" i="2"/>
  <c r="Q3856" i="2"/>
  <c r="Q3864" i="2"/>
  <c r="Q3872" i="2"/>
  <c r="Q3880" i="2"/>
  <c r="Q3888" i="2"/>
  <c r="Q3896" i="2"/>
  <c r="Q3904" i="2"/>
  <c r="Q3912" i="2"/>
  <c r="Q3918" i="2"/>
  <c r="Q3923" i="2"/>
  <c r="Q3927" i="2"/>
  <c r="Q3931" i="2"/>
  <c r="Q3935" i="2"/>
  <c r="Q3939" i="2"/>
  <c r="Q3943" i="2"/>
  <c r="Q3947" i="2"/>
  <c r="Q3951" i="2"/>
  <c r="Q3955" i="2"/>
  <c r="Q3959" i="2"/>
  <c r="Q3963" i="2"/>
  <c r="Q3967" i="2"/>
  <c r="Q3971" i="2"/>
  <c r="Q3975" i="2"/>
  <c r="Q3979" i="2"/>
  <c r="Q3983" i="2"/>
  <c r="Q3987" i="2"/>
  <c r="Q3991" i="2"/>
  <c r="Q3995" i="2"/>
  <c r="Q3999" i="2"/>
  <c r="Q4003" i="2"/>
  <c r="Q8" i="2"/>
  <c r="Q12" i="2"/>
  <c r="Q16" i="2"/>
  <c r="Q20" i="2"/>
  <c r="Q3842" i="2"/>
  <c r="Q3850" i="2"/>
  <c r="Q3858" i="2"/>
  <c r="Q3866" i="2"/>
  <c r="Q3874" i="2"/>
  <c r="Q3882" i="2"/>
  <c r="Q3890" i="2"/>
  <c r="Q3898" i="2"/>
  <c r="Q3906" i="2"/>
  <c r="Q3914" i="2"/>
  <c r="Q3920" i="2"/>
  <c r="Q3924" i="2"/>
  <c r="Q3928" i="2"/>
  <c r="Q3932" i="2"/>
  <c r="Q3936" i="2"/>
  <c r="Q3940" i="2"/>
  <c r="Q3944" i="2"/>
  <c r="Q3948" i="2"/>
  <c r="Q3952" i="2"/>
  <c r="Q3956" i="2"/>
  <c r="Q3960" i="2"/>
  <c r="Q3964" i="2"/>
  <c r="Q3968" i="2"/>
  <c r="Q3972" i="2"/>
  <c r="Q3976" i="2"/>
  <c r="Q3980" i="2"/>
  <c r="Q3984" i="2"/>
  <c r="Q3988" i="2"/>
  <c r="Q3992" i="2"/>
  <c r="Q3996" i="2"/>
  <c r="Q4000" i="2"/>
  <c r="Q4004" i="2"/>
  <c r="Q9" i="2"/>
  <c r="Q13" i="2"/>
  <c r="Q17" i="2"/>
  <c r="Q6" i="2"/>
  <c r="Q3844" i="2"/>
  <c r="Q3852" i="2"/>
  <c r="Q3860" i="2"/>
  <c r="Q3868" i="2"/>
  <c r="Q3876" i="2"/>
  <c r="Q3884" i="2"/>
  <c r="Q3892" i="2"/>
  <c r="Q3900" i="2"/>
  <c r="Q3908" i="2"/>
  <c r="Q3916" i="2"/>
  <c r="Q3921" i="2"/>
  <c r="Q3925" i="2"/>
  <c r="Q3929" i="2"/>
  <c r="Q3933" i="2"/>
  <c r="Q3937" i="2"/>
  <c r="Q3941" i="2"/>
  <c r="Q3945" i="2"/>
  <c r="Q3949" i="2"/>
  <c r="Q3953" i="2"/>
  <c r="Q3957" i="2"/>
  <c r="Q3961" i="2"/>
  <c r="Q3965" i="2"/>
  <c r="Q3969" i="2"/>
  <c r="Q3973" i="2"/>
  <c r="Q3977" i="2"/>
  <c r="Q3981" i="2"/>
  <c r="Q3985" i="2"/>
  <c r="Q3989" i="2"/>
  <c r="Q3993" i="2"/>
  <c r="Q3997" i="2"/>
  <c r="Q4001" i="2"/>
  <c r="Q4005" i="2"/>
  <c r="Q10" i="2"/>
  <c r="Q14" i="2"/>
  <c r="Q18" i="2"/>
  <c r="AW21" i="2" l="1"/>
  <c r="AW22" i="2"/>
  <c r="AW23" i="2" s="1"/>
  <c r="AV19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2" i="1"/>
  <c r="AW24" i="2" l="1"/>
  <c r="AW25" i="2"/>
  <c r="AW26" i="2" s="1"/>
  <c r="AW27" i="2" s="1"/>
  <c r="AW28" i="2" s="1"/>
  <c r="AW29" i="2" s="1"/>
  <c r="AW30" i="2" s="1"/>
  <c r="AV20" i="2"/>
  <c r="AV21" i="2"/>
  <c r="AV22" i="2" s="1"/>
  <c r="AV23" i="2" l="1"/>
  <c r="AV24" i="2" s="1"/>
  <c r="AV25" i="2" s="1"/>
  <c r="AV26" i="2" s="1"/>
  <c r="AV27" i="2" s="1"/>
  <c r="AV28" i="2" s="1"/>
  <c r="AV29" i="2" s="1"/>
  <c r="AV30" i="2" s="1"/>
</calcChain>
</file>

<file path=xl/comments1.xml><?xml version="1.0" encoding="utf-8"?>
<comments xmlns="http://schemas.openxmlformats.org/spreadsheetml/2006/main">
  <authors>
    <author>Emrah Ozpeynirci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Emrah Ozpeynirci:</t>
        </r>
        <r>
          <rPr>
            <sz val="9"/>
            <color indexed="81"/>
            <rFont val="Tahoma"/>
            <charset val="1"/>
          </rPr>
          <t xml:space="preserve">
LOGIT function requires the input data to be organized in coulumns , not in rows. This is standard for the estimation of scoring models.
The LOGIT function maximizes the log likelihood by setting its first derivative to zero, and uses Newton's method.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pulling extreme values to less extereme. A specific winsorization level of alpha or, values below the alpha - percentile of variable's distribution are set equal to the alpha - percentile. Common values for alpha are 0.5%, 1%, 2% or 5%</t>
        </r>
      </text>
    </comment>
    <comment ref="AJ3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the maximum condition pulls low values up, while the minimum function pulls large values down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Working Capital / Total Assets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Retained Earnings / Total Assets 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Earnings Before Interest and Taxes / Total Assets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Market Value of Equity / Total Liabilities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Sales / Total Assets
</t>
        </r>
      </text>
    </comment>
    <comment ref="I7" authorId="0" shapeId="0">
      <text>
        <r>
          <rPr>
            <b/>
            <sz val="9"/>
            <color indexed="81"/>
            <rFont val="Tahoma"/>
            <charset val="1"/>
          </rPr>
          <t>Emrah Ozpeynirci:</t>
        </r>
        <r>
          <rPr>
            <sz val="9"/>
            <color indexed="81"/>
            <rFont val="Tahoma"/>
            <charset val="1"/>
          </rPr>
          <t xml:space="preserve">
estimated standard error of the coefficient</t>
        </r>
      </text>
    </comment>
    <comment ref="I8" authorId="0" shapeId="0">
      <text>
        <r>
          <rPr>
            <b/>
            <sz val="9"/>
            <color indexed="81"/>
            <rFont val="Tahoma"/>
            <charset val="1"/>
          </rPr>
          <t>Emrah Ozpeynirci:</t>
        </r>
        <r>
          <rPr>
            <sz val="9"/>
            <color indexed="81"/>
            <rFont val="Tahoma"/>
            <charset val="1"/>
          </rPr>
          <t xml:space="preserve">
To assess whether a variable helps explain the default event ot not, we examine t-ratio for the hypothesis that the variable's coefficient is zero.
Tj = bj / SE(bj)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3 of the 5 ratios have coefficients b that are significant on the 1% level or better. Ie. their p-value is below 0.01.
Each of the 3 variables has a negative coefficient , this means that increasing values of the variables reduce default probability. This is what we would expect: by economic reasoning, retained earnings , EBIT and market value of equity over liabilities should be inversely related to default probabilities. The constant is also highly significant. 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remove all variables that are not significant on a 5% level or better</t>
        </r>
      </text>
    </comment>
    <comment ref="J10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Knowing that the model does predit defaults , we would like to know how well it does so.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LR test implies that the logit regression is highly significant. The hypothesis ' the five ratios add nothing to the prediction' can be rejected with high confidence.</t>
        </r>
      </text>
    </comment>
    <comment ref="S16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manually stated</t>
        </r>
      </text>
    </comment>
    <comment ref="W17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if the firm manages to increase its profitability EBIT/TA from -2% to 8%, its default probability will move from 1.91% to 0.87%.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Emrah Ozpeynirci:</t>
        </r>
        <r>
          <rPr>
            <sz val="9"/>
            <color indexed="81"/>
            <rFont val="Tahoma"/>
            <charset val="1"/>
          </rPr>
          <t xml:space="preserve">
estimated standard error of the coefficient</t>
        </r>
      </text>
    </comment>
    <comment ref="I19" authorId="0" shapeId="0">
      <text>
        <r>
          <rPr>
            <b/>
            <sz val="9"/>
            <color indexed="81"/>
            <rFont val="Tahoma"/>
            <charset val="1"/>
          </rPr>
          <t>Emrah Ozpeynirci:</t>
        </r>
        <r>
          <rPr>
            <sz val="9"/>
            <color indexed="81"/>
            <rFont val="Tahoma"/>
            <charset val="1"/>
          </rPr>
          <t xml:space="preserve">
To assess whether a variable helps explain the default event ot not, we examine t-ratio for the hypothesis that the variable's coefficient is zero.
Tj = bj / SE(bj)</t>
        </r>
      </text>
    </comment>
    <comment ref="I20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3 of the 5 ratios have coefficients b that are significant on the 1% level or better. Ie. their p-value is below 0.01.
Each of the 3 variables has a negative coefficient , this means that increasing values of the variables reduce default probability. This is what we would expect: by economic reasoning, retained earnings , EBIT and market value of equity over liabilities should be inversely related to default probabilities. The constant is also highly significant. </t>
        </r>
      </text>
    </comment>
    <comment ref="J21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Knowing that the model does predit defaults , we would like to know how well it does so. </t>
        </r>
      </text>
    </comment>
    <comment ref="J22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LR test implies that the logit regression is highly significant. The hypothesis ' the five ratios add nothing to the prediction' can be rejected with high confidence.</t>
        </r>
      </text>
    </comment>
    <comment ref="I30" authorId="0" shapeId="0">
      <text>
        <r>
          <rPr>
            <b/>
            <sz val="9"/>
            <color indexed="81"/>
            <rFont val="Tahoma"/>
            <charset val="1"/>
          </rPr>
          <t>Emrah Ozpeynirci:</t>
        </r>
        <r>
          <rPr>
            <sz val="9"/>
            <color indexed="81"/>
            <rFont val="Tahoma"/>
            <charset val="1"/>
          </rPr>
          <t xml:space="preserve">
this means, if we add the two variables WC/TA and S/TA to model 2  there is a probability of 18.39% that we do not add explanatory power. LR test thus confirms the results of the individual tests; individually and jointly, the two variables would be considered only marginally significant.</t>
        </r>
      </text>
    </comment>
  </commentList>
</comments>
</file>

<file path=xl/sharedStrings.xml><?xml version="1.0" encoding="utf-8"?>
<sst xmlns="http://schemas.openxmlformats.org/spreadsheetml/2006/main" count="98" uniqueCount="64">
  <si>
    <t>score</t>
  </si>
  <si>
    <t>prob(default)</t>
  </si>
  <si>
    <t>scores and default probabilities in the logit model</t>
  </si>
  <si>
    <t>Application of LOGIT command to a data set with information on defaults and five financial ratios</t>
  </si>
  <si>
    <t>Firm ID</t>
  </si>
  <si>
    <t>Year</t>
  </si>
  <si>
    <t>Default</t>
  </si>
  <si>
    <t>WC/TA</t>
  </si>
  <si>
    <t>RE/TA</t>
  </si>
  <si>
    <t>EBIT/TA</t>
  </si>
  <si>
    <t>ME/TL</t>
  </si>
  <si>
    <t>S/TA</t>
  </si>
  <si>
    <t>CONST</t>
  </si>
  <si>
    <t>b</t>
  </si>
  <si>
    <t>SE(b)</t>
  </si>
  <si>
    <t xml:space="preserve">t </t>
  </si>
  <si>
    <t>p-value</t>
  </si>
  <si>
    <t>Pseudo R² / # iter</t>
  </si>
  <si>
    <t>LR-test / p-value</t>
  </si>
  <si>
    <t>lnL / lnL0</t>
  </si>
  <si>
    <t>Model 1</t>
  </si>
  <si>
    <t>Factors</t>
  </si>
  <si>
    <t>Default Probability</t>
  </si>
  <si>
    <t>Model 2</t>
  </si>
  <si>
    <t>Likelihood ratio tests</t>
  </si>
  <si>
    <t>LR</t>
  </si>
  <si>
    <t>degrees of Freedom (DF)</t>
  </si>
  <si>
    <t xml:space="preserve">Scenario Analysis </t>
  </si>
  <si>
    <t>How  default probability changes with changes in explanatory variables</t>
  </si>
  <si>
    <t>Estimated Model</t>
  </si>
  <si>
    <t>Coefficients</t>
  </si>
  <si>
    <t>Data for Borrower under analysis</t>
  </si>
  <si>
    <t>Ratio Values</t>
  </si>
  <si>
    <t>Scenario Analysis: Default prob's for c.p. changes of individual variables</t>
  </si>
  <si>
    <t>Scenario values for variables</t>
  </si>
  <si>
    <t>better</t>
  </si>
  <si>
    <t>worse</t>
  </si>
  <si>
    <t>Scenario default probability</t>
  </si>
  <si>
    <t>Treating Outliers in input variables</t>
  </si>
  <si>
    <t>Descriptive Statistics for the explanatory variables in the logit model</t>
  </si>
  <si>
    <t>Average</t>
  </si>
  <si>
    <t>Median</t>
  </si>
  <si>
    <t>Stdev</t>
  </si>
  <si>
    <t>Skewness</t>
  </si>
  <si>
    <t>Kurtosis</t>
  </si>
  <si>
    <t>Extreme values / Percentiles</t>
  </si>
  <si>
    <t>Min</t>
  </si>
  <si>
    <t>Max</t>
  </si>
  <si>
    <t>Winsorization</t>
  </si>
  <si>
    <t>WC/TA (winsorized)</t>
  </si>
  <si>
    <t>level</t>
  </si>
  <si>
    <t>lower bound</t>
  </si>
  <si>
    <t>upper bound</t>
  </si>
  <si>
    <t>using VBA function WINSOR</t>
  </si>
  <si>
    <t>Finding appropriate representations for variables where we suspect thata linear relation is not sufficient.</t>
  </si>
  <si>
    <t>One way is to examine the relationships between default rates and explanatory varibales saperately for each variable.</t>
  </si>
  <si>
    <t>We can classify the variables into rangesand then examine the average default rate within a single range</t>
  </si>
  <si>
    <t>Default rate for percentiles of ME/TL</t>
  </si>
  <si>
    <t>Number of ranges</t>
  </si>
  <si>
    <t>alpha</t>
  </si>
  <si>
    <t>Range bound</t>
  </si>
  <si>
    <t>defaults</t>
  </si>
  <si>
    <t>obs</t>
  </si>
  <si>
    <t>default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</si>
</sst>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7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2" applyNumberFormat="0" applyAlignment="0" applyProtection="0"/>
  </cellStyleXfs>
  <cellXfs count="32">
    <xf numFmtId="0" fontId="0" fillId="0" borderId="0" xfId="0"/>
    <xf numFmtId="9" fontId="0" fillId="0" borderId="0" xfId="1" applyFont="1"/>
    <xf numFmtId="10" fontId="0" fillId="0" borderId="0" xfId="1" applyNumberFormat="1" applyFont="1"/>
    <xf numFmtId="0" fontId="3" fillId="3" borderId="0" xfId="3"/>
    <xf numFmtId="0" fontId="2" fillId="2" borderId="0" xfId="2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4" fillId="4" borderId="1" xfId="4"/>
    <xf numFmtId="0" fontId="11" fillId="0" borderId="0" xfId="0" applyFont="1" applyAlignment="1">
      <alignment horizontal="center" vertical="center" wrapText="1"/>
    </xf>
    <xf numFmtId="10" fontId="12" fillId="0" borderId="0" xfId="1" applyNumberFormat="1" applyFon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right" indent="1"/>
    </xf>
    <xf numFmtId="0" fontId="5" fillId="5" borderId="2" xfId="5" applyBorder="1"/>
    <xf numFmtId="0" fontId="5" fillId="5" borderId="8" xfId="5" applyBorder="1"/>
    <xf numFmtId="11" fontId="5" fillId="5" borderId="2" xfId="5" applyNumberFormat="1" applyBorder="1"/>
    <xf numFmtId="0" fontId="0" fillId="0" borderId="9" xfId="0" applyBorder="1" applyAlignment="1">
      <alignment horizontal="right" indent="1"/>
    </xf>
    <xf numFmtId="0" fontId="5" fillId="5" borderId="10" xfId="5" applyBorder="1"/>
    <xf numFmtId="0" fontId="5" fillId="5" borderId="11" xfId="5" applyBorder="1"/>
    <xf numFmtId="0" fontId="0" fillId="0" borderId="0" xfId="0" applyAlignment="1">
      <alignment horizontal="right"/>
    </xf>
    <xf numFmtId="0" fontId="13" fillId="5" borderId="2" xfId="5" applyFont="1" applyBorder="1"/>
    <xf numFmtId="0" fontId="13" fillId="5" borderId="8" xfId="5" applyFont="1" applyBorder="1"/>
    <xf numFmtId="0" fontId="6" fillId="0" borderId="0" xfId="0" applyFont="1"/>
    <xf numFmtId="10" fontId="0" fillId="6" borderId="0" xfId="1" applyNumberFormat="1" applyFont="1" applyFill="1"/>
    <xf numFmtId="10" fontId="0" fillId="0" borderId="0" xfId="0" applyNumberFormat="1"/>
    <xf numFmtId="9" fontId="0" fillId="0" borderId="0" xfId="0" applyNumberFormat="1"/>
    <xf numFmtId="2" fontId="0" fillId="0" borderId="0" xfId="0" applyNumberFormat="1"/>
  </cellXfs>
  <cellStyles count="6">
    <cellStyle name="Bad" xfId="3" builtinId="27"/>
    <cellStyle name="Good" xfId="2" builtinId="26"/>
    <cellStyle name="Input" xfId="4" builtinId="20"/>
    <cellStyle name="Normal" xfId="0" builtinId="0"/>
    <cellStyle name="Output" xfId="5" builtinId="21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'logit model'!$B$1</c:f>
              <c:strCache>
                <c:ptCount val="1"/>
                <c:pt idx="0">
                  <c:v>prob(default)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'logit model'!$A$2:$A$18</c:f>
              <c:numCache>
                <c:formatCode>General</c:formatCode>
                <c:ptCount val="17"/>
                <c:pt idx="0">
                  <c:v>-8</c:v>
                </c:pt>
                <c:pt idx="1">
                  <c:v>-7</c:v>
                </c:pt>
                <c:pt idx="2">
                  <c:v>-6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</c:numCache>
            </c:numRef>
          </c:cat>
          <c:val>
            <c:numRef>
              <c:f>'logit model'!$B$2:$B$18</c:f>
              <c:numCache>
                <c:formatCode>0.00%</c:formatCode>
                <c:ptCount val="17"/>
                <c:pt idx="0">
                  <c:v>3.3535013046647811E-4</c:v>
                </c:pt>
                <c:pt idx="1">
                  <c:v>9.1105119440064539E-4</c:v>
                </c:pt>
                <c:pt idx="2">
                  <c:v>2.4726231566347743E-3</c:v>
                </c:pt>
                <c:pt idx="3">
                  <c:v>6.6928509242848554E-3</c:v>
                </c:pt>
                <c:pt idx="4">
                  <c:v>1.7986209962091559E-2</c:v>
                </c:pt>
                <c:pt idx="5">
                  <c:v>4.7425873177566781E-2</c:v>
                </c:pt>
                <c:pt idx="6">
                  <c:v>0.11920292202211755</c:v>
                </c:pt>
                <c:pt idx="7">
                  <c:v>0.2689414213699951</c:v>
                </c:pt>
                <c:pt idx="8">
                  <c:v>0.5</c:v>
                </c:pt>
                <c:pt idx="9">
                  <c:v>0.7310585786300049</c:v>
                </c:pt>
                <c:pt idx="10">
                  <c:v>0.88079707797788231</c:v>
                </c:pt>
                <c:pt idx="11">
                  <c:v>0.95257412682243336</c:v>
                </c:pt>
                <c:pt idx="12">
                  <c:v>0.98201379003790845</c:v>
                </c:pt>
                <c:pt idx="13">
                  <c:v>0.99330714907571527</c:v>
                </c:pt>
                <c:pt idx="14">
                  <c:v>0.99752737684336534</c:v>
                </c:pt>
                <c:pt idx="15">
                  <c:v>0.9990889488055994</c:v>
                </c:pt>
                <c:pt idx="16">
                  <c:v>0.99966464986953363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E-48E6-8B49-319CF3448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337776"/>
        <c:axId val="549336464"/>
      </c:lineChart>
      <c:catAx>
        <c:axId val="54933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36464"/>
        <c:crosses val="autoZero"/>
        <c:auto val="1"/>
        <c:lblAlgn val="ctr"/>
        <c:lblOffset val="100"/>
        <c:noMultiLvlLbl val="0"/>
      </c:catAx>
      <c:valAx>
        <c:axId val="5493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3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1</xdr:row>
      <xdr:rowOff>142875</xdr:rowOff>
    </xdr:from>
    <xdr:to>
      <xdr:col>10</xdr:col>
      <xdr:colOff>104775</xdr:colOff>
      <xdr:row>16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482E6C-588D-4550-A9C7-3C17F36F8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8"/>
  <sheetViews>
    <sheetView workbookViewId="0">
      <selection activeCell="O23" sqref="O23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-8</v>
      </c>
      <c r="B2" s="2">
        <f>1/(1+EXP(-A2))</f>
        <v>3.3535013046647811E-4</v>
      </c>
    </row>
    <row r="3" spans="1:2" x14ac:dyDescent="0.25">
      <c r="A3">
        <v>-7</v>
      </c>
      <c r="B3" s="2">
        <f t="shared" ref="B3:B18" si="0">1/(1+EXP(-A3))</f>
        <v>9.1105119440064539E-4</v>
      </c>
    </row>
    <row r="4" spans="1:2" x14ac:dyDescent="0.25">
      <c r="A4">
        <v>-6</v>
      </c>
      <c r="B4" s="2">
        <f t="shared" si="0"/>
        <v>2.4726231566347743E-3</v>
      </c>
    </row>
    <row r="5" spans="1:2" x14ac:dyDescent="0.25">
      <c r="A5">
        <v>-5</v>
      </c>
      <c r="B5" s="2">
        <f t="shared" si="0"/>
        <v>6.6928509242848554E-3</v>
      </c>
    </row>
    <row r="6" spans="1:2" x14ac:dyDescent="0.25">
      <c r="A6">
        <v>-4</v>
      </c>
      <c r="B6" s="2">
        <f t="shared" si="0"/>
        <v>1.7986209962091559E-2</v>
      </c>
    </row>
    <row r="7" spans="1:2" x14ac:dyDescent="0.25">
      <c r="A7">
        <v>-3</v>
      </c>
      <c r="B7" s="2">
        <f t="shared" si="0"/>
        <v>4.7425873177566781E-2</v>
      </c>
    </row>
    <row r="8" spans="1:2" x14ac:dyDescent="0.25">
      <c r="A8">
        <v>-2</v>
      </c>
      <c r="B8" s="2">
        <f t="shared" si="0"/>
        <v>0.11920292202211755</v>
      </c>
    </row>
    <row r="9" spans="1:2" x14ac:dyDescent="0.25">
      <c r="A9">
        <v>-1</v>
      </c>
      <c r="B9" s="2">
        <f t="shared" si="0"/>
        <v>0.2689414213699951</v>
      </c>
    </row>
    <row r="10" spans="1:2" x14ac:dyDescent="0.25">
      <c r="A10">
        <v>0</v>
      </c>
      <c r="B10" s="2">
        <f t="shared" si="0"/>
        <v>0.5</v>
      </c>
    </row>
    <row r="11" spans="1:2" x14ac:dyDescent="0.25">
      <c r="A11">
        <v>1</v>
      </c>
      <c r="B11" s="2">
        <f t="shared" si="0"/>
        <v>0.7310585786300049</v>
      </c>
    </row>
    <row r="12" spans="1:2" x14ac:dyDescent="0.25">
      <c r="A12">
        <v>2</v>
      </c>
      <c r="B12" s="2">
        <f t="shared" si="0"/>
        <v>0.88079707797788231</v>
      </c>
    </row>
    <row r="13" spans="1:2" x14ac:dyDescent="0.25">
      <c r="A13">
        <v>3</v>
      </c>
      <c r="B13" s="2">
        <f t="shared" si="0"/>
        <v>0.95257412682243336</v>
      </c>
    </row>
    <row r="14" spans="1:2" x14ac:dyDescent="0.25">
      <c r="A14">
        <v>4</v>
      </c>
      <c r="B14" s="2">
        <f t="shared" si="0"/>
        <v>0.98201379003790845</v>
      </c>
    </row>
    <row r="15" spans="1:2" x14ac:dyDescent="0.25">
      <c r="A15">
        <v>5</v>
      </c>
      <c r="B15" s="2">
        <f t="shared" si="0"/>
        <v>0.99330714907571527</v>
      </c>
    </row>
    <row r="16" spans="1:2" x14ac:dyDescent="0.25">
      <c r="A16">
        <v>6</v>
      </c>
      <c r="B16" s="2">
        <f t="shared" si="0"/>
        <v>0.99752737684336534</v>
      </c>
    </row>
    <row r="17" spans="1:4" x14ac:dyDescent="0.25">
      <c r="A17">
        <v>7</v>
      </c>
      <c r="B17" s="2">
        <f t="shared" si="0"/>
        <v>0.9990889488055994</v>
      </c>
    </row>
    <row r="18" spans="1:4" x14ac:dyDescent="0.25">
      <c r="A18">
        <v>8</v>
      </c>
      <c r="B18" s="2">
        <f t="shared" si="0"/>
        <v>0.99966464986953363</v>
      </c>
      <c r="D18" t="s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X4007"/>
  <sheetViews>
    <sheetView tabSelected="1" topLeftCell="AC4" workbookViewId="0">
      <selection activeCell="AF22" sqref="AF22"/>
    </sheetView>
  </sheetViews>
  <sheetFormatPr defaultRowHeight="15" x14ac:dyDescent="0.25"/>
  <cols>
    <col min="9" max="9" width="19.85546875" customWidth="1"/>
    <col min="10" max="11" width="9.28515625" bestFit="1" customWidth="1"/>
    <col min="12" max="12" width="12.5703125" bestFit="1" customWidth="1"/>
    <col min="13" max="13" width="9.28515625" bestFit="1" customWidth="1"/>
    <col min="14" max="14" width="12.5703125" bestFit="1" customWidth="1"/>
    <col min="15" max="15" width="9.28515625" bestFit="1" customWidth="1"/>
    <col min="17" max="17" width="11.7109375" customWidth="1"/>
    <col min="19" max="19" width="18.5703125" customWidth="1"/>
    <col min="28" max="28" width="11.42578125" customWidth="1"/>
    <col min="29" max="33" width="9.5703125" bestFit="1" customWidth="1"/>
    <col min="38" max="38" width="12.42578125" bestFit="1" customWidth="1"/>
  </cols>
  <sheetData>
    <row r="1" spans="1:50" x14ac:dyDescent="0.25">
      <c r="A1" s="3" t="s">
        <v>3</v>
      </c>
      <c r="B1" s="3"/>
      <c r="C1" s="3"/>
      <c r="D1" s="3"/>
      <c r="E1" s="3"/>
      <c r="F1" s="3"/>
      <c r="G1" s="3"/>
      <c r="H1" s="3"/>
      <c r="I1" s="3"/>
      <c r="J1" s="3"/>
      <c r="S1" s="3" t="s">
        <v>27</v>
      </c>
      <c r="AB1" s="3" t="s">
        <v>38</v>
      </c>
      <c r="AC1" s="3"/>
      <c r="AD1" s="3"/>
      <c r="AE1" s="3"/>
      <c r="AS1" t="s">
        <v>54</v>
      </c>
    </row>
    <row r="2" spans="1:50" x14ac:dyDescent="0.25">
      <c r="S2" s="3" t="s">
        <v>28</v>
      </c>
      <c r="T2" s="3"/>
      <c r="U2" s="3"/>
      <c r="V2" s="3"/>
      <c r="W2" s="3"/>
      <c r="X2" s="3"/>
      <c r="AB2" s="3" t="s">
        <v>39</v>
      </c>
      <c r="AC2" s="3"/>
      <c r="AD2" s="3"/>
      <c r="AE2" s="3"/>
      <c r="AF2" s="3"/>
      <c r="AG2" s="3"/>
      <c r="AJ2" s="3" t="s">
        <v>48</v>
      </c>
      <c r="AK2" s="3"/>
      <c r="AS2" t="s">
        <v>55</v>
      </c>
    </row>
    <row r="3" spans="1:50" ht="15.75" thickBot="1" x14ac:dyDescent="0.3">
      <c r="AC3" s="15" t="s">
        <v>7</v>
      </c>
      <c r="AD3" s="15" t="s">
        <v>8</v>
      </c>
      <c r="AE3" s="15" t="s">
        <v>9</v>
      </c>
      <c r="AF3" s="15" t="s">
        <v>10</v>
      </c>
      <c r="AG3" s="15" t="s">
        <v>11</v>
      </c>
      <c r="AI3" s="7" t="s">
        <v>7</v>
      </c>
      <c r="AJ3" s="7" t="s">
        <v>49</v>
      </c>
      <c r="AL3" t="s">
        <v>50</v>
      </c>
      <c r="AM3" s="30">
        <v>0.02</v>
      </c>
      <c r="AO3" s="4" t="s">
        <v>53</v>
      </c>
      <c r="AP3" s="4"/>
      <c r="AS3" t="s">
        <v>56</v>
      </c>
    </row>
    <row r="4" spans="1:50" x14ac:dyDescent="0.25">
      <c r="D4" s="6" t="s">
        <v>21</v>
      </c>
      <c r="E4" s="6"/>
      <c r="F4" s="6"/>
      <c r="G4" s="6"/>
      <c r="H4" s="6"/>
      <c r="I4" s="11" t="s">
        <v>20</v>
      </c>
      <c r="J4" s="12"/>
      <c r="K4" s="12"/>
      <c r="L4" s="12"/>
      <c r="M4" s="12"/>
      <c r="N4" s="12"/>
      <c r="O4" s="13"/>
      <c r="AB4" t="s">
        <v>40</v>
      </c>
      <c r="AC4" s="31">
        <f>AVERAGE(D$6:D$4005)</f>
        <v>0.14251367624999967</v>
      </c>
      <c r="AD4" s="31">
        <f t="shared" ref="AD4:AG4" si="0">AVERAGE(E$6:E$4005)</f>
        <v>0.21046708662500022</v>
      </c>
      <c r="AE4" s="31">
        <f t="shared" si="0"/>
        <v>5.180322924999993E-2</v>
      </c>
      <c r="AF4" s="31">
        <f t="shared" si="0"/>
        <v>1.9539627107499984</v>
      </c>
      <c r="AG4" s="31">
        <f t="shared" si="0"/>
        <v>0.30365175779999953</v>
      </c>
      <c r="AI4">
        <v>0.50079859999999998</v>
      </c>
      <c r="AJ4">
        <f>MAX(MIN(AI4,AM$5),AM$4)</f>
        <v>0.50079859999999998</v>
      </c>
      <c r="AL4" t="s">
        <v>51</v>
      </c>
      <c r="AM4">
        <f>PERCENTILE(AI4:AI4003,AM3)</f>
        <v>-0.113345184</v>
      </c>
      <c r="AO4">
        <f t="array" ref="AO4:AO4003">WINSOR(AI4:AI4003,AM3)</f>
        <v>0.50079859999999998</v>
      </c>
    </row>
    <row r="5" spans="1:50" ht="17.25" customHeight="1" x14ac:dyDescent="0.25">
      <c r="A5" t="s">
        <v>4</v>
      </c>
      <c r="B5" t="s">
        <v>5</v>
      </c>
      <c r="C5" s="8" t="s">
        <v>6</v>
      </c>
      <c r="D5" s="7" t="s">
        <v>7</v>
      </c>
      <c r="E5" s="7" t="s">
        <v>8</v>
      </c>
      <c r="F5" s="7" t="s">
        <v>9</v>
      </c>
      <c r="G5" s="7" t="s">
        <v>10</v>
      </c>
      <c r="H5" s="7" t="s">
        <v>11</v>
      </c>
      <c r="I5" s="14"/>
      <c r="J5" s="15" t="s">
        <v>12</v>
      </c>
      <c r="K5" s="15" t="s">
        <v>7</v>
      </c>
      <c r="L5" s="15" t="s">
        <v>8</v>
      </c>
      <c r="M5" s="15" t="s">
        <v>9</v>
      </c>
      <c r="N5" s="15" t="s">
        <v>10</v>
      </c>
      <c r="O5" s="16" t="s">
        <v>11</v>
      </c>
      <c r="Q5" s="9" t="s">
        <v>22</v>
      </c>
      <c r="T5" s="15" t="s">
        <v>12</v>
      </c>
      <c r="U5" s="15" t="s">
        <v>7</v>
      </c>
      <c r="V5" s="15" t="s">
        <v>8</v>
      </c>
      <c r="W5" s="15" t="s">
        <v>9</v>
      </c>
      <c r="X5" s="15" t="s">
        <v>10</v>
      </c>
      <c r="Y5" t="s">
        <v>11</v>
      </c>
      <c r="AB5" t="s">
        <v>41</v>
      </c>
      <c r="AC5" s="31">
        <f>MEDIAN(D$6:D$4005)</f>
        <v>0.1172729</v>
      </c>
      <c r="AD5" s="31">
        <f t="shared" ref="AD5:AG5" si="1">MEDIAN(E$6:E$4005)</f>
        <v>0.21892865</v>
      </c>
      <c r="AE5" s="31">
        <f t="shared" si="1"/>
        <v>5.1562750000000004E-2</v>
      </c>
      <c r="AF5" s="31">
        <f t="shared" si="1"/>
        <v>1.1364555000000001</v>
      </c>
      <c r="AG5" s="31">
        <f t="shared" si="1"/>
        <v>0.26103664999999998</v>
      </c>
      <c r="AI5">
        <v>0.54778020000000005</v>
      </c>
      <c r="AJ5">
        <f t="shared" ref="AJ5:AJ68" si="2">MAX(MIN(AI5,AM$5),AM$4)</f>
        <v>0.52051970800000003</v>
      </c>
      <c r="AL5" t="s">
        <v>52</v>
      </c>
      <c r="AM5">
        <f>PERCENTILE(AI4:AI4003,1-AM3)</f>
        <v>0.52051970800000003</v>
      </c>
      <c r="AO5">
        <v>0.52051970800000003</v>
      </c>
      <c r="AS5" t="s">
        <v>57</v>
      </c>
    </row>
    <row r="6" spans="1:50" x14ac:dyDescent="0.25">
      <c r="A6">
        <v>1</v>
      </c>
      <c r="B6">
        <v>1999</v>
      </c>
      <c r="C6" s="8">
        <v>0</v>
      </c>
      <c r="D6">
        <v>0.50079859999999998</v>
      </c>
      <c r="E6">
        <v>0.3068458</v>
      </c>
      <c r="F6">
        <v>4.3373399999999999E-2</v>
      </c>
      <c r="G6">
        <v>0.95627079999999998</v>
      </c>
      <c r="H6">
        <v>0.33477380000000001</v>
      </c>
      <c r="I6" s="17" t="s">
        <v>13</v>
      </c>
      <c r="J6" s="18">
        <f t="array" ref="J6:O12">logit(C6:C4005,D6:H4005,1,1)</f>
        <v>-2.5434763914177498</v>
      </c>
      <c r="K6" s="18">
        <v>0.41439410128417242</v>
      </c>
      <c r="L6" s="18">
        <v>-1.4540206502370625</v>
      </c>
      <c r="M6" s="18">
        <v>-7.9990594865573676</v>
      </c>
      <c r="N6" s="18">
        <v>-1.5935942092113213</v>
      </c>
      <c r="O6" s="19">
        <v>0.61972076129083786</v>
      </c>
      <c r="Q6" s="10">
        <f>1/(1+EXP(-(J$6+SUMPRODUCT(K$6:O$6,D6:H6))))</f>
        <v>1.1595255400514131E-2</v>
      </c>
      <c r="AB6" t="s">
        <v>42</v>
      </c>
      <c r="AC6" s="31">
        <f>STDEV(D$6:D$4005)</f>
        <v>0.17076261016613586</v>
      </c>
      <c r="AD6" s="31">
        <f t="shared" ref="AD6:AG6" si="3">STDEV(E$6:E$4005)</f>
        <v>0.33254944666881275</v>
      </c>
      <c r="AE6" s="31">
        <f t="shared" si="3"/>
        <v>2.9595513962209125E-2</v>
      </c>
      <c r="AF6" s="31">
        <f t="shared" si="3"/>
        <v>2.99447499797142</v>
      </c>
      <c r="AG6" s="31">
        <f t="shared" si="3"/>
        <v>0.20579404544792645</v>
      </c>
      <c r="AI6">
        <v>0.45100050000000003</v>
      </c>
      <c r="AJ6">
        <f t="shared" si="2"/>
        <v>0.45100050000000003</v>
      </c>
      <c r="AO6">
        <v>0.45100050000000003</v>
      </c>
    </row>
    <row r="7" spans="1:50" x14ac:dyDescent="0.25">
      <c r="A7">
        <v>1</v>
      </c>
      <c r="B7">
        <v>2000</v>
      </c>
      <c r="C7" s="8">
        <v>0</v>
      </c>
      <c r="D7">
        <v>0.54778020000000005</v>
      </c>
      <c r="E7">
        <v>0.32221369999999999</v>
      </c>
      <c r="F7">
        <v>5.1842600000000003E-2</v>
      </c>
      <c r="G7">
        <v>1.0645450000000001</v>
      </c>
      <c r="H7">
        <v>0.33459129999999998</v>
      </c>
      <c r="I7" s="17" t="s">
        <v>14</v>
      </c>
      <c r="J7" s="18">
        <v>0.26602938277550986</v>
      </c>
      <c r="K7" s="18">
        <v>0.5724778323265991</v>
      </c>
      <c r="L7" s="18">
        <v>0.2294861690131963</v>
      </c>
      <c r="M7" s="18">
        <v>2.7024041970893702</v>
      </c>
      <c r="N7" s="18">
        <v>0.32340546490117345</v>
      </c>
      <c r="O7" s="19">
        <v>0.34919851189780743</v>
      </c>
      <c r="Q7" s="10">
        <f t="shared" ref="Q7:Q70" si="4">1/(1+EXP(-(J$6+SUMPRODUCT(K$6:O$6,D7:H7))))</f>
        <v>9.1141020916853752E-3</v>
      </c>
      <c r="S7" s="27" t="s">
        <v>29</v>
      </c>
      <c r="AB7" t="s">
        <v>43</v>
      </c>
      <c r="AC7" s="31">
        <f>SKEW(D$6:D$4005)</f>
        <v>-1.0145317082261223</v>
      </c>
      <c r="AD7" s="31">
        <f t="shared" ref="AD7:AG7" si="5">SKEW(E$6:E$4005)</f>
        <v>-2.5548915124472877</v>
      </c>
      <c r="AE7" s="31">
        <f t="shared" si="5"/>
        <v>-4.8443616428065788</v>
      </c>
      <c r="AF7" s="31">
        <f t="shared" si="5"/>
        <v>7.7507281175103628</v>
      </c>
      <c r="AG7" s="31">
        <f t="shared" si="5"/>
        <v>4.4810044097314954</v>
      </c>
      <c r="AI7">
        <v>0.30688690000000002</v>
      </c>
      <c r="AJ7">
        <f t="shared" si="2"/>
        <v>0.30688690000000002</v>
      </c>
      <c r="AO7">
        <v>0.30688690000000002</v>
      </c>
      <c r="AR7" t="s">
        <v>6</v>
      </c>
      <c r="AS7" t="s">
        <v>10</v>
      </c>
      <c r="AT7" t="s">
        <v>58</v>
      </c>
      <c r="AV7">
        <v>20</v>
      </c>
    </row>
    <row r="8" spans="1:50" x14ac:dyDescent="0.25">
      <c r="A8">
        <v>1</v>
      </c>
      <c r="B8">
        <v>2001</v>
      </c>
      <c r="C8" s="8">
        <v>0</v>
      </c>
      <c r="D8">
        <v>0.45100050000000003</v>
      </c>
      <c r="E8">
        <v>0.2251504</v>
      </c>
      <c r="F8">
        <v>2.6813199999999999E-2</v>
      </c>
      <c r="G8">
        <v>0.80409589999999997</v>
      </c>
      <c r="H8">
        <v>0.2455852</v>
      </c>
      <c r="I8" s="17" t="s">
        <v>15</v>
      </c>
      <c r="J8" s="18">
        <v>-9.5608852108042299</v>
      </c>
      <c r="K8" s="18">
        <v>0.72386051980395327</v>
      </c>
      <c r="L8" s="18">
        <v>-6.3359838045553456</v>
      </c>
      <c r="M8" s="18">
        <v>-2.9599789310469435</v>
      </c>
      <c r="N8" s="18">
        <v>-4.9275426118674073</v>
      </c>
      <c r="O8" s="19">
        <v>1.7746947371648552</v>
      </c>
      <c r="Q8" s="10">
        <f t="shared" si="4"/>
        <v>1.7504350251485303E-2</v>
      </c>
      <c r="S8" t="s">
        <v>30</v>
      </c>
      <c r="T8">
        <f>J6</f>
        <v>-2.5434763914177498</v>
      </c>
      <c r="U8">
        <f t="shared" ref="U8:Y8" si="6">K6</f>
        <v>0.41439410128417242</v>
      </c>
      <c r="V8">
        <f t="shared" si="6"/>
        <v>-1.4540206502370625</v>
      </c>
      <c r="W8">
        <f t="shared" si="6"/>
        <v>-7.9990594865573676</v>
      </c>
      <c r="X8">
        <f t="shared" si="6"/>
        <v>-1.5935942092113213</v>
      </c>
      <c r="Y8">
        <f t="shared" si="6"/>
        <v>0.61972076129083786</v>
      </c>
      <c r="AB8" t="s">
        <v>44</v>
      </c>
      <c r="AC8" s="31">
        <f>KURT(D$6:D$4005)</f>
        <v>17.682268596026276</v>
      </c>
      <c r="AD8" s="31">
        <f t="shared" ref="AD8:AG8" si="7">KURT(E$6:E$4005)</f>
        <v>17.441195985414634</v>
      </c>
      <c r="AE8" s="31">
        <f t="shared" si="7"/>
        <v>85.99742655069916</v>
      </c>
      <c r="AF8" s="31">
        <f t="shared" si="7"/>
        <v>103.12753666041536</v>
      </c>
      <c r="AG8" s="31">
        <f t="shared" si="7"/>
        <v>71.215241428829657</v>
      </c>
      <c r="AI8">
        <v>0.44724619999999998</v>
      </c>
      <c r="AJ8">
        <f t="shared" si="2"/>
        <v>0.44724619999999998</v>
      </c>
      <c r="AO8">
        <v>0.44724619999999998</v>
      </c>
      <c r="AR8" s="8">
        <v>0</v>
      </c>
      <c r="AS8">
        <v>0.95627079999999998</v>
      </c>
    </row>
    <row r="9" spans="1:50" x14ac:dyDescent="0.25">
      <c r="A9">
        <v>1</v>
      </c>
      <c r="B9">
        <v>2002</v>
      </c>
      <c r="C9" s="8">
        <v>0</v>
      </c>
      <c r="D9">
        <v>0.30688690000000002</v>
      </c>
      <c r="E9">
        <v>0.1919362</v>
      </c>
      <c r="F9">
        <v>3.00583E-2</v>
      </c>
      <c r="G9">
        <v>0.38701049999999998</v>
      </c>
      <c r="H9">
        <v>0.25343759999999999</v>
      </c>
      <c r="I9" s="17" t="s">
        <v>16</v>
      </c>
      <c r="J9" s="25">
        <v>0</v>
      </c>
      <c r="K9" s="25">
        <v>0.46915137004551388</v>
      </c>
      <c r="L9" s="25">
        <v>2.3583157648943143E-10</v>
      </c>
      <c r="M9" s="25">
        <v>3.07660082035488E-3</v>
      </c>
      <c r="N9" s="25">
        <v>8.3270266992840902E-7</v>
      </c>
      <c r="O9" s="26">
        <v>7.5948304782560205E-2</v>
      </c>
      <c r="Q9" s="10">
        <f t="shared" si="4"/>
        <v>3.2436436484652477E-2</v>
      </c>
      <c r="AB9" s="5" t="s">
        <v>45</v>
      </c>
      <c r="AC9" s="5"/>
      <c r="AD9" s="5"/>
      <c r="AE9" s="5"/>
      <c r="AF9" s="5"/>
      <c r="AG9" s="5"/>
      <c r="AI9">
        <v>0.45761869999999999</v>
      </c>
      <c r="AJ9">
        <f t="shared" si="2"/>
        <v>0.45761869999999999</v>
      </c>
      <c r="AO9">
        <v>0.45761869999999999</v>
      </c>
      <c r="AR9" s="8">
        <v>0</v>
      </c>
      <c r="AS9">
        <v>1.0645450000000001</v>
      </c>
      <c r="AT9" t="s">
        <v>59</v>
      </c>
      <c r="AU9" t="s">
        <v>60</v>
      </c>
      <c r="AV9" t="s">
        <v>61</v>
      </c>
      <c r="AW9" t="s">
        <v>62</v>
      </c>
      <c r="AX9" t="s">
        <v>63</v>
      </c>
    </row>
    <row r="10" spans="1:50" x14ac:dyDescent="0.25">
      <c r="A10">
        <v>1</v>
      </c>
      <c r="B10">
        <v>2003</v>
      </c>
      <c r="C10" s="8">
        <v>0</v>
      </c>
      <c r="D10">
        <v>0.44724619999999998</v>
      </c>
      <c r="E10">
        <v>0.21736800000000001</v>
      </c>
      <c r="F10">
        <v>3.2458000000000001E-2</v>
      </c>
      <c r="G10">
        <v>0.79163850000000002</v>
      </c>
      <c r="H10">
        <v>0.27553070000000002</v>
      </c>
      <c r="I10" s="17" t="s">
        <v>17</v>
      </c>
      <c r="J10" s="18">
        <v>0.22205783344270277</v>
      </c>
      <c r="K10" s="18">
        <v>12</v>
      </c>
      <c r="L10" s="18" t="str">
        <v>#N/A</v>
      </c>
      <c r="M10" s="18" t="str">
        <v>#N/A</v>
      </c>
      <c r="N10" s="18" t="str">
        <v>#N/A</v>
      </c>
      <c r="O10" s="19" t="str">
        <v>#N/A</v>
      </c>
      <c r="Q10" s="10">
        <f t="shared" si="4"/>
        <v>1.7556308751511533E-2</v>
      </c>
      <c r="S10" s="27" t="s">
        <v>31</v>
      </c>
      <c r="AB10" t="s">
        <v>46</v>
      </c>
      <c r="AC10" s="31">
        <f>MIN(D$6:D$4005)</f>
        <v>-2.2402679999999999</v>
      </c>
      <c r="AD10" s="31">
        <f t="shared" ref="AD10:AG10" si="8">MIN(E$6:E$4005)</f>
        <v>-3.3124199999999999</v>
      </c>
      <c r="AE10" s="31">
        <f t="shared" si="8"/>
        <v>-0.59182129999999999</v>
      </c>
      <c r="AF10" s="31">
        <f t="shared" si="8"/>
        <v>2.3717800000000001E-2</v>
      </c>
      <c r="AG10" s="31">
        <f t="shared" si="8"/>
        <v>3.5858300000000003E-2</v>
      </c>
      <c r="AI10">
        <v>6.0337999999999998E-3</v>
      </c>
      <c r="AJ10">
        <f t="shared" si="2"/>
        <v>6.0337999999999998E-3</v>
      </c>
      <c r="AO10">
        <v>6.0337999999999998E-3</v>
      </c>
      <c r="AR10" s="8">
        <v>0</v>
      </c>
      <c r="AS10">
        <v>0.80409589999999997</v>
      </c>
    </row>
    <row r="11" spans="1:50" x14ac:dyDescent="0.25">
      <c r="A11">
        <v>1</v>
      </c>
      <c r="B11">
        <v>2004</v>
      </c>
      <c r="C11" s="8">
        <v>0</v>
      </c>
      <c r="D11">
        <v>0.45761869999999999</v>
      </c>
      <c r="E11">
        <v>0.2240644</v>
      </c>
      <c r="F11">
        <v>3.18383E-2</v>
      </c>
      <c r="G11">
        <v>1.2881370000000001</v>
      </c>
      <c r="H11">
        <v>0.31819269999999999</v>
      </c>
      <c r="I11" s="17" t="s">
        <v>18</v>
      </c>
      <c r="J11" s="18">
        <v>160.14797186683211</v>
      </c>
      <c r="K11" s="20">
        <v>9.2049308428649003E-33</v>
      </c>
      <c r="L11" s="18" t="str">
        <v>#N/A</v>
      </c>
      <c r="M11" s="18" t="str">
        <v>#N/A</v>
      </c>
      <c r="N11" s="18" t="str">
        <v>#N/A</v>
      </c>
      <c r="O11" s="19" t="str">
        <v>#N/A</v>
      </c>
      <c r="Q11" s="10">
        <f t="shared" si="4"/>
        <v>8.2448322226484003E-3</v>
      </c>
      <c r="S11" t="s">
        <v>32</v>
      </c>
      <c r="T11">
        <v>1</v>
      </c>
      <c r="U11">
        <f>D6</f>
        <v>0.50079859999999998</v>
      </c>
      <c r="V11">
        <f t="shared" ref="V11:Y11" si="9">E6</f>
        <v>0.3068458</v>
      </c>
      <c r="W11">
        <f t="shared" si="9"/>
        <v>4.3373399999999999E-2</v>
      </c>
      <c r="X11">
        <f t="shared" si="9"/>
        <v>0.95627079999999998</v>
      </c>
      <c r="Y11">
        <f t="shared" si="9"/>
        <v>0.33477380000000001</v>
      </c>
      <c r="AB11" s="29">
        <v>5.0000000000000001E-3</v>
      </c>
      <c r="AC11" s="31">
        <f>PERCENTILE(D$6:D$4005,$AB11)</f>
        <v>-0.32840025099999998</v>
      </c>
      <c r="AD11" s="31">
        <f t="shared" ref="AD11:AG11" si="10">PERCENTILE(E$6:E$4005,$AB11)</f>
        <v>-1.717478345</v>
      </c>
      <c r="AE11" s="31">
        <f t="shared" si="10"/>
        <v>-4.6838518500000002E-2</v>
      </c>
      <c r="AF11" s="31">
        <f t="shared" si="10"/>
        <v>5.3463956000000007E-2</v>
      </c>
      <c r="AG11" s="31">
        <f t="shared" si="10"/>
        <v>6.2217565499999995E-2</v>
      </c>
      <c r="AI11">
        <v>-0.11472830000000001</v>
      </c>
      <c r="AJ11">
        <f t="shared" si="2"/>
        <v>-0.113345184</v>
      </c>
      <c r="AO11">
        <v>-0.113345184</v>
      </c>
      <c r="AR11" s="8">
        <v>0</v>
      </c>
      <c r="AS11">
        <v>0.38701049999999998</v>
      </c>
      <c r="AT11" s="30">
        <f>AT10+1/AV$7</f>
        <v>0.05</v>
      </c>
      <c r="AU11">
        <f>PERCENTILE(AS$8:AS$4007,MIN(1,AT11))</f>
        <v>0.22016850499999999</v>
      </c>
      <c r="AV11">
        <f>SUMIF(AS$8:AS$4007,"&lt;="&amp;AU11,AR$8:AR$4007)-SUM(AV10:AV$10)</f>
        <v>46</v>
      </c>
      <c r="AW11">
        <f>COUNTIF(AS8:AS4007,"&lt;="&amp;AU11)-SUM(AW10:AW$10)</f>
        <v>200</v>
      </c>
      <c r="AX11" s="1">
        <f>AV11/AW11</f>
        <v>0.23</v>
      </c>
    </row>
    <row r="12" spans="1:50" ht="15.75" thickBot="1" x14ac:dyDescent="0.3">
      <c r="A12">
        <v>2</v>
      </c>
      <c r="B12">
        <v>1999</v>
      </c>
      <c r="C12" s="8">
        <v>0</v>
      </c>
      <c r="D12">
        <v>6.0337999999999998E-3</v>
      </c>
      <c r="E12">
        <v>-2.8400100000000001E-2</v>
      </c>
      <c r="F12">
        <v>6.764E-3</v>
      </c>
      <c r="G12">
        <v>0.1102698</v>
      </c>
      <c r="H12">
        <v>0.2549882</v>
      </c>
      <c r="I12" s="21" t="s">
        <v>19</v>
      </c>
      <c r="J12" s="22">
        <v>-280.52570421026633</v>
      </c>
      <c r="K12" s="22">
        <v>-360.59969014368238</v>
      </c>
      <c r="L12" s="22" t="str">
        <v>#N/A</v>
      </c>
      <c r="M12" s="22" t="str">
        <v>#N/A</v>
      </c>
      <c r="N12" s="22" t="str">
        <v>#N/A</v>
      </c>
      <c r="O12" s="23" t="str">
        <v>#N/A</v>
      </c>
      <c r="Q12" s="10">
        <f t="shared" si="4"/>
        <v>7.0995890974805853E-2</v>
      </c>
      <c r="AB12" s="30">
        <v>0.01</v>
      </c>
      <c r="AC12" s="31">
        <f t="shared" ref="AC12:AC16" si="11">PERCENTILE(D$6:D$4005,$AB12)</f>
        <v>-0.16965423799999998</v>
      </c>
      <c r="AD12" s="31">
        <f t="shared" ref="AD12:AD16" si="12">PERCENTILE(E$6:E$4005,$AB12)</f>
        <v>-0.92362929299999996</v>
      </c>
      <c r="AE12" s="31">
        <f t="shared" ref="AE12:AE16" si="13">PERCENTILE(F$6:F$4005,$AB12)</f>
        <v>-1.6203737999999999E-2</v>
      </c>
      <c r="AF12" s="31">
        <f t="shared" ref="AF12:AF16" si="14">PERCENTILE(G$6:G$4005,$AB12)</f>
        <v>7.8478200000000012E-2</v>
      </c>
      <c r="AG12" s="31">
        <f t="shared" ref="AG12:AG16" si="15">PERCENTILE(H$6:H$4005,$AB12)</f>
        <v>7.0306807999999998E-2</v>
      </c>
      <c r="AI12">
        <v>6.1305199999999997E-2</v>
      </c>
      <c r="AJ12">
        <f t="shared" si="2"/>
        <v>6.1305199999999997E-2</v>
      </c>
      <c r="AO12">
        <v>6.1305199999999997E-2</v>
      </c>
      <c r="AR12" s="8">
        <v>0</v>
      </c>
      <c r="AS12">
        <v>0.79163850000000002</v>
      </c>
      <c r="AT12" s="30">
        <f t="shared" ref="AT12:AT30" si="16">AT11+1/AV$7</f>
        <v>0.1</v>
      </c>
      <c r="AU12">
        <f t="shared" ref="AU12:AU30" si="17">PERCENTILE(AS$8:AS$4007,MIN(1,AT12))</f>
        <v>0.33393883000000002</v>
      </c>
      <c r="AV12">
        <f>SUMIF(AS$8:AS$4007,"&lt;="&amp;AU12,AR$8:AR$4007)-SUM(AV$10:AV11)</f>
        <v>9</v>
      </c>
      <c r="AW12">
        <f>COUNTIF(AS9:AS4008,"&lt;="&amp;AU12)-SUM(AW$10:AW11)</f>
        <v>200</v>
      </c>
      <c r="AX12" s="1">
        <f t="shared" ref="AX12:AX30" si="18">AV12/AW12</f>
        <v>4.4999999999999998E-2</v>
      </c>
    </row>
    <row r="13" spans="1:50" x14ac:dyDescent="0.25">
      <c r="A13">
        <v>2</v>
      </c>
      <c r="B13">
        <v>2000</v>
      </c>
      <c r="C13" s="8">
        <v>0</v>
      </c>
      <c r="D13">
        <v>-0.11472830000000001</v>
      </c>
      <c r="E13">
        <v>-0.1186598</v>
      </c>
      <c r="F13">
        <v>3.08919E-2</v>
      </c>
      <c r="G13">
        <v>0.14964459999999999</v>
      </c>
      <c r="H13">
        <v>0.31572230000000001</v>
      </c>
      <c r="Q13" s="10">
        <f t="shared" si="4"/>
        <v>6.2479239282990581E-2</v>
      </c>
      <c r="S13" t="s">
        <v>22</v>
      </c>
      <c r="T13" s="2">
        <f>1/(1+EXP(-SUMPRODUCT(T8:Y8,T11:Y11)))</f>
        <v>1.1595255400514131E-2</v>
      </c>
      <c r="AB13" s="30">
        <v>0.05</v>
      </c>
      <c r="AC13" s="31">
        <f t="shared" si="11"/>
        <v>-6.2128809999999993E-2</v>
      </c>
      <c r="AD13" s="31">
        <f t="shared" si="12"/>
        <v>-0.25125143999999999</v>
      </c>
      <c r="AE13" s="31">
        <f t="shared" si="13"/>
        <v>1.7640795000000004E-2</v>
      </c>
      <c r="AF13" s="31">
        <f t="shared" si="14"/>
        <v>0.22016850499999999</v>
      </c>
      <c r="AG13" s="31">
        <f t="shared" si="15"/>
        <v>9.8585439999999996E-2</v>
      </c>
      <c r="AI13">
        <v>5.06413E-2</v>
      </c>
      <c r="AJ13">
        <f t="shared" si="2"/>
        <v>5.06413E-2</v>
      </c>
      <c r="AO13">
        <v>5.06413E-2</v>
      </c>
      <c r="AR13" s="8">
        <v>0</v>
      </c>
      <c r="AS13">
        <v>1.2881370000000001</v>
      </c>
      <c r="AT13" s="30">
        <f t="shared" si="16"/>
        <v>0.15000000000000002</v>
      </c>
      <c r="AU13">
        <f t="shared" si="17"/>
        <v>0.44106127500000014</v>
      </c>
      <c r="AV13">
        <f>SUMIF(AS$8:AS$4007,"&lt;="&amp;AU13,AR$8:AR$4007)-SUM(AV$10:AV12)</f>
        <v>5</v>
      </c>
      <c r="AW13">
        <f>COUNTIF(AS10:AS4009,"&lt;="&amp;AU13)-SUM(AW$10:AW12)</f>
        <v>200</v>
      </c>
      <c r="AX13" s="1">
        <f t="shared" si="18"/>
        <v>2.5000000000000001E-2</v>
      </c>
    </row>
    <row r="14" spans="1:50" ht="15.75" thickBot="1" x14ac:dyDescent="0.3">
      <c r="A14">
        <v>2</v>
      </c>
      <c r="B14">
        <v>2001</v>
      </c>
      <c r="C14" s="8">
        <v>0</v>
      </c>
      <c r="D14">
        <v>6.1305199999999997E-2</v>
      </c>
      <c r="E14">
        <v>-0.1094951</v>
      </c>
      <c r="F14">
        <v>3.9947400000000001E-2</v>
      </c>
      <c r="G14">
        <v>0.41015030000000002</v>
      </c>
      <c r="H14">
        <v>0.28602539999999999</v>
      </c>
      <c r="Q14" s="10">
        <f t="shared" si="4"/>
        <v>4.0904026733013799E-2</v>
      </c>
      <c r="AB14" s="30">
        <v>0.95</v>
      </c>
      <c r="AC14" s="31">
        <f t="shared" si="11"/>
        <v>0.44222301999999974</v>
      </c>
      <c r="AD14" s="31">
        <f t="shared" si="12"/>
        <v>0.65049418999999997</v>
      </c>
      <c r="AE14" s="31">
        <f t="shared" si="13"/>
        <v>9.2121664999999991E-2</v>
      </c>
      <c r="AF14" s="31">
        <f t="shared" si="14"/>
        <v>5.5976635999999989</v>
      </c>
      <c r="AG14" s="31">
        <f t="shared" si="15"/>
        <v>0.68047192499999976</v>
      </c>
      <c r="AI14">
        <v>0.1210532</v>
      </c>
      <c r="AJ14">
        <f t="shared" si="2"/>
        <v>0.1210532</v>
      </c>
      <c r="AO14">
        <v>0.1210532</v>
      </c>
      <c r="AR14" s="8">
        <v>0</v>
      </c>
      <c r="AS14">
        <v>0.1102698</v>
      </c>
      <c r="AT14" s="30">
        <f t="shared" si="16"/>
        <v>0.2</v>
      </c>
      <c r="AU14">
        <f t="shared" si="17"/>
        <v>0.5354101</v>
      </c>
      <c r="AV14">
        <f>SUMIF(AS$8:AS$4007,"&lt;="&amp;AU14,AR$8:AR$4007)-SUM(AV$10:AV13)</f>
        <v>0</v>
      </c>
      <c r="AW14">
        <f>COUNTIF(AS11:AS4010,"&lt;="&amp;AU14)-SUM(AW$10:AW13)</f>
        <v>200</v>
      </c>
      <c r="AX14" s="1">
        <f t="shared" si="18"/>
        <v>0</v>
      </c>
    </row>
    <row r="15" spans="1:50" x14ac:dyDescent="0.25">
      <c r="A15">
        <v>2</v>
      </c>
      <c r="B15">
        <v>2002</v>
      </c>
      <c r="C15" s="8">
        <v>0</v>
      </c>
      <c r="D15">
        <v>5.06413E-2</v>
      </c>
      <c r="E15">
        <v>-8.6698899999999995E-2</v>
      </c>
      <c r="F15">
        <v>4.5355199999999998E-2</v>
      </c>
      <c r="G15">
        <v>0.25335439999999998</v>
      </c>
      <c r="H15">
        <v>0.34205629999999998</v>
      </c>
      <c r="I15" s="11" t="s">
        <v>23</v>
      </c>
      <c r="J15" s="12"/>
      <c r="K15" s="12"/>
      <c r="L15" s="12"/>
      <c r="M15" s="12"/>
      <c r="N15" s="12"/>
      <c r="O15" s="13"/>
      <c r="Q15" s="10">
        <f t="shared" si="4"/>
        <v>4.9689619409125314E-2</v>
      </c>
      <c r="S15" s="27" t="s">
        <v>33</v>
      </c>
      <c r="AB15" s="30">
        <v>0.99</v>
      </c>
      <c r="AC15" s="31">
        <f t="shared" si="11"/>
        <v>0.57699605899999995</v>
      </c>
      <c r="AD15" s="31">
        <f t="shared" si="12"/>
        <v>0.89680162399999996</v>
      </c>
      <c r="AE15" s="31">
        <f t="shared" si="13"/>
        <v>0.1206091879999999</v>
      </c>
      <c r="AF15" s="31">
        <f t="shared" si="14"/>
        <v>14.444578099999912</v>
      </c>
      <c r="AG15" s="31">
        <f t="shared" si="15"/>
        <v>1.0537621199999998</v>
      </c>
      <c r="AI15">
        <v>-3.6352700000000002E-2</v>
      </c>
      <c r="AJ15">
        <f t="shared" si="2"/>
        <v>-3.6352700000000002E-2</v>
      </c>
      <c r="AO15">
        <v>-3.6352700000000002E-2</v>
      </c>
      <c r="AR15" s="8">
        <v>0</v>
      </c>
      <c r="AS15">
        <v>0.14964459999999999</v>
      </c>
      <c r="AT15" s="30">
        <f t="shared" si="16"/>
        <v>0.25</v>
      </c>
      <c r="AU15">
        <f t="shared" si="17"/>
        <v>0.62349260000000006</v>
      </c>
      <c r="AV15">
        <f>SUMIF(AS$8:AS$4007,"&lt;="&amp;AU15,AR$8:AR$4007)-SUM(AV$10:AV14)</f>
        <v>0</v>
      </c>
      <c r="AW15">
        <f>COUNTIF(AS12:AS4011,"&lt;="&amp;AU15)-SUM(AW$10:AW14)</f>
        <v>199</v>
      </c>
      <c r="AX15" s="1">
        <f t="shared" si="18"/>
        <v>0</v>
      </c>
    </row>
    <row r="16" spans="1:50" x14ac:dyDescent="0.25">
      <c r="A16">
        <v>2</v>
      </c>
      <c r="B16">
        <v>2003</v>
      </c>
      <c r="C16" s="8">
        <v>0</v>
      </c>
      <c r="D16">
        <v>0.1210532</v>
      </c>
      <c r="E16">
        <v>-0.1140413</v>
      </c>
      <c r="F16">
        <v>3.72976E-2</v>
      </c>
      <c r="G16">
        <v>0.45717649999999999</v>
      </c>
      <c r="H16">
        <v>0.31212220000000002</v>
      </c>
      <c r="I16" s="14"/>
      <c r="J16" s="15" t="s">
        <v>12</v>
      </c>
      <c r="K16" s="15" t="s">
        <v>8</v>
      </c>
      <c r="L16" s="15" t="s">
        <v>9</v>
      </c>
      <c r="M16" s="15" t="s">
        <v>10</v>
      </c>
      <c r="O16" s="16"/>
      <c r="Q16" s="10">
        <f>1/(1+EXP(-(J$6+SUMPRODUCT(K$6:O$6,D16:H16))))</f>
        <v>4.0661386670808056E-2</v>
      </c>
      <c r="S16" t="s">
        <v>34</v>
      </c>
      <c r="AB16" s="29">
        <v>0.995</v>
      </c>
      <c r="AC16" s="31">
        <f t="shared" si="11"/>
        <v>0.62604191750000138</v>
      </c>
      <c r="AD16" s="31">
        <f t="shared" si="12"/>
        <v>0.93896935650000024</v>
      </c>
      <c r="AE16" s="31">
        <f t="shared" si="13"/>
        <v>0.13486117950000004</v>
      </c>
      <c r="AF16" s="31">
        <f t="shared" si="14"/>
        <v>18.938195650000015</v>
      </c>
      <c r="AG16" s="31">
        <f t="shared" si="15"/>
        <v>1.1271275850000004</v>
      </c>
      <c r="AI16">
        <v>-3.5422700000000001E-2</v>
      </c>
      <c r="AJ16">
        <f t="shared" si="2"/>
        <v>-3.5422700000000001E-2</v>
      </c>
      <c r="AO16">
        <v>-3.5422700000000001E-2</v>
      </c>
      <c r="AR16" s="8">
        <v>0</v>
      </c>
      <c r="AS16">
        <v>0.41015030000000002</v>
      </c>
      <c r="AT16" s="30">
        <f t="shared" si="16"/>
        <v>0.3</v>
      </c>
      <c r="AU16">
        <f t="shared" si="17"/>
        <v>0.70605925000000003</v>
      </c>
      <c r="AV16">
        <f>SUMIF(AS$8:AS$4007,"&lt;="&amp;AU16,AR$8:AR$4007)-SUM(AV$10:AV15)</f>
        <v>0</v>
      </c>
      <c r="AW16">
        <f>COUNTIF(AS13:AS4012,"&lt;="&amp;AU16)-SUM(AW$10:AW15)</f>
        <v>200</v>
      </c>
      <c r="AX16" s="1">
        <f t="shared" si="18"/>
        <v>0</v>
      </c>
    </row>
    <row r="17" spans="1:50" x14ac:dyDescent="0.25">
      <c r="A17">
        <v>3</v>
      </c>
      <c r="B17">
        <v>1999</v>
      </c>
      <c r="C17" s="8">
        <v>0</v>
      </c>
      <c r="D17">
        <v>-3.6352700000000002E-2</v>
      </c>
      <c r="E17">
        <v>0.26696360000000002</v>
      </c>
      <c r="F17">
        <v>4.7610699999999999E-2</v>
      </c>
      <c r="G17">
        <v>0.58529940000000003</v>
      </c>
      <c r="H17">
        <v>0.21168239999999999</v>
      </c>
      <c r="I17" s="17" t="s">
        <v>13</v>
      </c>
      <c r="J17" s="18">
        <f t="array" ref="J17:M23">logit(C6:C4005,E6:G4005,1,1)</f>
        <v>-2.3183347541749573</v>
      </c>
      <c r="K17" s="18">
        <v>-1.4197443707022421</v>
      </c>
      <c r="L17" s="18">
        <v>-7.1793608452428952</v>
      </c>
      <c r="M17" s="18">
        <v>-1.6156155259633935</v>
      </c>
      <c r="N17" s="18"/>
      <c r="O17" s="19"/>
      <c r="Q17" s="10">
        <f>1/(1+EXP(-(J$6+SUMPRODUCT(K$6:O$6,D17:H17))))</f>
        <v>1.5842372804409744E-2</v>
      </c>
      <c r="S17" t="s">
        <v>35</v>
      </c>
      <c r="U17">
        <v>0.4</v>
      </c>
      <c r="V17">
        <v>0.4</v>
      </c>
      <c r="W17" s="7">
        <v>0.08</v>
      </c>
      <c r="X17">
        <v>1</v>
      </c>
      <c r="Y17">
        <v>0.2</v>
      </c>
      <c r="AB17" t="s">
        <v>47</v>
      </c>
      <c r="AC17" s="31">
        <f>MAX(D$6:D$4005)</f>
        <v>0.76604019999999995</v>
      </c>
      <c r="AD17" s="31">
        <f t="shared" ref="AD17:AG17" si="19">MAX(E$6:E$4005)</f>
        <v>1.6396459999999999</v>
      </c>
      <c r="AE17" s="31">
        <f t="shared" si="19"/>
        <v>0.19803509999999999</v>
      </c>
      <c r="AF17" s="31">
        <f t="shared" si="19"/>
        <v>60.607149999999997</v>
      </c>
      <c r="AG17" s="31">
        <f t="shared" si="19"/>
        <v>5.0077749999999996</v>
      </c>
      <c r="AI17">
        <v>1.5918E-3</v>
      </c>
      <c r="AJ17">
        <f t="shared" si="2"/>
        <v>1.5918E-3</v>
      </c>
      <c r="AO17">
        <v>1.5918E-3</v>
      </c>
      <c r="AR17" s="8">
        <v>0</v>
      </c>
      <c r="AS17">
        <v>0.25335439999999998</v>
      </c>
      <c r="AT17" s="30">
        <f t="shared" si="16"/>
        <v>0.35</v>
      </c>
      <c r="AU17">
        <f t="shared" si="17"/>
        <v>0.80382023999999985</v>
      </c>
      <c r="AV17">
        <f>SUMIF(AS$8:AS$4007,"&lt;="&amp;AU17,AR$8:AR$4007)-SUM(AV$10:AV16)</f>
        <v>0</v>
      </c>
      <c r="AW17">
        <f>COUNTIF(AS14:AS4013,"&lt;="&amp;AU17)-SUM(AW$10:AW16)</f>
        <v>199</v>
      </c>
      <c r="AX17" s="1">
        <f t="shared" si="18"/>
        <v>0</v>
      </c>
    </row>
    <row r="18" spans="1:50" x14ac:dyDescent="0.25">
      <c r="A18">
        <v>3</v>
      </c>
      <c r="B18">
        <v>2000</v>
      </c>
      <c r="C18" s="8">
        <v>0</v>
      </c>
      <c r="D18">
        <v>-3.5422700000000001E-2</v>
      </c>
      <c r="E18">
        <v>0.25279299999999999</v>
      </c>
      <c r="F18">
        <v>3.1855300000000003E-2</v>
      </c>
      <c r="G18">
        <v>0.3274492</v>
      </c>
      <c r="H18">
        <v>0.2120515</v>
      </c>
      <c r="I18" s="17" t="s">
        <v>14</v>
      </c>
      <c r="J18" s="18">
        <v>0.23563530254709825</v>
      </c>
      <c r="K18" s="18">
        <v>0.22876714552969912</v>
      </c>
      <c r="L18" s="18">
        <v>2.7253736205334862</v>
      </c>
      <c r="M18" s="18">
        <v>0.32476274203660543</v>
      </c>
      <c r="N18" s="18"/>
      <c r="O18" s="19"/>
      <c r="Q18" s="10">
        <f>1/(1+EXP(-(J$6+SUMPRODUCT(K$6:O$6,D18:H18))))</f>
        <v>2.7359719731971779E-2</v>
      </c>
      <c r="S18" t="s">
        <v>36</v>
      </c>
      <c r="U18">
        <v>0.6</v>
      </c>
      <c r="V18">
        <v>0.2</v>
      </c>
      <c r="W18" s="7">
        <v>-0.02</v>
      </c>
      <c r="X18">
        <v>0.5</v>
      </c>
      <c r="Y18">
        <v>0.4</v>
      </c>
      <c r="AI18">
        <v>-4.87345E-2</v>
      </c>
      <c r="AJ18">
        <f t="shared" si="2"/>
        <v>-4.87345E-2</v>
      </c>
      <c r="AO18">
        <v>-4.87345E-2</v>
      </c>
      <c r="AR18" s="8">
        <v>0</v>
      </c>
      <c r="AS18">
        <v>0.45717649999999999</v>
      </c>
      <c r="AT18" s="30">
        <f t="shared" si="16"/>
        <v>0.39999999999999997</v>
      </c>
      <c r="AU18">
        <f t="shared" si="17"/>
        <v>0.90216055999999989</v>
      </c>
      <c r="AV18">
        <f>SUMIF(AS$8:AS$4007,"&lt;="&amp;AU18,AR$8:AR$4007)-SUM(AV$10:AV17)</f>
        <v>1</v>
      </c>
      <c r="AW18">
        <f>COUNTIF(AS15:AS4014,"&lt;="&amp;AU18)-SUM(AW$10:AW17)</f>
        <v>198</v>
      </c>
      <c r="AX18" s="1">
        <f t="shared" si="18"/>
        <v>5.0505050505050509E-3</v>
      </c>
    </row>
    <row r="19" spans="1:50" x14ac:dyDescent="0.25">
      <c r="A19">
        <v>3</v>
      </c>
      <c r="B19">
        <v>2001</v>
      </c>
      <c r="C19" s="8">
        <v>0</v>
      </c>
      <c r="D19">
        <v>1.5918E-3</v>
      </c>
      <c r="E19">
        <v>0.14866099999999999</v>
      </c>
      <c r="F19">
        <v>-2.6662999999999999E-3</v>
      </c>
      <c r="G19">
        <v>0.16205120000000001</v>
      </c>
      <c r="H19">
        <v>0.15609219999999999</v>
      </c>
      <c r="I19" s="17" t="s">
        <v>15</v>
      </c>
      <c r="J19" s="18">
        <v>-9.838656301135412</v>
      </c>
      <c r="K19" s="18">
        <v>-6.2060676038724596</v>
      </c>
      <c r="L19" s="18">
        <v>-2.6342666528919989</v>
      </c>
      <c r="M19" s="18">
        <v>-4.9747563893314171</v>
      </c>
      <c r="N19" s="18"/>
      <c r="O19" s="19"/>
      <c r="Q19" s="10">
        <f>1/(1+EXP(-(J$6+SUMPRODUCT(K$6:O$6,D19:H19))))</f>
        <v>5.2195335049643056E-2</v>
      </c>
      <c r="W19" s="7"/>
      <c r="AI19">
        <v>-3.41435E-2</v>
      </c>
      <c r="AJ19">
        <f t="shared" si="2"/>
        <v>-3.41435E-2</v>
      </c>
      <c r="AO19">
        <v>-3.41435E-2</v>
      </c>
      <c r="AR19" s="8">
        <v>0</v>
      </c>
      <c r="AS19">
        <v>0.58529940000000003</v>
      </c>
      <c r="AT19" s="30">
        <f t="shared" si="16"/>
        <v>0.44999999999999996</v>
      </c>
      <c r="AU19">
        <f t="shared" si="17"/>
        <v>1.0195474</v>
      </c>
      <c r="AV19">
        <f>SUMIF(AS$8:AS$4007,"&lt;="&amp;AU19,AR$8:AR$4007)-SUM(AV$10:AV18)</f>
        <v>0</v>
      </c>
      <c r="AW19">
        <f>COUNTIF(AS16:AS4015,"&lt;="&amp;AU19)-SUM(AW$10:AW18)</f>
        <v>198</v>
      </c>
      <c r="AX19" s="1">
        <f t="shared" si="18"/>
        <v>0</v>
      </c>
    </row>
    <row r="20" spans="1:50" x14ac:dyDescent="0.25">
      <c r="A20">
        <v>3</v>
      </c>
      <c r="B20">
        <v>2002</v>
      </c>
      <c r="C20" s="8">
        <v>0</v>
      </c>
      <c r="D20">
        <v>-4.87345E-2</v>
      </c>
      <c r="E20">
        <v>1.6938700000000001E-2</v>
      </c>
      <c r="F20">
        <v>8.6358000000000008E-3</v>
      </c>
      <c r="G20">
        <v>7.3447499999999999E-2</v>
      </c>
      <c r="H20">
        <v>0.1641156</v>
      </c>
      <c r="I20" s="17" t="s">
        <v>16</v>
      </c>
      <c r="J20" s="18">
        <v>0</v>
      </c>
      <c r="K20" s="18">
        <v>5.4326809717508695E-10</v>
      </c>
      <c r="L20" s="18">
        <v>8.4319239467931517E-3</v>
      </c>
      <c r="M20" s="18">
        <v>6.53297449249024E-7</v>
      </c>
      <c r="N20" s="18"/>
      <c r="O20" s="19"/>
      <c r="Q20" s="10">
        <f>1/(1+EXP(-(J$6+SUMPRODUCT(K$6:O$6,D20:H20))))</f>
        <v>6.4602476949134555E-2</v>
      </c>
      <c r="S20" t="s">
        <v>37</v>
      </c>
      <c r="W20" s="7"/>
      <c r="AI20">
        <v>-3.4844300000000002E-2</v>
      </c>
      <c r="AJ20">
        <f t="shared" si="2"/>
        <v>-3.4844300000000002E-2</v>
      </c>
      <c r="AO20">
        <v>-3.4844300000000002E-2</v>
      </c>
      <c r="AR20" s="8">
        <v>0</v>
      </c>
      <c r="AS20">
        <v>0.3274492</v>
      </c>
      <c r="AT20" s="30">
        <f t="shared" si="16"/>
        <v>0.49999999999999994</v>
      </c>
      <c r="AU20">
        <f t="shared" si="17"/>
        <v>1.1364555000000001</v>
      </c>
      <c r="AV20">
        <f>SUMIF(AS$8:AS$4007,"&lt;="&amp;AU20,AR$8:AR$4007)-SUM(AV$10:AV19)</f>
        <v>0</v>
      </c>
      <c r="AW20">
        <f>COUNTIF(AS17:AS4016,"&lt;="&amp;AU20)-SUM(AW$10:AW19)</f>
        <v>198</v>
      </c>
      <c r="AX20" s="1">
        <f t="shared" si="18"/>
        <v>0</v>
      </c>
    </row>
    <row r="21" spans="1:50" x14ac:dyDescent="0.25">
      <c r="A21">
        <v>3</v>
      </c>
      <c r="B21">
        <v>2003</v>
      </c>
      <c r="C21" s="8">
        <v>0</v>
      </c>
      <c r="D21">
        <v>-3.41435E-2</v>
      </c>
      <c r="E21">
        <v>-1.33432E-2</v>
      </c>
      <c r="F21">
        <v>2.3561700000000001E-2</v>
      </c>
      <c r="G21">
        <v>0.10368819999999999</v>
      </c>
      <c r="H21">
        <v>0.17739460000000001</v>
      </c>
      <c r="I21" s="17" t="s">
        <v>17</v>
      </c>
      <c r="J21" s="18">
        <v>0.21736149866139803</v>
      </c>
      <c r="K21" s="18">
        <v>12</v>
      </c>
      <c r="L21" s="18" t="str">
        <v>#N/A</v>
      </c>
      <c r="M21" s="18" t="str">
        <v>#N/A</v>
      </c>
      <c r="N21" s="18"/>
      <c r="O21" s="19"/>
      <c r="Q21" s="10">
        <f>1/(1+EXP(-(J$6+SUMPRODUCT(K$6:O$6,D21:H21))))</f>
        <v>5.8304801433450931E-2</v>
      </c>
      <c r="S21" t="s">
        <v>35</v>
      </c>
      <c r="U21" s="2">
        <f>1/(1+EXP(-(SUMPRODUCT($T$8:$Y$8,$T$11:$Y$11)+U$8*(U17-U$11))))</f>
        <v>1.112617150422192E-2</v>
      </c>
      <c r="V21" s="2">
        <f t="shared" ref="V21:Y22" si="20">1/(1+EXP(-(SUMPRODUCT($T$8:$Y$8,$T$11:$Y$11)+V$8*(V17-V$11))))</f>
        <v>1.0141316091640732E-2</v>
      </c>
      <c r="W21" s="28">
        <f t="shared" si="20"/>
        <v>8.6760533339805337E-3</v>
      </c>
      <c r="X21" s="2">
        <f t="shared" si="20"/>
        <v>1.0823181015342102E-2</v>
      </c>
      <c r="Y21" s="2">
        <f t="shared" si="20"/>
        <v>1.0676055461233222E-2</v>
      </c>
      <c r="AI21">
        <v>2.37284E-2</v>
      </c>
      <c r="AJ21">
        <f t="shared" si="2"/>
        <v>2.37284E-2</v>
      </c>
      <c r="AO21">
        <v>2.37284E-2</v>
      </c>
      <c r="AR21" s="8">
        <v>0</v>
      </c>
      <c r="AS21">
        <v>0.16205120000000001</v>
      </c>
      <c r="AT21" s="30">
        <f t="shared" si="16"/>
        <v>0.54999999999999993</v>
      </c>
      <c r="AU21">
        <f t="shared" si="17"/>
        <v>1.3172502499999998</v>
      </c>
      <c r="AV21">
        <f>SUMIF(AS$8:AS$4007,"&lt;="&amp;AU21,AR$8:AR$4007)-SUM(AV$10:AV20)</f>
        <v>2</v>
      </c>
      <c r="AW21">
        <f>COUNTIF(AS18:AS4017,"&lt;="&amp;AU21)-SUM(AW$10:AW20)</f>
        <v>198</v>
      </c>
      <c r="AX21" s="1">
        <f t="shared" si="18"/>
        <v>1.0101010101010102E-2</v>
      </c>
    </row>
    <row r="22" spans="1:50" x14ac:dyDescent="0.25">
      <c r="A22">
        <v>3</v>
      </c>
      <c r="B22">
        <v>2004</v>
      </c>
      <c r="C22" s="8">
        <v>0</v>
      </c>
      <c r="D22">
        <v>-3.4844300000000002E-2</v>
      </c>
      <c r="E22">
        <v>-4.1509200000000003E-2</v>
      </c>
      <c r="F22">
        <v>1.73981E-2</v>
      </c>
      <c r="G22">
        <v>8.6528999999999995E-2</v>
      </c>
      <c r="H22">
        <v>0.18687509999999999</v>
      </c>
      <c r="I22" s="17" t="s">
        <v>18</v>
      </c>
      <c r="J22" s="18">
        <v>156.76097813293313</v>
      </c>
      <c r="K22" s="20">
        <v>9.164094174359503E-34</v>
      </c>
      <c r="L22" s="18" t="str">
        <v>#N/A</v>
      </c>
      <c r="M22" s="18" t="str">
        <v>#N/A</v>
      </c>
      <c r="N22" s="18"/>
      <c r="O22" s="19"/>
      <c r="Q22" s="10">
        <f>1/(1+EXP(-(J$6+SUMPRODUCT(K$6:O$6,D22:H22))))</f>
        <v>6.5448044961836482E-2</v>
      </c>
      <c r="S22" t="s">
        <v>36</v>
      </c>
      <c r="U22" s="2">
        <f>1/(1+EXP(-(SUMPRODUCT($T$8:$Y$8,$T$11:$Y$11)+U$8*(U18-U$11))))</f>
        <v>1.2075975635347394E-2</v>
      </c>
      <c r="V22" s="2">
        <f t="shared" si="20"/>
        <v>1.3517768911736222E-2</v>
      </c>
      <c r="W22" s="28">
        <f t="shared" si="20"/>
        <v>1.9104000408299567E-2</v>
      </c>
      <c r="X22" s="2">
        <f t="shared" si="20"/>
        <v>2.3697896718315088E-2</v>
      </c>
      <c r="Y22" s="2">
        <f t="shared" si="20"/>
        <v>1.2067788992095556E-2</v>
      </c>
      <c r="AI22">
        <v>1.53945E-2</v>
      </c>
      <c r="AJ22">
        <f t="shared" si="2"/>
        <v>1.53945E-2</v>
      </c>
      <c r="AO22">
        <v>1.53945E-2</v>
      </c>
      <c r="AR22" s="8">
        <v>0</v>
      </c>
      <c r="AS22">
        <v>7.3447499999999999E-2</v>
      </c>
      <c r="AT22" s="30">
        <f t="shared" si="16"/>
        <v>0.6</v>
      </c>
      <c r="AU22">
        <f t="shared" si="17"/>
        <v>1.5023244</v>
      </c>
      <c r="AV22">
        <f>SUMIF(AS$8:AS$4007,"&lt;="&amp;AU22,AR$8:AR$4007)-SUM(AV$10:AV21)</f>
        <v>1</v>
      </c>
      <c r="AW22">
        <f>COUNTIF(AS19:AS4018,"&lt;="&amp;AU22)-SUM(AW$10:AW21)</f>
        <v>199</v>
      </c>
      <c r="AX22" s="1">
        <f t="shared" si="18"/>
        <v>5.0251256281407036E-3</v>
      </c>
    </row>
    <row r="23" spans="1:50" ht="15.75" thickBot="1" x14ac:dyDescent="0.3">
      <c r="A23">
        <v>4</v>
      </c>
      <c r="B23">
        <v>1995</v>
      </c>
      <c r="C23" s="8">
        <v>0</v>
      </c>
      <c r="D23">
        <v>2.37284E-2</v>
      </c>
      <c r="E23">
        <v>4.6904599999999998E-2</v>
      </c>
      <c r="F23">
        <v>4.72968E-2</v>
      </c>
      <c r="G23">
        <v>0.55471930000000003</v>
      </c>
      <c r="H23">
        <v>7.2571899999999995E-2</v>
      </c>
      <c r="I23" s="21" t="s">
        <v>19</v>
      </c>
      <c r="J23" s="22">
        <v>-282.21920107721581</v>
      </c>
      <c r="K23" s="22">
        <v>-360.59969014368238</v>
      </c>
      <c r="L23" s="22" t="str">
        <v>#N/A</v>
      </c>
      <c r="M23" s="22" t="str">
        <v>#N/A</v>
      </c>
      <c r="N23" s="22"/>
      <c r="O23" s="23"/>
      <c r="Q23" s="10">
        <f>1/(1+EXP(-(J$6+SUMPRODUCT(K$6:O$6,D23:H23))))</f>
        <v>2.1474160738780959E-2</v>
      </c>
      <c r="AI23">
        <v>2.5840800000000001E-2</v>
      </c>
      <c r="AJ23">
        <f t="shared" si="2"/>
        <v>2.5840800000000001E-2</v>
      </c>
      <c r="AO23">
        <v>2.5840800000000001E-2</v>
      </c>
      <c r="AR23" s="8">
        <v>0</v>
      </c>
      <c r="AS23">
        <v>0.10368819999999999</v>
      </c>
      <c r="AT23" s="30">
        <f t="shared" si="16"/>
        <v>0.65</v>
      </c>
      <c r="AU23">
        <f t="shared" si="17"/>
        <v>1.7055078499999998</v>
      </c>
      <c r="AV23">
        <f>SUMIF(AS$8:AS$4007,"&lt;="&amp;AU23,AR$8:AR$4007)-SUM(AV$10:AV22)</f>
        <v>0</v>
      </c>
      <c r="AW23">
        <f>COUNTIF(AS20:AS4019,"&lt;="&amp;AU23)-SUM(AW$10:AW22)</f>
        <v>199</v>
      </c>
      <c r="AX23" s="1">
        <f t="shared" si="18"/>
        <v>0</v>
      </c>
    </row>
    <row r="24" spans="1:50" x14ac:dyDescent="0.25">
      <c r="A24">
        <v>4</v>
      </c>
      <c r="B24">
        <v>1996</v>
      </c>
      <c r="C24" s="8">
        <v>0</v>
      </c>
      <c r="D24">
        <v>1.53945E-2</v>
      </c>
      <c r="E24">
        <v>7.6581200000000002E-2</v>
      </c>
      <c r="F24">
        <v>3.4475400000000003E-2</v>
      </c>
      <c r="G24">
        <v>0.6033657</v>
      </c>
      <c r="H24">
        <v>9.4719200000000003E-2</v>
      </c>
      <c r="Q24" s="10">
        <f t="shared" si="4"/>
        <v>2.1309988377878421E-2</v>
      </c>
      <c r="AI24">
        <v>9.5810000000000003E-4</v>
      </c>
      <c r="AJ24">
        <f t="shared" si="2"/>
        <v>9.5810000000000003E-4</v>
      </c>
      <c r="AO24">
        <v>9.5810000000000003E-4</v>
      </c>
      <c r="AR24" s="8">
        <v>0</v>
      </c>
      <c r="AS24">
        <v>8.6528999999999995E-2</v>
      </c>
      <c r="AT24" s="30">
        <f t="shared" si="16"/>
        <v>0.70000000000000007</v>
      </c>
      <c r="AU24">
        <f t="shared" si="17"/>
        <v>1.9480765000000002</v>
      </c>
      <c r="AV24">
        <f>SUMIF(AS$8:AS$4007,"&lt;="&amp;AU24,AR$8:AR$4007)-SUM(AV$10:AV23)</f>
        <v>4</v>
      </c>
      <c r="AW24">
        <f>COUNTIF(AS21:AS4020,"&lt;="&amp;AU24)-SUM(AW$10:AW23)</f>
        <v>199</v>
      </c>
      <c r="AX24" s="1">
        <f t="shared" si="18"/>
        <v>2.0100502512562814E-2</v>
      </c>
    </row>
    <row r="25" spans="1:50" x14ac:dyDescent="0.25">
      <c r="A25">
        <v>4</v>
      </c>
      <c r="B25">
        <v>1997</v>
      </c>
      <c r="C25" s="8">
        <v>0</v>
      </c>
      <c r="D25">
        <v>2.5840800000000001E-2</v>
      </c>
      <c r="E25">
        <v>0.1059324</v>
      </c>
      <c r="F25">
        <v>4.3509800000000001E-2</v>
      </c>
      <c r="G25">
        <v>0.7934194</v>
      </c>
      <c r="H25">
        <v>9.9376999999999993E-2</v>
      </c>
      <c r="Q25" s="10">
        <f t="shared" si="4"/>
        <v>1.4236097451592601E-2</v>
      </c>
      <c r="AI25">
        <v>3.9468799999999998E-2</v>
      </c>
      <c r="AJ25">
        <f t="shared" si="2"/>
        <v>3.9468799999999998E-2</v>
      </c>
      <c r="AO25">
        <v>3.9468799999999998E-2</v>
      </c>
      <c r="AR25" s="8">
        <v>0</v>
      </c>
      <c r="AS25">
        <v>0.55471930000000003</v>
      </c>
      <c r="AT25" s="30">
        <f t="shared" si="16"/>
        <v>0.75000000000000011</v>
      </c>
      <c r="AU25">
        <f t="shared" si="17"/>
        <v>2.2442872499999997</v>
      </c>
      <c r="AV25">
        <f>SUMIF(AS$8:AS$4007,"&lt;="&amp;AU25,AR$8:AR$4007)-SUM(AV$10:AV24)</f>
        <v>2</v>
      </c>
      <c r="AW25">
        <f>COUNTIF(AS22:AS4021,"&lt;="&amp;AU25)-SUM(AW$10:AW24)</f>
        <v>199</v>
      </c>
      <c r="AX25" s="1">
        <f t="shared" si="18"/>
        <v>1.0050251256281407E-2</v>
      </c>
    </row>
    <row r="26" spans="1:50" x14ac:dyDescent="0.25">
      <c r="A26">
        <v>4</v>
      </c>
      <c r="B26">
        <v>1998</v>
      </c>
      <c r="C26" s="8">
        <v>0</v>
      </c>
      <c r="D26">
        <v>9.5810000000000003E-4</v>
      </c>
      <c r="E26">
        <v>0.1224919</v>
      </c>
      <c r="F26">
        <v>3.6776299999999998E-2</v>
      </c>
      <c r="G26">
        <v>0.81861150000000005</v>
      </c>
      <c r="H26">
        <v>9.2793899999999999E-2</v>
      </c>
      <c r="Q26" s="10">
        <f t="shared" si="4"/>
        <v>1.3892871059947839E-2</v>
      </c>
      <c r="AI26">
        <v>-4.5802000000000002E-2</v>
      </c>
      <c r="AJ26">
        <f t="shared" si="2"/>
        <v>-4.5802000000000002E-2</v>
      </c>
      <c r="AO26">
        <v>-4.5802000000000002E-2</v>
      </c>
      <c r="AR26" s="8">
        <v>0</v>
      </c>
      <c r="AS26">
        <v>0.6033657</v>
      </c>
      <c r="AT26" s="30">
        <f t="shared" si="16"/>
        <v>0.80000000000000016</v>
      </c>
      <c r="AU26">
        <f t="shared" si="17"/>
        <v>2.6545790000000009</v>
      </c>
      <c r="AV26">
        <f>SUMIF(AS$8:AS$4007,"&lt;="&amp;AU26,AR$8:AR$4007)-SUM(AV$10:AV25)</f>
        <v>0</v>
      </c>
      <c r="AW26">
        <f>COUNTIF(AS23:AS4022,"&lt;="&amp;AU26)-SUM(AW$10:AW25)</f>
        <v>199</v>
      </c>
      <c r="AX26" s="1">
        <f t="shared" si="18"/>
        <v>0</v>
      </c>
    </row>
    <row r="27" spans="1:50" x14ac:dyDescent="0.25">
      <c r="A27">
        <v>4</v>
      </c>
      <c r="B27">
        <v>1999</v>
      </c>
      <c r="C27" s="8">
        <v>0</v>
      </c>
      <c r="D27">
        <v>3.9468799999999998E-2</v>
      </c>
      <c r="E27">
        <v>0.14383109999999999</v>
      </c>
      <c r="F27">
        <v>2.4667000000000001E-2</v>
      </c>
      <c r="G27">
        <v>0.6260791</v>
      </c>
      <c r="H27">
        <v>0.1224316</v>
      </c>
      <c r="I27" s="24" t="s">
        <v>24</v>
      </c>
      <c r="Q27" s="10">
        <f t="shared" si="4"/>
        <v>2.0726263098442284E-2</v>
      </c>
      <c r="AI27">
        <v>-1.2081400000000001E-2</v>
      </c>
      <c r="AJ27">
        <f t="shared" si="2"/>
        <v>-1.2081400000000001E-2</v>
      </c>
      <c r="AO27">
        <v>-1.2081400000000001E-2</v>
      </c>
      <c r="AR27" s="8">
        <v>0</v>
      </c>
      <c r="AS27">
        <v>0.7934194</v>
      </c>
      <c r="AT27" s="30">
        <f t="shared" si="16"/>
        <v>0.8500000000000002</v>
      </c>
      <c r="AU27">
        <f t="shared" si="17"/>
        <v>3.2109544000000012</v>
      </c>
      <c r="AV27">
        <f>SUMIF(AS$8:AS$4007,"&lt;="&amp;AU27,AR$8:AR$4007)-SUM(AV$10:AV26)</f>
        <v>1</v>
      </c>
      <c r="AW27">
        <f>COUNTIF(AS24:AS4023,"&lt;="&amp;AU27)-SUM(AW$10:AW26)</f>
        <v>199</v>
      </c>
      <c r="AX27" s="1">
        <f t="shared" si="18"/>
        <v>5.0251256281407036E-3</v>
      </c>
    </row>
    <row r="28" spans="1:50" x14ac:dyDescent="0.25">
      <c r="A28">
        <v>4</v>
      </c>
      <c r="B28">
        <v>2000</v>
      </c>
      <c r="C28" s="8">
        <v>0</v>
      </c>
      <c r="D28">
        <v>-4.5802000000000002E-2</v>
      </c>
      <c r="E28">
        <v>0.14746719999999999</v>
      </c>
      <c r="F28">
        <v>4.2033500000000001E-2</v>
      </c>
      <c r="G28">
        <v>0.89065989999999995</v>
      </c>
      <c r="H28">
        <v>0.14724019999999999</v>
      </c>
      <c r="I28" s="24" t="s">
        <v>25</v>
      </c>
      <c r="J28">
        <f>2*(J12-J23)</f>
        <v>3.3869937338989757</v>
      </c>
      <c r="Q28" s="10">
        <f t="shared" si="4"/>
        <v>1.1644506262288214E-2</v>
      </c>
      <c r="AI28">
        <v>-1.0013000000000001E-3</v>
      </c>
      <c r="AJ28">
        <f t="shared" si="2"/>
        <v>-1.0013000000000001E-3</v>
      </c>
      <c r="AO28">
        <v>-1.0013000000000001E-3</v>
      </c>
      <c r="AR28" s="8">
        <v>0</v>
      </c>
      <c r="AS28">
        <v>0.81861150000000005</v>
      </c>
      <c r="AT28" s="30">
        <f t="shared" si="16"/>
        <v>0.90000000000000024</v>
      </c>
      <c r="AU28">
        <f t="shared" si="17"/>
        <v>3.8900712000000004</v>
      </c>
      <c r="AV28">
        <f>SUMIF(AS$8:AS$4007,"&lt;="&amp;AU28,AR$8:AR$4007)-SUM(AV$10:AV27)</f>
        <v>0</v>
      </c>
      <c r="AW28">
        <f>COUNTIF(AS25:AS4024,"&lt;="&amp;AU28)-SUM(AW$10:AW27)</f>
        <v>199</v>
      </c>
      <c r="AX28" s="1">
        <f t="shared" si="18"/>
        <v>0</v>
      </c>
    </row>
    <row r="29" spans="1:50" x14ac:dyDescent="0.25">
      <c r="A29">
        <v>4</v>
      </c>
      <c r="B29">
        <v>2001</v>
      </c>
      <c r="C29" s="8">
        <v>0</v>
      </c>
      <c r="D29">
        <v>-1.2081400000000001E-2</v>
      </c>
      <c r="E29">
        <v>0.14284669999999999</v>
      </c>
      <c r="F29">
        <v>3.6204699999999999E-2</v>
      </c>
      <c r="G29">
        <v>0.68315539999999997</v>
      </c>
      <c r="H29">
        <v>0.1103368</v>
      </c>
      <c r="I29" s="24" t="s">
        <v>26</v>
      </c>
      <c r="J29">
        <v>2</v>
      </c>
      <c r="Q29" s="10">
        <f t="shared" si="4"/>
        <v>1.6855436343293055E-2</v>
      </c>
      <c r="AI29">
        <v>9.7894999999999996E-3</v>
      </c>
      <c r="AJ29">
        <f t="shared" si="2"/>
        <v>9.7894999999999996E-3</v>
      </c>
      <c r="AO29">
        <v>9.7894999999999996E-3</v>
      </c>
      <c r="AR29" s="8">
        <v>0</v>
      </c>
      <c r="AS29">
        <v>0.6260791</v>
      </c>
      <c r="AT29" s="30">
        <f t="shared" si="16"/>
        <v>0.95000000000000029</v>
      </c>
      <c r="AU29">
        <f t="shared" si="17"/>
        <v>5.5976636000000068</v>
      </c>
      <c r="AV29">
        <f>SUMIF(AS$8:AS$4007,"&lt;="&amp;AU29,AR$8:AR$4007)-SUM(AV$10:AV28)</f>
        <v>0</v>
      </c>
      <c r="AW29">
        <f>COUNTIF(AS26:AS4025,"&lt;="&amp;AU29)-SUM(AW$10:AW28)</f>
        <v>199</v>
      </c>
      <c r="AX29" s="1">
        <f t="shared" si="18"/>
        <v>0</v>
      </c>
    </row>
    <row r="30" spans="1:50" x14ac:dyDescent="0.25">
      <c r="A30">
        <v>4</v>
      </c>
      <c r="B30">
        <v>2002</v>
      </c>
      <c r="C30" s="8">
        <v>0</v>
      </c>
      <c r="D30">
        <v>-1.0013000000000001E-3</v>
      </c>
      <c r="E30">
        <v>0.15111330000000001</v>
      </c>
      <c r="F30">
        <v>3.3298899999999999E-2</v>
      </c>
      <c r="G30">
        <v>0.5751773</v>
      </c>
      <c r="H30">
        <v>8.8600200000000004E-2</v>
      </c>
      <c r="I30" s="24" t="s">
        <v>16</v>
      </c>
      <c r="J30">
        <f>CHIDIST(J28,J29)</f>
        <v>0.18387541061375234</v>
      </c>
      <c r="Q30" s="10">
        <f t="shared" si="4"/>
        <v>2.0003046107619209E-2</v>
      </c>
      <c r="AI30">
        <v>-7.9076000000000007E-3</v>
      </c>
      <c r="AJ30">
        <f t="shared" si="2"/>
        <v>-7.9076000000000007E-3</v>
      </c>
      <c r="AO30">
        <v>-7.9076000000000007E-3</v>
      </c>
      <c r="AR30" s="8">
        <v>0</v>
      </c>
      <c r="AS30">
        <v>0.89065989999999995</v>
      </c>
      <c r="AT30" s="30">
        <f t="shared" si="16"/>
        <v>1.0000000000000002</v>
      </c>
      <c r="AU30">
        <f t="shared" si="17"/>
        <v>60.607149999999997</v>
      </c>
      <c r="AV30">
        <f>SUMIF(AS$8:AS$4007,"&lt;="&amp;AU30,AR$8:AR$4007)-SUM(AV$10:AV29)</f>
        <v>1</v>
      </c>
      <c r="AW30">
        <f>COUNTIF(AS27:AS4026,"&lt;="&amp;AU30)-SUM(AW$10:AW29)</f>
        <v>199</v>
      </c>
      <c r="AX30" s="1">
        <f t="shared" si="18"/>
        <v>5.0251256281407036E-3</v>
      </c>
    </row>
    <row r="31" spans="1:50" x14ac:dyDescent="0.25">
      <c r="A31">
        <v>4</v>
      </c>
      <c r="B31">
        <v>2003</v>
      </c>
      <c r="C31" s="8">
        <v>0</v>
      </c>
      <c r="D31">
        <v>9.7894999999999996E-3</v>
      </c>
      <c r="E31">
        <v>0.14604919999999999</v>
      </c>
      <c r="F31">
        <v>4.2586600000000002E-2</v>
      </c>
      <c r="G31">
        <v>0.57736209999999999</v>
      </c>
      <c r="H31">
        <v>0.1117286</v>
      </c>
      <c r="Q31" s="10">
        <f t="shared" si="4"/>
        <v>1.9016075989082455E-2</v>
      </c>
      <c r="AI31">
        <v>0.1523052</v>
      </c>
      <c r="AJ31">
        <f t="shared" si="2"/>
        <v>0.1523052</v>
      </c>
      <c r="AO31">
        <v>0.1523052</v>
      </c>
      <c r="AR31" s="8">
        <v>0</v>
      </c>
      <c r="AS31">
        <v>0.68315539999999997</v>
      </c>
    </row>
    <row r="32" spans="1:50" x14ac:dyDescent="0.25">
      <c r="A32">
        <v>4</v>
      </c>
      <c r="B32">
        <v>2004</v>
      </c>
      <c r="C32" s="8">
        <v>0</v>
      </c>
      <c r="D32">
        <v>-7.9076000000000007E-3</v>
      </c>
      <c r="E32">
        <v>0.16433829999999999</v>
      </c>
      <c r="F32">
        <v>4.5520600000000001E-2</v>
      </c>
      <c r="G32">
        <v>0.62229690000000004</v>
      </c>
      <c r="H32">
        <v>0.10629379999999999</v>
      </c>
      <c r="Q32" s="10">
        <f t="shared" si="4"/>
        <v>1.6697746474764314E-2</v>
      </c>
      <c r="AI32">
        <v>0.23382030000000001</v>
      </c>
      <c r="AJ32">
        <f t="shared" si="2"/>
        <v>0.23382030000000001</v>
      </c>
      <c r="AO32">
        <v>0.23382030000000001</v>
      </c>
      <c r="AR32" s="8">
        <v>0</v>
      </c>
      <c r="AS32">
        <v>0.5751773</v>
      </c>
    </row>
    <row r="33" spans="1:45" x14ac:dyDescent="0.25">
      <c r="A33">
        <v>5</v>
      </c>
      <c r="B33">
        <v>1999</v>
      </c>
      <c r="C33" s="8">
        <v>0</v>
      </c>
      <c r="D33">
        <v>0.1523052</v>
      </c>
      <c r="E33">
        <v>0.42399959999999998</v>
      </c>
      <c r="F33">
        <v>9.6685999999999994E-2</v>
      </c>
      <c r="G33">
        <v>7.9581249999999999</v>
      </c>
      <c r="H33">
        <v>0.27485520000000002</v>
      </c>
      <c r="Q33" s="10">
        <f t="shared" si="4"/>
        <v>7.6808404149336228E-8</v>
      </c>
      <c r="AI33">
        <v>4.7898799999999998E-2</v>
      </c>
      <c r="AJ33">
        <f t="shared" si="2"/>
        <v>4.7898799999999998E-2</v>
      </c>
      <c r="AO33">
        <v>4.7898799999999998E-2</v>
      </c>
      <c r="AR33" s="8">
        <v>0</v>
      </c>
      <c r="AS33">
        <v>0.57736209999999999</v>
      </c>
    </row>
    <row r="34" spans="1:45" x14ac:dyDescent="0.25">
      <c r="A34">
        <v>5</v>
      </c>
      <c r="B34">
        <v>2000</v>
      </c>
      <c r="C34" s="8">
        <v>0</v>
      </c>
      <c r="D34">
        <v>0.23382030000000001</v>
      </c>
      <c r="E34">
        <v>0.46695249999999999</v>
      </c>
      <c r="F34">
        <v>9.2200799999999999E-2</v>
      </c>
      <c r="G34">
        <v>11.16999</v>
      </c>
      <c r="H34">
        <v>0.2733042</v>
      </c>
      <c r="Q34" s="10">
        <f t="shared" si="4"/>
        <v>4.626177510811031E-10</v>
      </c>
      <c r="AI34">
        <v>0.1230267</v>
      </c>
      <c r="AJ34">
        <f t="shared" si="2"/>
        <v>0.1230267</v>
      </c>
      <c r="AO34">
        <v>0.1230267</v>
      </c>
      <c r="AR34" s="8">
        <v>0</v>
      </c>
      <c r="AS34">
        <v>0.62229690000000004</v>
      </c>
    </row>
    <row r="35" spans="1:45" x14ac:dyDescent="0.25">
      <c r="A35">
        <v>5</v>
      </c>
      <c r="B35">
        <v>2001</v>
      </c>
      <c r="C35" s="8">
        <v>0</v>
      </c>
      <c r="D35">
        <v>4.7898799999999998E-2</v>
      </c>
      <c r="E35">
        <v>0.31650410000000001</v>
      </c>
      <c r="F35">
        <v>8.3631700000000003E-2</v>
      </c>
      <c r="G35">
        <v>6.1182309999999998</v>
      </c>
      <c r="H35">
        <v>0.2136721</v>
      </c>
      <c r="Q35" s="10">
        <f t="shared" si="4"/>
        <v>1.72485420071099E-6</v>
      </c>
      <c r="AI35">
        <v>0.13820850000000001</v>
      </c>
      <c r="AJ35">
        <f t="shared" si="2"/>
        <v>0.13820850000000001</v>
      </c>
      <c r="AO35">
        <v>0.13820850000000001</v>
      </c>
      <c r="AR35" s="8">
        <v>0</v>
      </c>
      <c r="AS35">
        <v>7.9581249999999999</v>
      </c>
    </row>
    <row r="36" spans="1:45" x14ac:dyDescent="0.25">
      <c r="A36">
        <v>5</v>
      </c>
      <c r="B36">
        <v>2002</v>
      </c>
      <c r="C36" s="8">
        <v>0</v>
      </c>
      <c r="D36">
        <v>0.1230267</v>
      </c>
      <c r="E36">
        <v>0.36383959999999999</v>
      </c>
      <c r="F36">
        <v>7.2795799999999994E-2</v>
      </c>
      <c r="G36">
        <v>4.6303539999999996</v>
      </c>
      <c r="H36">
        <v>0.2169732</v>
      </c>
      <c r="Q36" s="10">
        <f t="shared" si="4"/>
        <v>1.9437914540669974E-5</v>
      </c>
      <c r="AI36">
        <v>0.15924140000000001</v>
      </c>
      <c r="AJ36">
        <f t="shared" si="2"/>
        <v>0.15924140000000001</v>
      </c>
      <c r="AO36">
        <v>0.15924140000000001</v>
      </c>
      <c r="AR36" s="8">
        <v>0</v>
      </c>
      <c r="AS36">
        <v>11.16999</v>
      </c>
    </row>
    <row r="37" spans="1:45" x14ac:dyDescent="0.25">
      <c r="A37">
        <v>5</v>
      </c>
      <c r="B37">
        <v>2003</v>
      </c>
      <c r="C37" s="8">
        <v>0</v>
      </c>
      <c r="D37">
        <v>0.13820850000000001</v>
      </c>
      <c r="E37">
        <v>0.41132210000000002</v>
      </c>
      <c r="F37">
        <v>7.6402200000000003E-2</v>
      </c>
      <c r="G37">
        <v>5.3768060000000002</v>
      </c>
      <c r="H37">
        <v>0.22068779999999999</v>
      </c>
      <c r="Q37" s="10">
        <f t="shared" si="4"/>
        <v>5.410832044921885E-6</v>
      </c>
      <c r="AI37">
        <v>7.9795599999999994E-2</v>
      </c>
      <c r="AJ37">
        <f t="shared" si="2"/>
        <v>7.9795599999999994E-2</v>
      </c>
      <c r="AO37">
        <v>7.9795599999999994E-2</v>
      </c>
      <c r="AR37" s="8">
        <v>0</v>
      </c>
      <c r="AS37">
        <v>6.1182309999999998</v>
      </c>
    </row>
    <row r="38" spans="1:45" x14ac:dyDescent="0.25">
      <c r="A38">
        <v>5</v>
      </c>
      <c r="B38">
        <v>2004</v>
      </c>
      <c r="C38" s="8">
        <v>0</v>
      </c>
      <c r="D38">
        <v>0.15924140000000001</v>
      </c>
      <c r="E38">
        <v>0.42921550000000003</v>
      </c>
      <c r="F38">
        <v>6.9641900000000007E-2</v>
      </c>
      <c r="G38">
        <v>5.0608820000000003</v>
      </c>
      <c r="H38">
        <v>0.22095290000000001</v>
      </c>
      <c r="Q38" s="10">
        <f t="shared" si="4"/>
        <v>9.2886434925287121E-6</v>
      </c>
      <c r="AI38">
        <v>2.9503499999999998E-2</v>
      </c>
      <c r="AJ38">
        <f t="shared" si="2"/>
        <v>2.9503499999999998E-2</v>
      </c>
      <c r="AO38">
        <v>2.9503499999999998E-2</v>
      </c>
      <c r="AR38" s="8">
        <v>0</v>
      </c>
      <c r="AS38">
        <v>4.6303539999999996</v>
      </c>
    </row>
    <row r="39" spans="1:45" x14ac:dyDescent="0.25">
      <c r="A39">
        <v>6</v>
      </c>
      <c r="B39">
        <v>1998</v>
      </c>
      <c r="C39" s="8">
        <v>0</v>
      </c>
      <c r="D39">
        <v>7.9795599999999994E-2</v>
      </c>
      <c r="E39">
        <v>9.5275899999999997E-2</v>
      </c>
      <c r="F39">
        <v>1.5059899999999999E-2</v>
      </c>
      <c r="G39">
        <v>0.74610019999999999</v>
      </c>
      <c r="H39">
        <v>0.14264550000000001</v>
      </c>
      <c r="Q39" s="10">
        <f t="shared" si="4"/>
        <v>2.0432421330241264E-2</v>
      </c>
      <c r="AI39">
        <v>2.5676899999999999E-2</v>
      </c>
      <c r="AJ39">
        <f t="shared" si="2"/>
        <v>2.5676899999999999E-2</v>
      </c>
      <c r="AO39">
        <v>2.5676899999999999E-2</v>
      </c>
      <c r="AR39" s="8">
        <v>0</v>
      </c>
      <c r="AS39">
        <v>5.3768060000000002</v>
      </c>
    </row>
    <row r="40" spans="1:45" x14ac:dyDescent="0.25">
      <c r="A40">
        <v>6</v>
      </c>
      <c r="B40">
        <v>1999</v>
      </c>
      <c r="C40" s="8">
        <v>0</v>
      </c>
      <c r="D40">
        <v>2.9503499999999998E-2</v>
      </c>
      <c r="E40">
        <v>4.1026199999999999E-2</v>
      </c>
      <c r="F40">
        <v>3.1301900000000001E-2</v>
      </c>
      <c r="G40">
        <v>0.80747400000000003</v>
      </c>
      <c r="H40">
        <v>0.13550599999999999</v>
      </c>
      <c r="Q40" s="10">
        <f t="shared" si="4"/>
        <v>1.7223634949928429E-2</v>
      </c>
      <c r="AI40">
        <v>4.1828400000000002E-2</v>
      </c>
      <c r="AJ40">
        <f t="shared" si="2"/>
        <v>4.1828400000000002E-2</v>
      </c>
      <c r="AO40">
        <v>4.1828400000000002E-2</v>
      </c>
      <c r="AR40" s="8">
        <v>0</v>
      </c>
      <c r="AS40">
        <v>5.0608820000000003</v>
      </c>
    </row>
    <row r="41" spans="1:45" x14ac:dyDescent="0.25">
      <c r="A41">
        <v>6</v>
      </c>
      <c r="B41">
        <v>2000</v>
      </c>
      <c r="C41" s="8">
        <v>0</v>
      </c>
      <c r="D41">
        <v>2.5676899999999999E-2</v>
      </c>
      <c r="E41">
        <v>-8.6209000000000008E-3</v>
      </c>
      <c r="F41">
        <v>6.2634499999999996E-2</v>
      </c>
      <c r="G41">
        <v>0.76515540000000004</v>
      </c>
      <c r="H41">
        <v>0.18306990000000001</v>
      </c>
      <c r="Q41" s="10">
        <f t="shared" si="4"/>
        <v>1.5871785416768095E-2</v>
      </c>
      <c r="AI41">
        <v>4.15267E-2</v>
      </c>
      <c r="AJ41">
        <f t="shared" si="2"/>
        <v>4.15267E-2</v>
      </c>
      <c r="AO41">
        <v>4.15267E-2</v>
      </c>
      <c r="AR41" s="8">
        <v>0</v>
      </c>
      <c r="AS41">
        <v>0.74610019999999999</v>
      </c>
    </row>
    <row r="42" spans="1:45" x14ac:dyDescent="0.25">
      <c r="A42">
        <v>6</v>
      </c>
      <c r="B42">
        <v>2001</v>
      </c>
      <c r="C42" s="8">
        <v>0</v>
      </c>
      <c r="D42">
        <v>4.1828400000000002E-2</v>
      </c>
      <c r="E42">
        <v>1.4074000000000001E-3</v>
      </c>
      <c r="F42">
        <v>4.2676600000000002E-2</v>
      </c>
      <c r="G42">
        <v>0.64149829999999997</v>
      </c>
      <c r="H42">
        <v>0.13342509999999999</v>
      </c>
      <c r="Q42" s="10">
        <f t="shared" si="4"/>
        <v>2.1686002532294042E-2</v>
      </c>
      <c r="AI42">
        <v>2.1824400000000001E-2</v>
      </c>
      <c r="AJ42">
        <f t="shared" si="2"/>
        <v>2.1824400000000001E-2</v>
      </c>
      <c r="AO42">
        <v>2.1824400000000001E-2</v>
      </c>
      <c r="AR42" s="8">
        <v>0</v>
      </c>
      <c r="AS42">
        <v>0.80747400000000003</v>
      </c>
    </row>
    <row r="43" spans="1:45" x14ac:dyDescent="0.25">
      <c r="A43">
        <v>6</v>
      </c>
      <c r="B43">
        <v>2002</v>
      </c>
      <c r="C43" s="8">
        <v>0</v>
      </c>
      <c r="D43">
        <v>4.15267E-2</v>
      </c>
      <c r="E43">
        <v>-3.9614000000000003E-3</v>
      </c>
      <c r="F43">
        <v>2.5697899999999999E-2</v>
      </c>
      <c r="G43">
        <v>0.71072610000000003</v>
      </c>
      <c r="H43">
        <v>0.15321080000000001</v>
      </c>
      <c r="Q43" s="10">
        <f t="shared" si="4"/>
        <v>2.267119136745924E-2</v>
      </c>
      <c r="AI43">
        <v>8.0377000000000001E-3</v>
      </c>
      <c r="AJ43">
        <f t="shared" si="2"/>
        <v>8.0377000000000001E-3</v>
      </c>
      <c r="AO43">
        <v>8.0377000000000001E-3</v>
      </c>
      <c r="AR43" s="8">
        <v>0</v>
      </c>
      <c r="AS43">
        <v>0.76515540000000004</v>
      </c>
    </row>
    <row r="44" spans="1:45" x14ac:dyDescent="0.25">
      <c r="A44">
        <v>6</v>
      </c>
      <c r="B44">
        <v>2003</v>
      </c>
      <c r="C44" s="8">
        <v>0</v>
      </c>
      <c r="D44">
        <v>2.1824400000000001E-2</v>
      </c>
      <c r="E44">
        <v>-2.86293E-2</v>
      </c>
      <c r="F44">
        <v>3.01915E-2</v>
      </c>
      <c r="G44">
        <v>0.64877669999999998</v>
      </c>
      <c r="H44">
        <v>0.1750746</v>
      </c>
      <c r="Q44" s="10">
        <f t="shared" si="4"/>
        <v>2.5094351179449734E-2</v>
      </c>
      <c r="AI44">
        <v>8.6693300000000001E-2</v>
      </c>
      <c r="AJ44">
        <f t="shared" si="2"/>
        <v>8.6693300000000001E-2</v>
      </c>
      <c r="AO44">
        <v>8.6693300000000001E-2</v>
      </c>
      <c r="AR44" s="8">
        <v>0</v>
      </c>
      <c r="AS44">
        <v>0.64149829999999997</v>
      </c>
    </row>
    <row r="45" spans="1:45" x14ac:dyDescent="0.25">
      <c r="A45">
        <v>6</v>
      </c>
      <c r="B45">
        <v>2004</v>
      </c>
      <c r="C45" s="8">
        <v>0</v>
      </c>
      <c r="D45">
        <v>8.0377000000000001E-3</v>
      </c>
      <c r="E45">
        <v>-4.7379400000000002E-2</v>
      </c>
      <c r="F45">
        <v>4.3104700000000003E-2</v>
      </c>
      <c r="G45">
        <v>0.55162690000000003</v>
      </c>
      <c r="H45">
        <v>0.2016917</v>
      </c>
      <c r="Q45" s="10">
        <f t="shared" si="4"/>
        <v>2.7381376617375643E-2</v>
      </c>
      <c r="AI45">
        <v>6.7510000000000001E-2</v>
      </c>
      <c r="AJ45">
        <f t="shared" si="2"/>
        <v>6.7510000000000001E-2</v>
      </c>
      <c r="AO45">
        <v>6.7510000000000001E-2</v>
      </c>
      <c r="AR45" s="8">
        <v>0</v>
      </c>
      <c r="AS45">
        <v>0.71072610000000003</v>
      </c>
    </row>
    <row r="46" spans="1:45" x14ac:dyDescent="0.25">
      <c r="A46">
        <v>7</v>
      </c>
      <c r="B46">
        <v>1998</v>
      </c>
      <c r="C46" s="8">
        <v>0</v>
      </c>
      <c r="D46">
        <v>8.6693300000000001E-2</v>
      </c>
      <c r="E46">
        <v>-4.6342000000000001E-2</v>
      </c>
      <c r="F46">
        <v>4.7951500000000001E-2</v>
      </c>
      <c r="G46">
        <v>1.13462</v>
      </c>
      <c r="H46">
        <v>0.1896871</v>
      </c>
      <c r="Q46" s="10">
        <f t="shared" si="4"/>
        <v>1.0832565391946263E-2</v>
      </c>
      <c r="AI46">
        <v>5.31902E-2</v>
      </c>
      <c r="AJ46">
        <f t="shared" si="2"/>
        <v>5.31902E-2</v>
      </c>
      <c r="AO46">
        <v>5.31902E-2</v>
      </c>
      <c r="AR46" s="8">
        <v>0</v>
      </c>
      <c r="AS46">
        <v>0.64877669999999998</v>
      </c>
    </row>
    <row r="47" spans="1:45" x14ac:dyDescent="0.25">
      <c r="A47">
        <v>7</v>
      </c>
      <c r="B47">
        <v>1999</v>
      </c>
      <c r="C47" s="8">
        <v>0</v>
      </c>
      <c r="D47">
        <v>6.7510000000000001E-2</v>
      </c>
      <c r="E47">
        <v>-1.17479E-2</v>
      </c>
      <c r="F47">
        <v>6.7293599999999995E-2</v>
      </c>
      <c r="G47">
        <v>0.88055850000000002</v>
      </c>
      <c r="H47">
        <v>0.1836091</v>
      </c>
      <c r="Q47" s="10">
        <f t="shared" si="4"/>
        <v>1.3045624520547059E-2</v>
      </c>
      <c r="AI47">
        <v>-0.38003550000000003</v>
      </c>
      <c r="AJ47">
        <f t="shared" si="2"/>
        <v>-0.113345184</v>
      </c>
      <c r="AO47">
        <v>-0.113345184</v>
      </c>
      <c r="AR47" s="8">
        <v>0</v>
      </c>
      <c r="AS47">
        <v>0.55162690000000003</v>
      </c>
    </row>
    <row r="48" spans="1:45" x14ac:dyDescent="0.25">
      <c r="A48">
        <v>7</v>
      </c>
      <c r="B48">
        <v>2000</v>
      </c>
      <c r="C48" s="8">
        <v>0</v>
      </c>
      <c r="D48">
        <v>5.31902E-2</v>
      </c>
      <c r="E48">
        <v>0.2398293</v>
      </c>
      <c r="F48">
        <v>2.7088399999999999E-2</v>
      </c>
      <c r="G48">
        <v>0.46290029999999999</v>
      </c>
      <c r="H48">
        <v>0.1379696</v>
      </c>
      <c r="Q48" s="10">
        <f t="shared" si="4"/>
        <v>2.3225482482199401E-2</v>
      </c>
      <c r="AI48">
        <v>0.14048840000000001</v>
      </c>
      <c r="AJ48">
        <f t="shared" si="2"/>
        <v>0.14048840000000001</v>
      </c>
      <c r="AO48">
        <v>0.14048840000000001</v>
      </c>
      <c r="AR48" s="8">
        <v>0</v>
      </c>
      <c r="AS48">
        <v>1.13462</v>
      </c>
    </row>
    <row r="49" spans="1:45" x14ac:dyDescent="0.25">
      <c r="A49">
        <v>7</v>
      </c>
      <c r="B49">
        <v>2001</v>
      </c>
      <c r="C49" s="8">
        <v>0</v>
      </c>
      <c r="D49">
        <v>-0.38003550000000003</v>
      </c>
      <c r="E49">
        <v>0.32729910000000001</v>
      </c>
      <c r="F49">
        <v>1.52205E-2</v>
      </c>
      <c r="G49">
        <v>1.216094</v>
      </c>
      <c r="H49">
        <v>0.1131646</v>
      </c>
      <c r="Q49" s="10">
        <f t="shared" si="4"/>
        <v>5.6724807742667416E-3</v>
      </c>
      <c r="AI49">
        <v>0.27805530000000001</v>
      </c>
      <c r="AJ49">
        <f t="shared" si="2"/>
        <v>0.27805530000000001</v>
      </c>
      <c r="AO49">
        <v>0.27805530000000001</v>
      </c>
      <c r="AR49" s="8">
        <v>0</v>
      </c>
      <c r="AS49">
        <v>0.88055850000000002</v>
      </c>
    </row>
    <row r="50" spans="1:45" x14ac:dyDescent="0.25">
      <c r="A50">
        <v>8</v>
      </c>
      <c r="B50">
        <v>1999</v>
      </c>
      <c r="C50" s="8">
        <v>0</v>
      </c>
      <c r="D50">
        <v>0.14048840000000001</v>
      </c>
      <c r="E50">
        <v>0.23074790000000001</v>
      </c>
      <c r="F50">
        <v>5.3958800000000001E-2</v>
      </c>
      <c r="G50">
        <v>1.802133</v>
      </c>
      <c r="H50">
        <v>0.25492979999999998</v>
      </c>
      <c r="Q50" s="10">
        <f t="shared" si="4"/>
        <v>2.5572198461892011E-3</v>
      </c>
      <c r="AI50">
        <v>0.21298790000000001</v>
      </c>
      <c r="AJ50">
        <f t="shared" si="2"/>
        <v>0.21298790000000001</v>
      </c>
      <c r="AO50">
        <v>0.21298790000000001</v>
      </c>
      <c r="AR50" s="8">
        <v>0</v>
      </c>
      <c r="AS50">
        <v>0.46290029999999999</v>
      </c>
    </row>
    <row r="51" spans="1:45" x14ac:dyDescent="0.25">
      <c r="A51">
        <v>8</v>
      </c>
      <c r="B51">
        <v>2000</v>
      </c>
      <c r="C51" s="8">
        <v>0</v>
      </c>
      <c r="D51">
        <v>0.27805530000000001</v>
      </c>
      <c r="E51">
        <v>0.33973609999999999</v>
      </c>
      <c r="F51">
        <v>6.0129299999999997E-2</v>
      </c>
      <c r="G51">
        <v>1.6977789999999999</v>
      </c>
      <c r="H51">
        <v>0.2373005</v>
      </c>
      <c r="Q51" s="10">
        <f t="shared" si="4"/>
        <v>2.5688525407075689E-3</v>
      </c>
      <c r="AI51">
        <v>0.1541534</v>
      </c>
      <c r="AJ51">
        <f t="shared" si="2"/>
        <v>0.1541534</v>
      </c>
      <c r="AO51">
        <v>0.1541534</v>
      </c>
      <c r="AR51" s="8">
        <v>0</v>
      </c>
      <c r="AS51">
        <v>1.216094</v>
      </c>
    </row>
    <row r="52" spans="1:45" x14ac:dyDescent="0.25">
      <c r="A52">
        <v>8</v>
      </c>
      <c r="B52">
        <v>2001</v>
      </c>
      <c r="C52" s="8">
        <v>0</v>
      </c>
      <c r="D52">
        <v>0.21298790000000001</v>
      </c>
      <c r="E52">
        <v>0.31702010000000003</v>
      </c>
      <c r="F52">
        <v>2.3677199999999999E-2</v>
      </c>
      <c r="G52">
        <v>2.6131120000000001</v>
      </c>
      <c r="H52">
        <v>0.19518360000000001</v>
      </c>
      <c r="Q52" s="10">
        <f t="shared" si="4"/>
        <v>7.851538677412812E-4</v>
      </c>
      <c r="AI52">
        <v>0.23069190000000001</v>
      </c>
      <c r="AJ52">
        <f t="shared" si="2"/>
        <v>0.23069190000000001</v>
      </c>
      <c r="AO52">
        <v>0.23069190000000001</v>
      </c>
      <c r="AR52" s="8">
        <v>0</v>
      </c>
      <c r="AS52">
        <v>1.802133</v>
      </c>
    </row>
    <row r="53" spans="1:45" x14ac:dyDescent="0.25">
      <c r="A53">
        <v>8</v>
      </c>
      <c r="B53">
        <v>2002</v>
      </c>
      <c r="C53" s="8">
        <v>0</v>
      </c>
      <c r="D53">
        <v>0.1541534</v>
      </c>
      <c r="E53">
        <v>0.1474664</v>
      </c>
      <c r="F53">
        <v>-2.0901400000000001E-2</v>
      </c>
      <c r="G53">
        <v>0.74257200000000001</v>
      </c>
      <c r="H53">
        <v>0.1434946</v>
      </c>
      <c r="Q53" s="10">
        <f t="shared" si="4"/>
        <v>2.605219629980407E-2</v>
      </c>
      <c r="AI53">
        <v>0.2059725</v>
      </c>
      <c r="AJ53">
        <f t="shared" si="2"/>
        <v>0.2059725</v>
      </c>
      <c r="AO53">
        <v>0.2059725</v>
      </c>
      <c r="AR53" s="8">
        <v>0</v>
      </c>
      <c r="AS53">
        <v>1.6977789999999999</v>
      </c>
    </row>
    <row r="54" spans="1:45" x14ac:dyDescent="0.25">
      <c r="A54">
        <v>8</v>
      </c>
      <c r="B54">
        <v>2003</v>
      </c>
      <c r="C54" s="8">
        <v>0</v>
      </c>
      <c r="D54">
        <v>0.23069190000000001</v>
      </c>
      <c r="E54">
        <v>0.10470930000000001</v>
      </c>
      <c r="F54">
        <v>4.61991E-2</v>
      </c>
      <c r="G54">
        <v>1.142992</v>
      </c>
      <c r="H54">
        <v>0.2065941</v>
      </c>
      <c r="Q54" s="10">
        <f t="shared" si="4"/>
        <v>9.3488173184793702E-3</v>
      </c>
      <c r="AI54">
        <v>-0.1696203</v>
      </c>
      <c r="AJ54">
        <f t="shared" si="2"/>
        <v>-0.113345184</v>
      </c>
      <c r="AO54">
        <v>-0.113345184</v>
      </c>
      <c r="AR54" s="8">
        <v>0</v>
      </c>
      <c r="AS54">
        <v>2.6131120000000001</v>
      </c>
    </row>
    <row r="55" spans="1:45" x14ac:dyDescent="0.25">
      <c r="A55">
        <v>8</v>
      </c>
      <c r="B55">
        <v>2004</v>
      </c>
      <c r="C55" s="8">
        <v>0</v>
      </c>
      <c r="D55">
        <v>0.2059725</v>
      </c>
      <c r="E55">
        <v>0.1323696</v>
      </c>
      <c r="F55">
        <v>3.8961700000000002E-2</v>
      </c>
      <c r="G55">
        <v>1.7049510000000001</v>
      </c>
      <c r="H55">
        <v>0.19177230000000001</v>
      </c>
      <c r="Q55" s="10">
        <f t="shared" si="4"/>
        <v>3.8324833134549424E-3</v>
      </c>
      <c r="AI55">
        <v>3.4947800000000001E-2</v>
      </c>
      <c r="AJ55">
        <f t="shared" si="2"/>
        <v>3.4947800000000001E-2</v>
      </c>
      <c r="AO55">
        <v>3.4947800000000001E-2</v>
      </c>
      <c r="AR55" s="8">
        <v>0</v>
      </c>
      <c r="AS55">
        <v>0.74257200000000001</v>
      </c>
    </row>
    <row r="56" spans="1:45" x14ac:dyDescent="0.25">
      <c r="A56">
        <v>9</v>
      </c>
      <c r="B56">
        <v>1995</v>
      </c>
      <c r="C56" s="8">
        <v>0</v>
      </c>
      <c r="D56">
        <v>-0.1696203</v>
      </c>
      <c r="E56">
        <v>7.3403599999999999E-2</v>
      </c>
      <c r="F56">
        <v>7.2735400000000006E-2</v>
      </c>
      <c r="G56">
        <v>1.572166</v>
      </c>
      <c r="H56">
        <v>0.1643561</v>
      </c>
      <c r="Q56" s="10">
        <f t="shared" si="4"/>
        <v>3.3154170507133872E-3</v>
      </c>
      <c r="AI56">
        <v>1.2264199999999999E-2</v>
      </c>
      <c r="AJ56">
        <f t="shared" si="2"/>
        <v>1.2264199999999999E-2</v>
      </c>
      <c r="AO56">
        <v>1.2264199999999999E-2</v>
      </c>
      <c r="AR56" s="8">
        <v>0</v>
      </c>
      <c r="AS56">
        <v>1.142992</v>
      </c>
    </row>
    <row r="57" spans="1:45" x14ac:dyDescent="0.25">
      <c r="A57">
        <v>9</v>
      </c>
      <c r="B57">
        <v>1996</v>
      </c>
      <c r="C57" s="8">
        <v>0</v>
      </c>
      <c r="D57">
        <v>3.4947800000000001E-2</v>
      </c>
      <c r="E57">
        <v>-6.9583699999999998E-2</v>
      </c>
      <c r="F57">
        <v>3.96081E-2</v>
      </c>
      <c r="G57">
        <v>3.3700730000000001</v>
      </c>
      <c r="H57">
        <v>8.6247500000000005E-2</v>
      </c>
      <c r="Q57" s="10">
        <f t="shared" si="4"/>
        <v>3.1528283781435805E-4</v>
      </c>
      <c r="AI57">
        <v>0.28196789999999999</v>
      </c>
      <c r="AJ57">
        <f t="shared" si="2"/>
        <v>0.28196789999999999</v>
      </c>
      <c r="AO57">
        <v>0.28196789999999999</v>
      </c>
      <c r="AR57" s="8">
        <v>0</v>
      </c>
      <c r="AS57">
        <v>1.7049510000000001</v>
      </c>
    </row>
    <row r="58" spans="1:45" x14ac:dyDescent="0.25">
      <c r="A58">
        <v>9</v>
      </c>
      <c r="B58">
        <v>1997</v>
      </c>
      <c r="C58" s="8">
        <v>0</v>
      </c>
      <c r="D58">
        <v>1.2264199999999999E-2</v>
      </c>
      <c r="E58">
        <v>-3.5246E-2</v>
      </c>
      <c r="F58">
        <v>4.3407000000000001E-2</v>
      </c>
      <c r="G58">
        <v>3.1268359999999999</v>
      </c>
      <c r="H58">
        <v>0.11553629999999999</v>
      </c>
      <c r="Q58" s="10">
        <f t="shared" si="4"/>
        <v>4.3242530125934213E-4</v>
      </c>
      <c r="AI58">
        <v>0.31087480000000001</v>
      </c>
      <c r="AJ58">
        <f t="shared" si="2"/>
        <v>0.31087480000000001</v>
      </c>
      <c r="AO58">
        <v>0.31087480000000001</v>
      </c>
      <c r="AR58" s="8">
        <v>0</v>
      </c>
      <c r="AS58">
        <v>1.572166</v>
      </c>
    </row>
    <row r="59" spans="1:45" x14ac:dyDescent="0.25">
      <c r="A59">
        <v>10</v>
      </c>
      <c r="B59">
        <v>2001</v>
      </c>
      <c r="C59" s="8">
        <v>0</v>
      </c>
      <c r="D59">
        <v>0.28196789999999999</v>
      </c>
      <c r="E59">
        <v>0.17731520000000001</v>
      </c>
      <c r="F59">
        <v>3.9518999999999999E-2</v>
      </c>
      <c r="G59">
        <v>0.1706754</v>
      </c>
      <c r="H59">
        <v>0.1653472</v>
      </c>
      <c r="Q59" s="10">
        <f t="shared" si="4"/>
        <v>4.0307181920429341E-2</v>
      </c>
      <c r="AI59">
        <v>0.33444119999999999</v>
      </c>
      <c r="AJ59">
        <f t="shared" si="2"/>
        <v>0.33444119999999999</v>
      </c>
      <c r="AO59">
        <v>0.33444119999999999</v>
      </c>
      <c r="AR59" s="8">
        <v>0</v>
      </c>
      <c r="AS59">
        <v>3.3700730000000001</v>
      </c>
    </row>
    <row r="60" spans="1:45" x14ac:dyDescent="0.25">
      <c r="A60">
        <v>10</v>
      </c>
      <c r="B60">
        <v>2002</v>
      </c>
      <c r="C60" s="8">
        <v>0</v>
      </c>
      <c r="D60">
        <v>0.31087480000000001</v>
      </c>
      <c r="E60">
        <v>9.1051900000000005E-2</v>
      </c>
      <c r="F60">
        <v>4.2808300000000001E-2</v>
      </c>
      <c r="G60">
        <v>0.21950410000000001</v>
      </c>
      <c r="H60">
        <v>0.1543339</v>
      </c>
      <c r="Q60" s="10">
        <f t="shared" si="4"/>
        <v>4.1343178206930585E-2</v>
      </c>
      <c r="AI60">
        <v>0.33730349999999998</v>
      </c>
      <c r="AJ60">
        <f t="shared" si="2"/>
        <v>0.33730349999999998</v>
      </c>
      <c r="AO60">
        <v>0.33730349999999998</v>
      </c>
      <c r="AR60" s="8">
        <v>0</v>
      </c>
      <c r="AS60">
        <v>3.1268359999999999</v>
      </c>
    </row>
    <row r="61" spans="1:45" x14ac:dyDescent="0.25">
      <c r="A61">
        <v>10</v>
      </c>
      <c r="B61">
        <v>2003</v>
      </c>
      <c r="C61" s="8">
        <v>0</v>
      </c>
      <c r="D61">
        <v>0.33444119999999999</v>
      </c>
      <c r="E61">
        <v>0.13198679999999999</v>
      </c>
      <c r="F61">
        <v>3.3724400000000002E-2</v>
      </c>
      <c r="G61">
        <v>0.33308850000000001</v>
      </c>
      <c r="H61">
        <v>0.1422774</v>
      </c>
      <c r="Q61" s="10">
        <f t="shared" si="4"/>
        <v>3.5257036122516468E-2</v>
      </c>
      <c r="AI61">
        <v>0.38702789999999998</v>
      </c>
      <c r="AJ61">
        <f t="shared" si="2"/>
        <v>0.38702789999999998</v>
      </c>
      <c r="AO61">
        <v>0.38702789999999998</v>
      </c>
      <c r="AR61" s="8">
        <v>0</v>
      </c>
      <c r="AS61">
        <v>0.1706754</v>
      </c>
    </row>
    <row r="62" spans="1:45" x14ac:dyDescent="0.25">
      <c r="A62">
        <v>10</v>
      </c>
      <c r="B62">
        <v>2004</v>
      </c>
      <c r="C62" s="8">
        <v>0</v>
      </c>
      <c r="D62">
        <v>0.33730349999999998</v>
      </c>
      <c r="E62">
        <v>0.1626406</v>
      </c>
      <c r="F62">
        <v>3.6683899999999998E-2</v>
      </c>
      <c r="G62">
        <v>0.58507589999999998</v>
      </c>
      <c r="H62">
        <v>0.15916939999999999</v>
      </c>
      <c r="Q62" s="10">
        <f t="shared" si="4"/>
        <v>2.2591028961738438E-2</v>
      </c>
      <c r="AI62">
        <v>0.32800509999999999</v>
      </c>
      <c r="AJ62">
        <f t="shared" si="2"/>
        <v>0.32800509999999999</v>
      </c>
      <c r="AO62">
        <v>0.32800509999999999</v>
      </c>
      <c r="AR62" s="8">
        <v>0</v>
      </c>
      <c r="AS62">
        <v>0.21950410000000001</v>
      </c>
    </row>
    <row r="63" spans="1:45" x14ac:dyDescent="0.25">
      <c r="A63">
        <v>11</v>
      </c>
      <c r="B63">
        <v>1995</v>
      </c>
      <c r="C63" s="8">
        <v>0</v>
      </c>
      <c r="D63">
        <v>0.38702789999999998</v>
      </c>
      <c r="E63">
        <v>8.9696300000000007E-2</v>
      </c>
      <c r="F63">
        <v>4.5290200000000003E-2</v>
      </c>
      <c r="G63">
        <v>3.0248210000000002</v>
      </c>
      <c r="H63">
        <v>7.5812299999999999E-2</v>
      </c>
      <c r="Q63" s="10">
        <f t="shared" si="4"/>
        <v>4.7622282262042034E-4</v>
      </c>
      <c r="AI63">
        <v>0.35149849999999999</v>
      </c>
      <c r="AJ63">
        <f t="shared" si="2"/>
        <v>0.35149849999999999</v>
      </c>
      <c r="AO63">
        <v>0.35149849999999999</v>
      </c>
      <c r="AR63" s="8">
        <v>0</v>
      </c>
      <c r="AS63">
        <v>0.33308850000000001</v>
      </c>
    </row>
    <row r="64" spans="1:45" x14ac:dyDescent="0.25">
      <c r="A64">
        <v>11</v>
      </c>
      <c r="B64">
        <v>1996</v>
      </c>
      <c r="C64" s="8">
        <v>0</v>
      </c>
      <c r="D64">
        <v>0.32800509999999999</v>
      </c>
      <c r="E64">
        <v>0.1210137</v>
      </c>
      <c r="F64">
        <v>2.05971E-2</v>
      </c>
      <c r="G64">
        <v>3.564794</v>
      </c>
      <c r="H64">
        <v>6.7744399999999996E-2</v>
      </c>
      <c r="Q64" s="10">
        <f t="shared" si="4"/>
        <v>2.277306286985793E-4</v>
      </c>
      <c r="AI64">
        <v>0.36121989999999998</v>
      </c>
      <c r="AJ64">
        <f t="shared" si="2"/>
        <v>0.36121989999999998</v>
      </c>
      <c r="AO64">
        <v>0.36121989999999998</v>
      </c>
      <c r="AR64" s="8">
        <v>0</v>
      </c>
      <c r="AS64">
        <v>0.58507589999999998</v>
      </c>
    </row>
    <row r="65" spans="1:45" x14ac:dyDescent="0.25">
      <c r="A65">
        <v>11</v>
      </c>
      <c r="B65">
        <v>1997</v>
      </c>
      <c r="C65" s="8">
        <v>0</v>
      </c>
      <c r="D65">
        <v>0.35149849999999999</v>
      </c>
      <c r="E65">
        <v>-0.24085329999999999</v>
      </c>
      <c r="F65">
        <v>-0.36208269999999998</v>
      </c>
      <c r="G65">
        <v>1.715727</v>
      </c>
      <c r="H65">
        <v>3.6211599999999997E-2</v>
      </c>
      <c r="Q65" s="10">
        <f t="shared" si="4"/>
        <v>0.13435116825242821</v>
      </c>
      <c r="AI65">
        <v>0.10967200000000001</v>
      </c>
      <c r="AJ65">
        <f t="shared" si="2"/>
        <v>0.10967200000000001</v>
      </c>
      <c r="AO65">
        <v>0.10967200000000001</v>
      </c>
      <c r="AR65" s="8">
        <v>0</v>
      </c>
      <c r="AS65">
        <v>3.0248210000000002</v>
      </c>
    </row>
    <row r="66" spans="1:45" x14ac:dyDescent="0.25">
      <c r="A66">
        <v>11</v>
      </c>
      <c r="B66">
        <v>1998</v>
      </c>
      <c r="C66" s="8">
        <v>0</v>
      </c>
      <c r="D66">
        <v>0.36121989999999998</v>
      </c>
      <c r="E66">
        <v>5.2343599999999997E-2</v>
      </c>
      <c r="F66">
        <v>2.41485E-2</v>
      </c>
      <c r="G66">
        <v>1.7078500000000001</v>
      </c>
      <c r="H66">
        <v>6.1494300000000002E-2</v>
      </c>
      <c r="Q66" s="10">
        <f t="shared" si="4"/>
        <v>4.7418559517045482E-3</v>
      </c>
      <c r="AI66">
        <v>8.9144200000000007E-2</v>
      </c>
      <c r="AJ66">
        <f t="shared" si="2"/>
        <v>8.9144200000000007E-2</v>
      </c>
      <c r="AO66">
        <v>8.9144200000000007E-2</v>
      </c>
      <c r="AR66" s="8">
        <v>0</v>
      </c>
      <c r="AS66">
        <v>3.564794</v>
      </c>
    </row>
    <row r="67" spans="1:45" x14ac:dyDescent="0.25">
      <c r="A67">
        <v>11</v>
      </c>
      <c r="B67">
        <v>1999</v>
      </c>
      <c r="C67" s="8">
        <v>0</v>
      </c>
      <c r="D67">
        <v>0.10967200000000001</v>
      </c>
      <c r="E67">
        <v>-7.6169000000000002E-3</v>
      </c>
      <c r="F67">
        <v>1.34921E-2</v>
      </c>
      <c r="G67">
        <v>2.632863</v>
      </c>
      <c r="H67">
        <v>4.6391700000000001E-2</v>
      </c>
      <c r="Q67" s="10">
        <f t="shared" si="4"/>
        <v>1.1557570462741374E-3</v>
      </c>
      <c r="AI67">
        <v>0.14077780000000001</v>
      </c>
      <c r="AJ67">
        <f t="shared" si="2"/>
        <v>0.14077780000000001</v>
      </c>
      <c r="AO67">
        <v>0.14077780000000001</v>
      </c>
      <c r="AR67" s="8">
        <v>0</v>
      </c>
      <c r="AS67">
        <v>1.715727</v>
      </c>
    </row>
    <row r="68" spans="1:45" x14ac:dyDescent="0.25">
      <c r="A68">
        <v>11</v>
      </c>
      <c r="B68">
        <v>2000</v>
      </c>
      <c r="C68" s="8">
        <v>0</v>
      </c>
      <c r="D68">
        <v>8.9144200000000007E-2</v>
      </c>
      <c r="E68">
        <v>-4.0670400000000002E-2</v>
      </c>
      <c r="F68">
        <v>5.64997E-2</v>
      </c>
      <c r="G68">
        <v>1.4708319999999999</v>
      </c>
      <c r="H68">
        <v>0.1056923</v>
      </c>
      <c r="Q68" s="10">
        <f t="shared" si="4"/>
        <v>5.6090221598746742E-3</v>
      </c>
      <c r="AI68">
        <v>0.19167039999999999</v>
      </c>
      <c r="AJ68">
        <f t="shared" si="2"/>
        <v>0.19167039999999999</v>
      </c>
      <c r="AO68">
        <v>0.19167039999999999</v>
      </c>
      <c r="AR68" s="8">
        <v>0</v>
      </c>
      <c r="AS68">
        <v>1.7078500000000001</v>
      </c>
    </row>
    <row r="69" spans="1:45" x14ac:dyDescent="0.25">
      <c r="A69">
        <v>11</v>
      </c>
      <c r="B69">
        <v>2001</v>
      </c>
      <c r="C69" s="8">
        <v>0</v>
      </c>
      <c r="D69">
        <v>0.14077780000000001</v>
      </c>
      <c r="E69">
        <v>-7.6318300000000006E-2</v>
      </c>
      <c r="F69">
        <v>2.0041099999999999E-2</v>
      </c>
      <c r="G69">
        <v>3.606862</v>
      </c>
      <c r="H69">
        <v>8.8765200000000002E-2</v>
      </c>
      <c r="Q69" s="10">
        <f t="shared" si="4"/>
        <v>2.6717346286595574E-4</v>
      </c>
      <c r="AI69">
        <v>2.3951500000000001E-2</v>
      </c>
      <c r="AJ69">
        <f t="shared" ref="AJ69:AJ132" si="21">MAX(MIN(AI69,AM$5),AM$4)</f>
        <v>2.3951500000000001E-2</v>
      </c>
      <c r="AO69">
        <v>2.3951500000000001E-2</v>
      </c>
      <c r="AR69" s="8">
        <v>0</v>
      </c>
      <c r="AS69">
        <v>2.632863</v>
      </c>
    </row>
    <row r="70" spans="1:45" x14ac:dyDescent="0.25">
      <c r="A70">
        <v>12</v>
      </c>
      <c r="B70">
        <v>1995</v>
      </c>
      <c r="C70" s="8">
        <v>0</v>
      </c>
      <c r="D70">
        <v>0.19167039999999999</v>
      </c>
      <c r="E70">
        <v>0.21642729999999999</v>
      </c>
      <c r="F70">
        <v>5.5042300000000002E-2</v>
      </c>
      <c r="G70">
        <v>1.2926029999999999</v>
      </c>
      <c r="H70">
        <v>0.70639359999999995</v>
      </c>
      <c r="Q70" s="10">
        <f t="shared" si="4"/>
        <v>7.8361270095900059E-3</v>
      </c>
      <c r="AI70">
        <v>8.8529899999999995E-2</v>
      </c>
      <c r="AJ70">
        <f t="shared" si="21"/>
        <v>8.8529899999999995E-2</v>
      </c>
      <c r="AO70">
        <v>8.8529899999999995E-2</v>
      </c>
      <c r="AR70" s="8">
        <v>0</v>
      </c>
      <c r="AS70">
        <v>1.4708319999999999</v>
      </c>
    </row>
    <row r="71" spans="1:45" x14ac:dyDescent="0.25">
      <c r="A71">
        <v>13</v>
      </c>
      <c r="B71">
        <v>1999</v>
      </c>
      <c r="C71" s="8">
        <v>0</v>
      </c>
      <c r="D71">
        <v>2.3951500000000001E-2</v>
      </c>
      <c r="E71">
        <v>0.45487460000000002</v>
      </c>
      <c r="F71">
        <v>5.9613399999999997E-2</v>
      </c>
      <c r="G71">
        <v>1.2943929999999999</v>
      </c>
      <c r="H71">
        <v>0.18229290000000001</v>
      </c>
      <c r="Q71" s="10">
        <f t="shared" ref="Q71:Q134" si="22">1/(1+EXP(-(J$6+SUMPRODUCT(K$6:O$6,D71:H71))))</f>
        <v>3.6059206562474755E-3</v>
      </c>
      <c r="AI71">
        <v>6.96933E-2</v>
      </c>
      <c r="AJ71">
        <f t="shared" si="21"/>
        <v>6.96933E-2</v>
      </c>
      <c r="AO71">
        <v>6.96933E-2</v>
      </c>
      <c r="AR71" s="8">
        <v>0</v>
      </c>
      <c r="AS71">
        <v>3.606862</v>
      </c>
    </row>
    <row r="72" spans="1:45" x14ac:dyDescent="0.25">
      <c r="A72">
        <v>13</v>
      </c>
      <c r="B72">
        <v>2000</v>
      </c>
      <c r="C72" s="8">
        <v>0</v>
      </c>
      <c r="D72">
        <v>8.8529899999999995E-2</v>
      </c>
      <c r="E72">
        <v>0.41931970000000002</v>
      </c>
      <c r="F72">
        <v>6.30526E-2</v>
      </c>
      <c r="G72">
        <v>1.540535</v>
      </c>
      <c r="H72">
        <v>0.20213700000000001</v>
      </c>
      <c r="Q72" s="10">
        <f t="shared" si="22"/>
        <v>2.5975898280552797E-3</v>
      </c>
      <c r="AI72">
        <v>0.11142730000000001</v>
      </c>
      <c r="AJ72">
        <f t="shared" si="21"/>
        <v>0.11142730000000001</v>
      </c>
      <c r="AO72">
        <v>0.11142730000000001</v>
      </c>
      <c r="AR72" s="8">
        <v>0</v>
      </c>
      <c r="AS72">
        <v>1.2926029999999999</v>
      </c>
    </row>
    <row r="73" spans="1:45" x14ac:dyDescent="0.25">
      <c r="A73">
        <v>13</v>
      </c>
      <c r="B73">
        <v>2001</v>
      </c>
      <c r="C73" s="8">
        <v>0</v>
      </c>
      <c r="D73">
        <v>6.96933E-2</v>
      </c>
      <c r="E73">
        <v>0.44534899999999999</v>
      </c>
      <c r="F73">
        <v>6.2195899999999998E-2</v>
      </c>
      <c r="G73">
        <v>1.788964</v>
      </c>
      <c r="H73">
        <v>0.19909969999999999</v>
      </c>
      <c r="Q73" s="10">
        <f t="shared" si="22"/>
        <v>1.6802220294750995E-3</v>
      </c>
      <c r="AI73">
        <v>8.5650100000000007E-2</v>
      </c>
      <c r="AJ73">
        <f t="shared" si="21"/>
        <v>8.5650100000000007E-2</v>
      </c>
      <c r="AO73">
        <v>8.5650100000000007E-2</v>
      </c>
      <c r="AR73" s="8">
        <v>0</v>
      </c>
      <c r="AS73">
        <v>1.2943929999999999</v>
      </c>
    </row>
    <row r="74" spans="1:45" x14ac:dyDescent="0.25">
      <c r="A74">
        <v>13</v>
      </c>
      <c r="B74">
        <v>2002</v>
      </c>
      <c r="C74" s="8">
        <v>0</v>
      </c>
      <c r="D74">
        <v>0.11142730000000001</v>
      </c>
      <c r="E74">
        <v>0.47041830000000001</v>
      </c>
      <c r="F74">
        <v>5.1393500000000002E-2</v>
      </c>
      <c r="G74">
        <v>1.916847</v>
      </c>
      <c r="H74">
        <v>0.1895075</v>
      </c>
      <c r="Q74" s="10">
        <f t="shared" si="22"/>
        <v>1.4574132153722115E-3</v>
      </c>
      <c r="AI74">
        <v>9.3437999999999993E-2</v>
      </c>
      <c r="AJ74">
        <f t="shared" si="21"/>
        <v>9.3437999999999993E-2</v>
      </c>
      <c r="AO74">
        <v>9.3437999999999993E-2</v>
      </c>
      <c r="AR74" s="8">
        <v>0</v>
      </c>
      <c r="AS74">
        <v>1.540535</v>
      </c>
    </row>
    <row r="75" spans="1:45" x14ac:dyDescent="0.25">
      <c r="A75">
        <v>13</v>
      </c>
      <c r="B75">
        <v>2003</v>
      </c>
      <c r="C75" s="8">
        <v>0</v>
      </c>
      <c r="D75">
        <v>8.5650100000000007E-2</v>
      </c>
      <c r="E75">
        <v>0.4603256</v>
      </c>
      <c r="F75">
        <v>3.8619300000000002E-2</v>
      </c>
      <c r="G75">
        <v>1.82931</v>
      </c>
      <c r="H75">
        <v>0.19447719999999999</v>
      </c>
      <c r="Q75" s="10">
        <f t="shared" si="22"/>
        <v>1.868254385767279E-3</v>
      </c>
      <c r="AI75">
        <v>0.15534010000000001</v>
      </c>
      <c r="AJ75">
        <f t="shared" si="21"/>
        <v>0.15534010000000001</v>
      </c>
      <c r="AO75">
        <v>0.15534010000000001</v>
      </c>
      <c r="AR75" s="8">
        <v>0</v>
      </c>
      <c r="AS75">
        <v>1.788964</v>
      </c>
    </row>
    <row r="76" spans="1:45" x14ac:dyDescent="0.25">
      <c r="A76">
        <v>13</v>
      </c>
      <c r="B76">
        <v>2004</v>
      </c>
      <c r="C76" s="8">
        <v>0</v>
      </c>
      <c r="D76">
        <v>9.3437999999999993E-2</v>
      </c>
      <c r="E76">
        <v>0.46251769999999998</v>
      </c>
      <c r="F76">
        <v>5.15556E-2</v>
      </c>
      <c r="G76">
        <v>2.2356940000000001</v>
      </c>
      <c r="H76">
        <v>0.233375</v>
      </c>
      <c r="Q76" s="10">
        <f t="shared" si="22"/>
        <v>9.0395689741240776E-4</v>
      </c>
      <c r="AI76">
        <v>2.28159E-2</v>
      </c>
      <c r="AJ76">
        <f t="shared" si="21"/>
        <v>2.28159E-2</v>
      </c>
      <c r="AO76">
        <v>2.28159E-2</v>
      </c>
      <c r="AR76" s="8">
        <v>0</v>
      </c>
      <c r="AS76">
        <v>1.916847</v>
      </c>
    </row>
    <row r="77" spans="1:45" x14ac:dyDescent="0.25">
      <c r="A77">
        <v>14</v>
      </c>
      <c r="B77">
        <v>2002</v>
      </c>
      <c r="C77" s="8">
        <v>0</v>
      </c>
      <c r="D77">
        <v>0.15534010000000001</v>
      </c>
      <c r="E77">
        <v>0.3207796</v>
      </c>
      <c r="F77">
        <v>6.3444E-2</v>
      </c>
      <c r="G77">
        <v>0.73070619999999997</v>
      </c>
      <c r="H77">
        <v>0.51307950000000002</v>
      </c>
      <c r="Q77" s="10">
        <f t="shared" si="22"/>
        <v>1.3393523109930333E-2</v>
      </c>
      <c r="AI77">
        <v>6.9240899999999994E-2</v>
      </c>
      <c r="AJ77">
        <f t="shared" si="21"/>
        <v>6.9240899999999994E-2</v>
      </c>
      <c r="AO77">
        <v>6.9240899999999994E-2</v>
      </c>
      <c r="AR77" s="8">
        <v>0</v>
      </c>
      <c r="AS77">
        <v>1.82931</v>
      </c>
    </row>
    <row r="78" spans="1:45" x14ac:dyDescent="0.25">
      <c r="A78">
        <v>15</v>
      </c>
      <c r="B78">
        <v>1999</v>
      </c>
      <c r="C78" s="8">
        <v>0</v>
      </c>
      <c r="D78">
        <v>2.28159E-2</v>
      </c>
      <c r="E78">
        <v>0.23840059999999999</v>
      </c>
      <c r="F78">
        <v>3.8064899999999999E-2</v>
      </c>
      <c r="G78">
        <v>0.76666429999999997</v>
      </c>
      <c r="H78">
        <v>0.26658749999999998</v>
      </c>
      <c r="Q78" s="10">
        <f t="shared" si="22"/>
        <v>1.4179369126558448E-2</v>
      </c>
      <c r="AI78">
        <v>8.7579000000000004E-2</v>
      </c>
      <c r="AJ78">
        <f t="shared" si="21"/>
        <v>8.7579000000000004E-2</v>
      </c>
      <c r="AO78">
        <v>8.7579000000000004E-2</v>
      </c>
      <c r="AR78" s="8">
        <v>0</v>
      </c>
      <c r="AS78">
        <v>2.2356940000000001</v>
      </c>
    </row>
    <row r="79" spans="1:45" x14ac:dyDescent="0.25">
      <c r="A79">
        <v>15</v>
      </c>
      <c r="B79">
        <v>2000</v>
      </c>
      <c r="C79" s="8">
        <v>0</v>
      </c>
      <c r="D79">
        <v>6.9240899999999994E-2</v>
      </c>
      <c r="E79">
        <v>0.18902430000000001</v>
      </c>
      <c r="F79">
        <v>1.00061E-2</v>
      </c>
      <c r="G79">
        <v>0.48543770000000003</v>
      </c>
      <c r="H79">
        <v>0.23297380000000001</v>
      </c>
      <c r="Q79" s="10">
        <f t="shared" si="22"/>
        <v>2.9344114869931139E-2</v>
      </c>
      <c r="AI79">
        <v>0.11168889999999999</v>
      </c>
      <c r="AJ79">
        <f t="shared" si="21"/>
        <v>0.11168889999999999</v>
      </c>
      <c r="AO79">
        <v>0.11168889999999999</v>
      </c>
      <c r="AR79" s="8">
        <v>0</v>
      </c>
      <c r="AS79">
        <v>0.73070619999999997</v>
      </c>
    </row>
    <row r="80" spans="1:45" x14ac:dyDescent="0.25">
      <c r="A80">
        <v>15</v>
      </c>
      <c r="B80">
        <v>2001</v>
      </c>
      <c r="C80" s="8">
        <v>0</v>
      </c>
      <c r="D80">
        <v>8.7579000000000004E-2</v>
      </c>
      <c r="E80">
        <v>0.1637554</v>
      </c>
      <c r="F80">
        <v>-1.03053E-2</v>
      </c>
      <c r="G80">
        <v>0.4010454</v>
      </c>
      <c r="H80">
        <v>0.19163160000000001</v>
      </c>
      <c r="Q80" s="10">
        <f t="shared" si="22"/>
        <v>3.9802825856566949E-2</v>
      </c>
      <c r="AI80">
        <v>6.4659599999999998E-2</v>
      </c>
      <c r="AJ80">
        <f t="shared" si="21"/>
        <v>6.4659599999999998E-2</v>
      </c>
      <c r="AO80">
        <v>6.4659599999999998E-2</v>
      </c>
      <c r="AR80" s="8">
        <v>0</v>
      </c>
      <c r="AS80">
        <v>0.76666429999999997</v>
      </c>
    </row>
    <row r="81" spans="1:45" x14ac:dyDescent="0.25">
      <c r="A81">
        <v>15</v>
      </c>
      <c r="B81">
        <v>2002</v>
      </c>
      <c r="C81" s="8">
        <v>0</v>
      </c>
      <c r="D81">
        <v>0.11168889999999999</v>
      </c>
      <c r="E81">
        <v>9.0468900000000005E-2</v>
      </c>
      <c r="F81">
        <v>2.44342E-2</v>
      </c>
      <c r="G81">
        <v>0.28836260000000002</v>
      </c>
      <c r="H81">
        <v>0.20753720000000001</v>
      </c>
      <c r="Q81" s="10">
        <f t="shared" si="22"/>
        <v>4.0890585945450822E-2</v>
      </c>
      <c r="AI81">
        <v>0.1132281</v>
      </c>
      <c r="AJ81">
        <f t="shared" si="21"/>
        <v>0.1132281</v>
      </c>
      <c r="AO81">
        <v>0.1132281</v>
      </c>
      <c r="AR81" s="8">
        <v>0</v>
      </c>
      <c r="AS81">
        <v>0.48543770000000003</v>
      </c>
    </row>
    <row r="82" spans="1:45" x14ac:dyDescent="0.25">
      <c r="A82">
        <v>15</v>
      </c>
      <c r="B82">
        <v>2003</v>
      </c>
      <c r="C82" s="8">
        <v>0</v>
      </c>
      <c r="D82">
        <v>6.4659599999999998E-2</v>
      </c>
      <c r="E82">
        <v>0.1111962</v>
      </c>
      <c r="F82">
        <v>3.02283E-2</v>
      </c>
      <c r="G82">
        <v>0.31462000000000001</v>
      </c>
      <c r="H82">
        <v>0.2226321</v>
      </c>
      <c r="Q82" s="10">
        <f t="shared" si="22"/>
        <v>3.6139216927803565E-2</v>
      </c>
      <c r="AI82">
        <v>6.3924499999999995E-2</v>
      </c>
      <c r="AJ82">
        <f t="shared" si="21"/>
        <v>6.3924499999999995E-2</v>
      </c>
      <c r="AO82">
        <v>6.3924499999999995E-2</v>
      </c>
      <c r="AR82" s="8">
        <v>0</v>
      </c>
      <c r="AS82">
        <v>0.4010454</v>
      </c>
    </row>
    <row r="83" spans="1:45" x14ac:dyDescent="0.25">
      <c r="A83">
        <v>15</v>
      </c>
      <c r="B83">
        <v>2004</v>
      </c>
      <c r="C83" s="8">
        <v>0</v>
      </c>
      <c r="D83">
        <v>0.1132281</v>
      </c>
      <c r="E83">
        <v>9.2595700000000003E-2</v>
      </c>
      <c r="F83">
        <v>2.49997E-2</v>
      </c>
      <c r="G83">
        <v>0.36672589999999999</v>
      </c>
      <c r="H83">
        <v>0.23938100000000001</v>
      </c>
      <c r="Q83" s="10">
        <f t="shared" si="22"/>
        <v>3.6712720670322732E-2</v>
      </c>
      <c r="AI83">
        <v>5.1132999999999998E-2</v>
      </c>
      <c r="AJ83">
        <f t="shared" si="21"/>
        <v>5.1132999999999998E-2</v>
      </c>
      <c r="AO83">
        <v>5.1132999999999998E-2</v>
      </c>
      <c r="AR83" s="8">
        <v>0</v>
      </c>
      <c r="AS83">
        <v>0.28836260000000002</v>
      </c>
    </row>
    <row r="84" spans="1:45" x14ac:dyDescent="0.25">
      <c r="A84">
        <v>16</v>
      </c>
      <c r="B84">
        <v>1999</v>
      </c>
      <c r="C84" s="8">
        <v>0</v>
      </c>
      <c r="D84">
        <v>6.3924499999999995E-2</v>
      </c>
      <c r="E84">
        <v>0.12465859999999999</v>
      </c>
      <c r="F84">
        <v>6.0095200000000001E-2</v>
      </c>
      <c r="G84">
        <v>1.6773480000000001</v>
      </c>
      <c r="H84">
        <v>0.14597460000000001</v>
      </c>
      <c r="Q84" s="10">
        <f t="shared" si="22"/>
        <v>3.136531385388182E-3</v>
      </c>
      <c r="AI84">
        <v>3.07389E-2</v>
      </c>
      <c r="AJ84">
        <f t="shared" si="21"/>
        <v>3.07389E-2</v>
      </c>
      <c r="AO84">
        <v>3.07389E-2</v>
      </c>
      <c r="AR84" s="8">
        <v>0</v>
      </c>
      <c r="AS84">
        <v>0.31462000000000001</v>
      </c>
    </row>
    <row r="85" spans="1:45" x14ac:dyDescent="0.25">
      <c r="A85">
        <v>16</v>
      </c>
      <c r="B85">
        <v>2000</v>
      </c>
      <c r="C85" s="8">
        <v>0</v>
      </c>
      <c r="D85">
        <v>5.1132999999999998E-2</v>
      </c>
      <c r="E85">
        <v>0.13222829999999999</v>
      </c>
      <c r="F85">
        <v>9.2651899999999995E-2</v>
      </c>
      <c r="G85">
        <v>1.458126</v>
      </c>
      <c r="H85">
        <v>0.19800329999999999</v>
      </c>
      <c r="Q85" s="10">
        <f t="shared" si="22"/>
        <v>3.4820973350239794E-3</v>
      </c>
      <c r="AI85">
        <v>0.29315479999999999</v>
      </c>
      <c r="AJ85">
        <f t="shared" si="21"/>
        <v>0.29315479999999999</v>
      </c>
      <c r="AO85">
        <v>0.29315479999999999</v>
      </c>
      <c r="AR85" s="8">
        <v>0</v>
      </c>
      <c r="AS85">
        <v>0.36672589999999999</v>
      </c>
    </row>
    <row r="86" spans="1:45" x14ac:dyDescent="0.25">
      <c r="A86">
        <v>16</v>
      </c>
      <c r="B86">
        <v>2001</v>
      </c>
      <c r="C86" s="8">
        <v>0</v>
      </c>
      <c r="D86">
        <v>3.07389E-2</v>
      </c>
      <c r="E86">
        <v>0.17539379999999999</v>
      </c>
      <c r="F86">
        <v>4.8001500000000002E-2</v>
      </c>
      <c r="G86">
        <v>1.1125259999999999</v>
      </c>
      <c r="H86">
        <v>0.1241582</v>
      </c>
      <c r="Q86" s="10">
        <f t="shared" si="22"/>
        <v>7.6474740398934805E-3</v>
      </c>
      <c r="AI86">
        <v>0.3133628</v>
      </c>
      <c r="AJ86">
        <f t="shared" si="21"/>
        <v>0.3133628</v>
      </c>
      <c r="AO86">
        <v>0.3133628</v>
      </c>
      <c r="AR86" s="8">
        <v>0</v>
      </c>
      <c r="AS86">
        <v>1.6773480000000001</v>
      </c>
    </row>
    <row r="87" spans="1:45" x14ac:dyDescent="0.25">
      <c r="A87">
        <v>17</v>
      </c>
      <c r="B87">
        <v>1999</v>
      </c>
      <c r="C87" s="8">
        <v>0</v>
      </c>
      <c r="D87">
        <v>0.29315479999999999</v>
      </c>
      <c r="E87">
        <v>0.50737189999999999</v>
      </c>
      <c r="F87">
        <v>6.8256899999999995E-2</v>
      </c>
      <c r="G87">
        <v>1.9777420000000001</v>
      </c>
      <c r="H87">
        <v>0.47353469999999998</v>
      </c>
      <c r="Q87" s="10">
        <f t="shared" si="22"/>
        <v>1.4082842134645909E-3</v>
      </c>
      <c r="AI87">
        <v>0.36146739999999999</v>
      </c>
      <c r="AJ87">
        <f t="shared" si="21"/>
        <v>0.36146739999999999</v>
      </c>
      <c r="AO87">
        <v>0.36146739999999999</v>
      </c>
      <c r="AR87" s="8">
        <v>0</v>
      </c>
      <c r="AS87">
        <v>1.458126</v>
      </c>
    </row>
    <row r="88" spans="1:45" x14ac:dyDescent="0.25">
      <c r="A88">
        <v>17</v>
      </c>
      <c r="B88">
        <v>2000</v>
      </c>
      <c r="C88" s="8">
        <v>0</v>
      </c>
      <c r="D88">
        <v>0.3133628</v>
      </c>
      <c r="E88">
        <v>0.49182189999999998</v>
      </c>
      <c r="F88">
        <v>5.5807299999999997E-2</v>
      </c>
      <c r="G88">
        <v>2.0479020000000001</v>
      </c>
      <c r="H88">
        <v>0.46735890000000002</v>
      </c>
      <c r="Q88" s="10">
        <f t="shared" si="22"/>
        <v>1.4294449893160718E-3</v>
      </c>
      <c r="AI88">
        <v>0.31594909999999998</v>
      </c>
      <c r="AJ88">
        <f t="shared" si="21"/>
        <v>0.31594909999999998</v>
      </c>
      <c r="AO88">
        <v>0.31594909999999998</v>
      </c>
      <c r="AR88" s="8">
        <v>0</v>
      </c>
      <c r="AS88">
        <v>1.1125259999999999</v>
      </c>
    </row>
    <row r="89" spans="1:45" x14ac:dyDescent="0.25">
      <c r="A89">
        <v>17</v>
      </c>
      <c r="B89">
        <v>2001</v>
      </c>
      <c r="C89" s="8">
        <v>0</v>
      </c>
      <c r="D89">
        <v>0.36146739999999999</v>
      </c>
      <c r="E89">
        <v>0.51378829999999998</v>
      </c>
      <c r="F89">
        <v>7.0034700000000005E-2</v>
      </c>
      <c r="G89">
        <v>2.677962</v>
      </c>
      <c r="H89">
        <v>0.44641140000000001</v>
      </c>
      <c r="Q89" s="10">
        <f t="shared" si="22"/>
        <v>4.5630564660577061E-4</v>
      </c>
      <c r="AI89">
        <v>0.38294689999999998</v>
      </c>
      <c r="AJ89">
        <f t="shared" si="21"/>
        <v>0.38294689999999998</v>
      </c>
      <c r="AO89">
        <v>0.38294689999999998</v>
      </c>
      <c r="AR89" s="8">
        <v>0</v>
      </c>
      <c r="AS89">
        <v>1.9777420000000001</v>
      </c>
    </row>
    <row r="90" spans="1:45" x14ac:dyDescent="0.25">
      <c r="A90">
        <v>17</v>
      </c>
      <c r="B90">
        <v>2002</v>
      </c>
      <c r="C90" s="8">
        <v>0</v>
      </c>
      <c r="D90">
        <v>0.31594909999999998</v>
      </c>
      <c r="E90">
        <v>0.50615540000000003</v>
      </c>
      <c r="F90">
        <v>8.3096699999999996E-2</v>
      </c>
      <c r="G90">
        <v>3.2221000000000002</v>
      </c>
      <c r="H90">
        <v>0.43442340000000002</v>
      </c>
      <c r="Q90" s="10">
        <f t="shared" si="22"/>
        <v>1.7014259868297724E-4</v>
      </c>
      <c r="AI90">
        <v>0.30503479999999999</v>
      </c>
      <c r="AJ90">
        <f t="shared" si="21"/>
        <v>0.30503479999999999</v>
      </c>
      <c r="AO90">
        <v>0.30503479999999999</v>
      </c>
      <c r="AR90" s="8">
        <v>0</v>
      </c>
      <c r="AS90">
        <v>2.0479020000000001</v>
      </c>
    </row>
    <row r="91" spans="1:45" x14ac:dyDescent="0.25">
      <c r="A91">
        <v>17</v>
      </c>
      <c r="B91">
        <v>2003</v>
      </c>
      <c r="C91" s="8">
        <v>0</v>
      </c>
      <c r="D91">
        <v>0.38294689999999998</v>
      </c>
      <c r="E91">
        <v>0.53937539999999995</v>
      </c>
      <c r="F91">
        <v>6.0338999999999997E-2</v>
      </c>
      <c r="G91">
        <v>3.8905500000000002</v>
      </c>
      <c r="H91">
        <v>0.4134912</v>
      </c>
      <c r="Q91" s="10">
        <f t="shared" si="22"/>
        <v>6.8035523663686939E-5</v>
      </c>
      <c r="AI91">
        <v>6.8725700000000001E-2</v>
      </c>
      <c r="AJ91">
        <f t="shared" si="21"/>
        <v>6.8725700000000001E-2</v>
      </c>
      <c r="AO91">
        <v>6.8725700000000001E-2</v>
      </c>
      <c r="AR91" s="8">
        <v>0</v>
      </c>
      <c r="AS91">
        <v>2.677962</v>
      </c>
    </row>
    <row r="92" spans="1:45" x14ac:dyDescent="0.25">
      <c r="A92">
        <v>17</v>
      </c>
      <c r="B92">
        <v>2004</v>
      </c>
      <c r="C92" s="8">
        <v>0</v>
      </c>
      <c r="D92">
        <v>0.30503479999999999</v>
      </c>
      <c r="E92">
        <v>0.58095090000000005</v>
      </c>
      <c r="F92">
        <v>7.0576700000000006E-2</v>
      </c>
      <c r="G92">
        <v>5.3113760000000001</v>
      </c>
      <c r="H92">
        <v>0.44750600000000001</v>
      </c>
      <c r="Q92" s="10">
        <f t="shared" si="22"/>
        <v>6.0637087634142438E-6</v>
      </c>
      <c r="AI92">
        <v>9.4128299999999998E-2</v>
      </c>
      <c r="AJ92">
        <f t="shared" si="21"/>
        <v>9.4128299999999998E-2</v>
      </c>
      <c r="AO92">
        <v>9.4128299999999998E-2</v>
      </c>
      <c r="AR92" s="8">
        <v>0</v>
      </c>
      <c r="AS92">
        <v>3.2221000000000002</v>
      </c>
    </row>
    <row r="93" spans="1:45" x14ac:dyDescent="0.25">
      <c r="A93">
        <v>18</v>
      </c>
      <c r="B93">
        <v>1999</v>
      </c>
      <c r="C93" s="8">
        <v>0</v>
      </c>
      <c r="D93">
        <v>6.8725700000000001E-2</v>
      </c>
      <c r="E93">
        <v>0.35258</v>
      </c>
      <c r="F93">
        <v>6.6547499999999996E-2</v>
      </c>
      <c r="G93">
        <v>1.318611</v>
      </c>
      <c r="H93">
        <v>0.66784520000000003</v>
      </c>
      <c r="Q93" s="10">
        <f t="shared" si="22"/>
        <v>5.2335081690785563E-3</v>
      </c>
      <c r="AI93">
        <v>8.6307300000000003E-2</v>
      </c>
      <c r="AJ93">
        <f t="shared" si="21"/>
        <v>8.6307300000000003E-2</v>
      </c>
      <c r="AO93">
        <v>8.6307300000000003E-2</v>
      </c>
      <c r="AR93" s="8">
        <v>0</v>
      </c>
      <c r="AS93">
        <v>3.8905500000000002</v>
      </c>
    </row>
    <row r="94" spans="1:45" x14ac:dyDescent="0.25">
      <c r="A94">
        <v>18</v>
      </c>
      <c r="B94">
        <v>2000</v>
      </c>
      <c r="C94" s="8">
        <v>0</v>
      </c>
      <c r="D94">
        <v>9.4128299999999998E-2</v>
      </c>
      <c r="E94">
        <v>0.36691410000000002</v>
      </c>
      <c r="F94">
        <v>6.6572900000000004E-2</v>
      </c>
      <c r="G94">
        <v>1.158839</v>
      </c>
      <c r="H94">
        <v>0.63224800000000003</v>
      </c>
      <c r="Q94" s="10">
        <f t="shared" si="22"/>
        <v>6.5261318788333135E-3</v>
      </c>
      <c r="AI94">
        <v>8.6618600000000004E-2</v>
      </c>
      <c r="AJ94">
        <f t="shared" si="21"/>
        <v>8.6618600000000004E-2</v>
      </c>
      <c r="AO94">
        <v>8.6618600000000004E-2</v>
      </c>
      <c r="AR94" s="8">
        <v>0</v>
      </c>
      <c r="AS94">
        <v>5.3113760000000001</v>
      </c>
    </row>
    <row r="95" spans="1:45" x14ac:dyDescent="0.25">
      <c r="A95">
        <v>18</v>
      </c>
      <c r="B95">
        <v>2001</v>
      </c>
      <c r="C95" s="8">
        <v>0</v>
      </c>
      <c r="D95">
        <v>8.6307300000000003E-2</v>
      </c>
      <c r="E95">
        <v>0.37169000000000002</v>
      </c>
      <c r="F95">
        <v>5.8963399999999999E-2</v>
      </c>
      <c r="G95">
        <v>1.1861900000000001</v>
      </c>
      <c r="H95">
        <v>0.59691749999999999</v>
      </c>
      <c r="Q95" s="10">
        <f t="shared" si="22"/>
        <v>6.4308867851492531E-3</v>
      </c>
      <c r="AI95">
        <v>7.3771900000000001E-2</v>
      </c>
      <c r="AJ95">
        <f t="shared" si="21"/>
        <v>7.3771900000000001E-2</v>
      </c>
      <c r="AO95">
        <v>7.3771900000000001E-2</v>
      </c>
      <c r="AR95" s="8">
        <v>0</v>
      </c>
      <c r="AS95">
        <v>1.318611</v>
      </c>
    </row>
    <row r="96" spans="1:45" x14ac:dyDescent="0.25">
      <c r="A96">
        <v>18</v>
      </c>
      <c r="B96">
        <v>2002</v>
      </c>
      <c r="C96" s="8">
        <v>0</v>
      </c>
      <c r="D96">
        <v>8.6618600000000004E-2</v>
      </c>
      <c r="E96">
        <v>0.33599000000000001</v>
      </c>
      <c r="F96">
        <v>6.4488199999999996E-2</v>
      </c>
      <c r="G96">
        <v>0.83912659999999994</v>
      </c>
      <c r="H96">
        <v>0.63721240000000001</v>
      </c>
      <c r="Q96" s="10">
        <f t="shared" si="22"/>
        <v>1.1494823932126861E-2</v>
      </c>
      <c r="AI96">
        <v>1.4996199999999999E-2</v>
      </c>
      <c r="AJ96">
        <f t="shared" si="21"/>
        <v>1.4996199999999999E-2</v>
      </c>
      <c r="AO96">
        <v>1.4996199999999999E-2</v>
      </c>
      <c r="AR96" s="8">
        <v>0</v>
      </c>
      <c r="AS96">
        <v>1.158839</v>
      </c>
    </row>
    <row r="97" spans="1:45" x14ac:dyDescent="0.25">
      <c r="A97">
        <v>18</v>
      </c>
      <c r="B97">
        <v>2003</v>
      </c>
      <c r="C97" s="8">
        <v>0</v>
      </c>
      <c r="D97">
        <v>7.3771900000000001E-2</v>
      </c>
      <c r="E97">
        <v>0.35523470000000001</v>
      </c>
      <c r="F97">
        <v>5.8707099999999998E-2</v>
      </c>
      <c r="G97">
        <v>0.89436789999999999</v>
      </c>
      <c r="H97">
        <v>0.59177429999999998</v>
      </c>
      <c r="Q97" s="10">
        <f t="shared" si="22"/>
        <v>1.0378865396277959E-2</v>
      </c>
      <c r="AI97">
        <v>0.14446990000000001</v>
      </c>
      <c r="AJ97">
        <f t="shared" si="21"/>
        <v>0.14446990000000001</v>
      </c>
      <c r="AO97">
        <v>0.14446990000000001</v>
      </c>
      <c r="AR97" s="8">
        <v>0</v>
      </c>
      <c r="AS97">
        <v>1.1861900000000001</v>
      </c>
    </row>
    <row r="98" spans="1:45" x14ac:dyDescent="0.25">
      <c r="A98">
        <v>18</v>
      </c>
      <c r="B98">
        <v>2004</v>
      </c>
      <c r="C98" s="8">
        <v>0</v>
      </c>
      <c r="D98">
        <v>1.4996199999999999E-2</v>
      </c>
      <c r="E98">
        <v>0.29602040000000002</v>
      </c>
      <c r="F98">
        <v>6.2027800000000001E-2</v>
      </c>
      <c r="G98">
        <v>0.68640619999999997</v>
      </c>
      <c r="H98">
        <v>0.63324389999999997</v>
      </c>
      <c r="Q98" s="10">
        <f t="shared" si="22"/>
        <v>1.5288249314235147E-2</v>
      </c>
      <c r="AI98">
        <v>6.6354999999999997E-2</v>
      </c>
      <c r="AJ98">
        <f t="shared" si="21"/>
        <v>6.6354999999999997E-2</v>
      </c>
      <c r="AO98">
        <v>6.6354999999999997E-2</v>
      </c>
      <c r="AR98" s="8">
        <v>0</v>
      </c>
      <c r="AS98">
        <v>0.83912659999999994</v>
      </c>
    </row>
    <row r="99" spans="1:45" x14ac:dyDescent="0.25">
      <c r="A99">
        <v>19</v>
      </c>
      <c r="B99">
        <v>1999</v>
      </c>
      <c r="C99" s="8">
        <v>0</v>
      </c>
      <c r="D99">
        <v>0.14446990000000001</v>
      </c>
      <c r="E99">
        <v>0.45690599999999998</v>
      </c>
      <c r="F99">
        <v>5.39351E-2</v>
      </c>
      <c r="G99">
        <v>2.1071740000000001</v>
      </c>
      <c r="H99">
        <v>0.22463379999999999</v>
      </c>
      <c r="Q99" s="10">
        <f t="shared" si="22"/>
        <v>1.1145829178529306E-3</v>
      </c>
      <c r="AI99">
        <v>4.85055E-2</v>
      </c>
      <c r="AJ99">
        <f t="shared" si="21"/>
        <v>4.85055E-2</v>
      </c>
      <c r="AO99">
        <v>4.85055E-2</v>
      </c>
      <c r="AR99" s="8">
        <v>0</v>
      </c>
      <c r="AS99">
        <v>0.89436789999999999</v>
      </c>
    </row>
    <row r="100" spans="1:45" x14ac:dyDescent="0.25">
      <c r="A100">
        <v>19</v>
      </c>
      <c r="B100">
        <v>2000</v>
      </c>
      <c r="C100" s="8">
        <v>0</v>
      </c>
      <c r="D100">
        <v>6.6354999999999997E-2</v>
      </c>
      <c r="E100">
        <v>0.25948890000000002</v>
      </c>
      <c r="F100">
        <v>4.3819700000000003E-2</v>
      </c>
      <c r="G100">
        <v>1.2103120000000001</v>
      </c>
      <c r="H100">
        <v>0.1879266</v>
      </c>
      <c r="Q100" s="10">
        <f t="shared" si="22"/>
        <v>6.3301438371870349E-3</v>
      </c>
      <c r="AI100">
        <v>8.5588899999999996E-2</v>
      </c>
      <c r="AJ100">
        <f t="shared" si="21"/>
        <v>8.5588899999999996E-2</v>
      </c>
      <c r="AO100">
        <v>8.5588899999999996E-2</v>
      </c>
      <c r="AR100" s="8">
        <v>0</v>
      </c>
      <c r="AS100">
        <v>0.68640619999999997</v>
      </c>
    </row>
    <row r="101" spans="1:45" x14ac:dyDescent="0.25">
      <c r="A101">
        <v>19</v>
      </c>
      <c r="B101">
        <v>2001</v>
      </c>
      <c r="C101" s="8">
        <v>0</v>
      </c>
      <c r="D101">
        <v>4.85055E-2</v>
      </c>
      <c r="E101">
        <v>0.26421830000000002</v>
      </c>
      <c r="F101">
        <v>4.0108900000000003E-2</v>
      </c>
      <c r="G101">
        <v>1.3496159999999999</v>
      </c>
      <c r="H101">
        <v>0.20859140000000001</v>
      </c>
      <c r="Q101" s="10">
        <f t="shared" si="22"/>
        <v>5.2208519114214395E-3</v>
      </c>
      <c r="AI101">
        <v>8.6010900000000001E-2</v>
      </c>
      <c r="AJ101">
        <f t="shared" si="21"/>
        <v>8.6010900000000001E-2</v>
      </c>
      <c r="AO101">
        <v>8.6010900000000001E-2</v>
      </c>
      <c r="AR101" s="8">
        <v>0</v>
      </c>
      <c r="AS101">
        <v>2.1071740000000001</v>
      </c>
    </row>
    <row r="102" spans="1:45" x14ac:dyDescent="0.25">
      <c r="A102">
        <v>19</v>
      </c>
      <c r="B102">
        <v>2002</v>
      </c>
      <c r="C102" s="8">
        <v>0</v>
      </c>
      <c r="D102">
        <v>8.5588899999999996E-2</v>
      </c>
      <c r="E102">
        <v>0.25644640000000002</v>
      </c>
      <c r="F102">
        <v>5.0042200000000002E-2</v>
      </c>
      <c r="G102">
        <v>1.0840989999999999</v>
      </c>
      <c r="H102">
        <v>0.20877589999999999</v>
      </c>
      <c r="Q102" s="10">
        <f t="shared" si="22"/>
        <v>7.5441591231732068E-3</v>
      </c>
      <c r="AI102">
        <v>2.6790399999999999E-2</v>
      </c>
      <c r="AJ102">
        <f t="shared" si="21"/>
        <v>2.6790399999999999E-2</v>
      </c>
      <c r="AO102">
        <v>2.6790399999999999E-2</v>
      </c>
      <c r="AR102" s="8">
        <v>0</v>
      </c>
      <c r="AS102">
        <v>1.2103120000000001</v>
      </c>
    </row>
    <row r="103" spans="1:45" x14ac:dyDescent="0.25">
      <c r="A103">
        <v>19</v>
      </c>
      <c r="B103">
        <v>2003</v>
      </c>
      <c r="C103" s="8">
        <v>0</v>
      </c>
      <c r="D103">
        <v>8.6010900000000001E-2</v>
      </c>
      <c r="E103">
        <v>0.16406200000000001</v>
      </c>
      <c r="F103">
        <v>3.8055899999999997E-2</v>
      </c>
      <c r="G103">
        <v>0.83648909999999999</v>
      </c>
      <c r="H103">
        <v>0.13193469999999999</v>
      </c>
      <c r="Q103" s="10">
        <f t="shared" si="22"/>
        <v>1.3359784146581637E-2</v>
      </c>
      <c r="AI103">
        <v>4.8959999999999997E-2</v>
      </c>
      <c r="AJ103">
        <f t="shared" si="21"/>
        <v>4.8959999999999997E-2</v>
      </c>
      <c r="AO103">
        <v>4.8959999999999997E-2</v>
      </c>
      <c r="AR103" s="8">
        <v>0</v>
      </c>
      <c r="AS103">
        <v>1.3496159999999999</v>
      </c>
    </row>
    <row r="104" spans="1:45" x14ac:dyDescent="0.25">
      <c r="A104">
        <v>19</v>
      </c>
      <c r="B104">
        <v>2004</v>
      </c>
      <c r="C104" s="8">
        <v>0</v>
      </c>
      <c r="D104">
        <v>2.6790399999999999E-2</v>
      </c>
      <c r="E104">
        <v>0.14789079999999999</v>
      </c>
      <c r="F104">
        <v>4.1846599999999998E-2</v>
      </c>
      <c r="G104">
        <v>0.83006919999999995</v>
      </c>
      <c r="H104">
        <v>0.2355286</v>
      </c>
      <c r="Q104" s="10">
        <f t="shared" si="22"/>
        <v>1.3939710858556553E-2</v>
      </c>
      <c r="AI104">
        <v>6.6028799999999999E-2</v>
      </c>
      <c r="AJ104">
        <f t="shared" si="21"/>
        <v>6.6028799999999999E-2</v>
      </c>
      <c r="AO104">
        <v>6.6028799999999999E-2</v>
      </c>
      <c r="AR104" s="8">
        <v>0</v>
      </c>
      <c r="AS104">
        <v>1.0840989999999999</v>
      </c>
    </row>
    <row r="105" spans="1:45" x14ac:dyDescent="0.25">
      <c r="A105">
        <v>20</v>
      </c>
      <c r="B105">
        <v>1999</v>
      </c>
      <c r="C105" s="8">
        <v>0</v>
      </c>
      <c r="D105">
        <v>4.8959999999999997E-2</v>
      </c>
      <c r="E105">
        <v>0.101476</v>
      </c>
      <c r="F105">
        <v>5.6789199999999998E-2</v>
      </c>
      <c r="G105">
        <v>0.40002919999999997</v>
      </c>
      <c r="H105">
        <v>0.27312370000000002</v>
      </c>
      <c r="Q105" s="10">
        <f t="shared" si="22"/>
        <v>2.6773093880443421E-2</v>
      </c>
      <c r="AI105">
        <v>6.5885100000000002E-2</v>
      </c>
      <c r="AJ105">
        <f t="shared" si="21"/>
        <v>6.5885100000000002E-2</v>
      </c>
      <c r="AO105">
        <v>6.5885100000000002E-2</v>
      </c>
      <c r="AR105" s="8">
        <v>0</v>
      </c>
      <c r="AS105">
        <v>0.83648909999999999</v>
      </c>
    </row>
    <row r="106" spans="1:45" x14ac:dyDescent="0.25">
      <c r="A106">
        <v>20</v>
      </c>
      <c r="B106">
        <v>2000</v>
      </c>
      <c r="C106" s="8">
        <v>0</v>
      </c>
      <c r="D106">
        <v>6.6028799999999999E-2</v>
      </c>
      <c r="E106">
        <v>0.1081949</v>
      </c>
      <c r="F106">
        <v>4.3270700000000002E-2</v>
      </c>
      <c r="G106">
        <v>0.14238719999999999</v>
      </c>
      <c r="H106">
        <v>0.24721019999999999</v>
      </c>
      <c r="Q106" s="10">
        <f t="shared" si="22"/>
        <v>4.3386002717796558E-2</v>
      </c>
      <c r="AI106">
        <v>0.1005847</v>
      </c>
      <c r="AJ106">
        <f t="shared" si="21"/>
        <v>0.1005847</v>
      </c>
      <c r="AO106">
        <v>0.1005847</v>
      </c>
      <c r="AR106" s="8">
        <v>0</v>
      </c>
      <c r="AS106">
        <v>0.83006919999999995</v>
      </c>
    </row>
    <row r="107" spans="1:45" x14ac:dyDescent="0.25">
      <c r="A107">
        <v>20</v>
      </c>
      <c r="B107">
        <v>2001</v>
      </c>
      <c r="C107" s="8">
        <v>0</v>
      </c>
      <c r="D107">
        <v>6.5885100000000002E-2</v>
      </c>
      <c r="E107">
        <v>0.1044736</v>
      </c>
      <c r="F107">
        <v>4.7061499999999999E-2</v>
      </c>
      <c r="G107">
        <v>0.24623819999999999</v>
      </c>
      <c r="H107">
        <v>0.23633709999999999</v>
      </c>
      <c r="Q107" s="10">
        <f t="shared" si="22"/>
        <v>3.5899600646332186E-2</v>
      </c>
      <c r="AI107">
        <v>8.2943900000000001E-2</v>
      </c>
      <c r="AJ107">
        <f t="shared" si="21"/>
        <v>8.2943900000000001E-2</v>
      </c>
      <c r="AO107">
        <v>8.2943900000000001E-2</v>
      </c>
      <c r="AR107" s="8">
        <v>0</v>
      </c>
      <c r="AS107">
        <v>0.40002919999999997</v>
      </c>
    </row>
    <row r="108" spans="1:45" x14ac:dyDescent="0.25">
      <c r="A108">
        <v>20</v>
      </c>
      <c r="B108">
        <v>2002</v>
      </c>
      <c r="C108" s="8">
        <v>0</v>
      </c>
      <c r="D108">
        <v>0.1005847</v>
      </c>
      <c r="E108">
        <v>0.10475230000000001</v>
      </c>
      <c r="F108">
        <v>3.1094E-2</v>
      </c>
      <c r="G108">
        <v>0.28263830000000001</v>
      </c>
      <c r="H108">
        <v>0.20954410000000001</v>
      </c>
      <c r="Q108" s="10">
        <f t="shared" si="22"/>
        <v>3.8295259066140105E-2</v>
      </c>
      <c r="AI108">
        <v>0.19778509999999999</v>
      </c>
      <c r="AJ108">
        <f t="shared" si="21"/>
        <v>0.19778509999999999</v>
      </c>
      <c r="AO108">
        <v>0.19778509999999999</v>
      </c>
      <c r="AR108" s="8">
        <v>0</v>
      </c>
      <c r="AS108">
        <v>0.14238719999999999</v>
      </c>
    </row>
    <row r="109" spans="1:45" x14ac:dyDescent="0.25">
      <c r="A109">
        <v>20</v>
      </c>
      <c r="B109">
        <v>2003</v>
      </c>
      <c r="C109" s="8">
        <v>0</v>
      </c>
      <c r="D109">
        <v>8.2943900000000001E-2</v>
      </c>
      <c r="E109">
        <v>0.13491980000000001</v>
      </c>
      <c r="F109">
        <v>3.2888800000000003E-2</v>
      </c>
      <c r="G109">
        <v>0.23090649999999999</v>
      </c>
      <c r="H109">
        <v>0.20024020000000001</v>
      </c>
      <c r="Q109" s="10">
        <f t="shared" si="22"/>
        <v>3.870774297051785E-2</v>
      </c>
      <c r="AI109">
        <v>0.33645589999999997</v>
      </c>
      <c r="AJ109">
        <f t="shared" si="21"/>
        <v>0.33645589999999997</v>
      </c>
      <c r="AO109">
        <v>0.33645589999999997</v>
      </c>
      <c r="AR109" s="8">
        <v>0</v>
      </c>
      <c r="AS109">
        <v>0.24623819999999999</v>
      </c>
    </row>
    <row r="110" spans="1:45" x14ac:dyDescent="0.25">
      <c r="A110">
        <v>20</v>
      </c>
      <c r="B110">
        <v>2004</v>
      </c>
      <c r="C110" s="8">
        <v>0</v>
      </c>
      <c r="D110">
        <v>0.19778509999999999</v>
      </c>
      <c r="E110">
        <v>0.20185420000000001</v>
      </c>
      <c r="F110">
        <v>3.9045799999999999E-2</v>
      </c>
      <c r="G110">
        <v>0.66248130000000005</v>
      </c>
      <c r="H110">
        <v>0.2909679</v>
      </c>
      <c r="Q110" s="10">
        <f t="shared" si="22"/>
        <v>1.9025751980714999E-2</v>
      </c>
      <c r="AI110">
        <v>0.35730079999999997</v>
      </c>
      <c r="AJ110">
        <f t="shared" si="21"/>
        <v>0.35730079999999997</v>
      </c>
      <c r="AO110">
        <v>0.35730079999999997</v>
      </c>
      <c r="AR110" s="8">
        <v>0</v>
      </c>
      <c r="AS110">
        <v>0.28263830000000001</v>
      </c>
    </row>
    <row r="111" spans="1:45" x14ac:dyDescent="0.25">
      <c r="A111">
        <v>21</v>
      </c>
      <c r="B111">
        <v>1995</v>
      </c>
      <c r="C111" s="8">
        <v>0</v>
      </c>
      <c r="D111">
        <v>0.33645589999999997</v>
      </c>
      <c r="E111">
        <v>0.2327593</v>
      </c>
      <c r="F111">
        <v>3.31329E-2</v>
      </c>
      <c r="G111">
        <v>2.268726</v>
      </c>
      <c r="H111">
        <v>0.30270150000000001</v>
      </c>
      <c r="Q111" s="10">
        <f t="shared" si="22"/>
        <v>1.60126605345639E-3</v>
      </c>
      <c r="AI111">
        <v>-4.7036000000000001E-2</v>
      </c>
      <c r="AJ111">
        <f t="shared" si="21"/>
        <v>-4.7036000000000001E-2</v>
      </c>
      <c r="AO111">
        <v>-4.7036000000000001E-2</v>
      </c>
      <c r="AR111" s="8">
        <v>0</v>
      </c>
      <c r="AS111">
        <v>0.23090649999999999</v>
      </c>
    </row>
    <row r="112" spans="1:45" x14ac:dyDescent="0.25">
      <c r="A112">
        <v>21</v>
      </c>
      <c r="B112">
        <v>1996</v>
      </c>
      <c r="C112" s="8">
        <v>1</v>
      </c>
      <c r="D112">
        <v>0.35730079999999997</v>
      </c>
      <c r="E112">
        <v>6.0466499999999999E-2</v>
      </c>
      <c r="F112">
        <v>2.8341399999999999E-2</v>
      </c>
      <c r="G112">
        <v>3.1962860000000002</v>
      </c>
      <c r="H112">
        <v>0.28351080000000001</v>
      </c>
      <c r="Q112" s="10">
        <f t="shared" si="22"/>
        <v>4.8643415199775206E-4</v>
      </c>
      <c r="AI112">
        <v>-0.12290769999999999</v>
      </c>
      <c r="AJ112">
        <f t="shared" si="21"/>
        <v>-0.113345184</v>
      </c>
      <c r="AO112">
        <v>-0.113345184</v>
      </c>
      <c r="AR112" s="8">
        <v>0</v>
      </c>
      <c r="AS112">
        <v>0.66248130000000005</v>
      </c>
    </row>
    <row r="113" spans="1:45" x14ac:dyDescent="0.25">
      <c r="A113">
        <v>22</v>
      </c>
      <c r="B113">
        <v>2000</v>
      </c>
      <c r="C113" s="8">
        <v>0</v>
      </c>
      <c r="D113">
        <v>-4.7036000000000001E-2</v>
      </c>
      <c r="E113">
        <v>0.14442740000000001</v>
      </c>
      <c r="F113">
        <v>6.2082600000000002E-2</v>
      </c>
      <c r="G113">
        <v>0.94148109999999996</v>
      </c>
      <c r="H113">
        <v>0.18403849999999999</v>
      </c>
      <c r="Q113" s="10">
        <f t="shared" si="22"/>
        <v>9.416254486954467E-3</v>
      </c>
      <c r="AI113">
        <v>-0.39540110000000001</v>
      </c>
      <c r="AJ113">
        <f t="shared" si="21"/>
        <v>-0.113345184</v>
      </c>
      <c r="AO113">
        <v>-0.113345184</v>
      </c>
      <c r="AR113" s="8">
        <v>0</v>
      </c>
      <c r="AS113">
        <v>2.268726</v>
      </c>
    </row>
    <row r="114" spans="1:45" x14ac:dyDescent="0.25">
      <c r="A114">
        <v>22</v>
      </c>
      <c r="B114">
        <v>2001</v>
      </c>
      <c r="C114" s="8">
        <v>0</v>
      </c>
      <c r="D114">
        <v>-0.12290769999999999</v>
      </c>
      <c r="E114">
        <v>0.118628</v>
      </c>
      <c r="F114">
        <v>4.05248E-2</v>
      </c>
      <c r="G114">
        <v>0.58002969999999998</v>
      </c>
      <c r="H114">
        <v>0.20367979999999999</v>
      </c>
      <c r="Q114" s="10">
        <f t="shared" si="22"/>
        <v>2.0052133116414839E-2</v>
      </c>
      <c r="AI114">
        <v>4.9218600000000001E-2</v>
      </c>
      <c r="AJ114">
        <f t="shared" si="21"/>
        <v>4.9218600000000001E-2</v>
      </c>
      <c r="AO114">
        <v>4.9218600000000001E-2</v>
      </c>
      <c r="AR114" s="8">
        <v>1</v>
      </c>
      <c r="AS114">
        <v>3.1962860000000002</v>
      </c>
    </row>
    <row r="115" spans="1:45" x14ac:dyDescent="0.25">
      <c r="A115">
        <v>22</v>
      </c>
      <c r="B115">
        <v>2002</v>
      </c>
      <c r="C115" s="8">
        <v>0</v>
      </c>
      <c r="D115">
        <v>-0.39540110000000001</v>
      </c>
      <c r="E115">
        <v>6.8777900000000003E-2</v>
      </c>
      <c r="F115">
        <v>1.8374000000000001E-3</v>
      </c>
      <c r="G115">
        <v>0.1440341</v>
      </c>
      <c r="H115">
        <v>9.15908E-2</v>
      </c>
      <c r="Q115" s="10">
        <f t="shared" si="22"/>
        <v>4.7661280932811113E-2</v>
      </c>
      <c r="AI115">
        <v>5.0847200000000002E-2</v>
      </c>
      <c r="AJ115">
        <f t="shared" si="21"/>
        <v>5.0847200000000002E-2</v>
      </c>
      <c r="AO115">
        <v>5.0847200000000002E-2</v>
      </c>
      <c r="AR115" s="8">
        <v>0</v>
      </c>
      <c r="AS115">
        <v>0.94148109999999996</v>
      </c>
    </row>
    <row r="116" spans="1:45" x14ac:dyDescent="0.25">
      <c r="A116">
        <v>22</v>
      </c>
      <c r="B116">
        <v>2003</v>
      </c>
      <c r="C116" s="8">
        <v>0</v>
      </c>
      <c r="D116">
        <v>4.9218600000000001E-2</v>
      </c>
      <c r="E116">
        <v>2.9295700000000001E-2</v>
      </c>
      <c r="F116">
        <v>3.5263700000000002E-2</v>
      </c>
      <c r="G116">
        <v>0.20485690000000001</v>
      </c>
      <c r="H116">
        <v>8.8149099999999994E-2</v>
      </c>
      <c r="Q116" s="10">
        <f t="shared" si="22"/>
        <v>4.2306606477074044E-2</v>
      </c>
      <c r="AI116">
        <v>0.1157979</v>
      </c>
      <c r="AJ116">
        <f t="shared" si="21"/>
        <v>0.1157979</v>
      </c>
      <c r="AO116">
        <v>0.1157979</v>
      </c>
      <c r="AR116" s="8">
        <v>0</v>
      </c>
      <c r="AS116">
        <v>0.58002969999999998</v>
      </c>
    </row>
    <row r="117" spans="1:45" x14ac:dyDescent="0.25">
      <c r="A117">
        <v>22</v>
      </c>
      <c r="B117">
        <v>2004</v>
      </c>
      <c r="C117" s="8">
        <v>0</v>
      </c>
      <c r="D117">
        <v>5.0847200000000002E-2</v>
      </c>
      <c r="E117">
        <v>-2.97468E-2</v>
      </c>
      <c r="F117">
        <v>5.6477399999999997E-2</v>
      </c>
      <c r="G117">
        <v>0.39562039999999998</v>
      </c>
      <c r="H117">
        <v>0.1195929</v>
      </c>
      <c r="Q117" s="10">
        <f t="shared" si="22"/>
        <v>2.967680599563122E-2</v>
      </c>
      <c r="AI117">
        <v>0.1816072</v>
      </c>
      <c r="AJ117">
        <f t="shared" si="21"/>
        <v>0.1816072</v>
      </c>
      <c r="AO117">
        <v>0.1816072</v>
      </c>
      <c r="AR117" s="8">
        <v>0</v>
      </c>
      <c r="AS117">
        <v>0.1440341</v>
      </c>
    </row>
    <row r="118" spans="1:45" x14ac:dyDescent="0.25">
      <c r="A118">
        <v>23</v>
      </c>
      <c r="B118">
        <v>1999</v>
      </c>
      <c r="C118" s="8">
        <v>0</v>
      </c>
      <c r="D118">
        <v>0.1157979</v>
      </c>
      <c r="E118">
        <v>0.44529970000000002</v>
      </c>
      <c r="F118">
        <v>6.1388600000000001E-2</v>
      </c>
      <c r="G118">
        <v>3.0831719999999998</v>
      </c>
      <c r="H118">
        <v>0.28503699999999998</v>
      </c>
      <c r="Q118" s="10">
        <f t="shared" si="22"/>
        <v>2.3150023418078641E-4</v>
      </c>
      <c r="AI118">
        <v>0.17474390000000001</v>
      </c>
      <c r="AJ118">
        <f t="shared" si="21"/>
        <v>0.17474390000000001</v>
      </c>
      <c r="AO118">
        <v>0.17474390000000001</v>
      </c>
      <c r="AR118" s="8">
        <v>0</v>
      </c>
      <c r="AS118">
        <v>0.20485690000000001</v>
      </c>
    </row>
    <row r="119" spans="1:45" x14ac:dyDescent="0.25">
      <c r="A119">
        <v>23</v>
      </c>
      <c r="B119">
        <v>2000</v>
      </c>
      <c r="C119" s="8">
        <v>0</v>
      </c>
      <c r="D119">
        <v>0.1816072</v>
      </c>
      <c r="E119">
        <v>0.43985419999999997</v>
      </c>
      <c r="F119">
        <v>7.1866799999999995E-2</v>
      </c>
      <c r="G119">
        <v>2.4908610000000002</v>
      </c>
      <c r="H119">
        <v>0.2897941</v>
      </c>
      <c r="Q119" s="10">
        <f t="shared" si="22"/>
        <v>5.6819724272895065E-4</v>
      </c>
      <c r="AI119">
        <v>0.15496799999999999</v>
      </c>
      <c r="AJ119">
        <f t="shared" si="21"/>
        <v>0.15496799999999999</v>
      </c>
      <c r="AO119">
        <v>0.15496799999999999</v>
      </c>
      <c r="AR119" s="8">
        <v>0</v>
      </c>
      <c r="AS119">
        <v>0.39562039999999998</v>
      </c>
    </row>
    <row r="120" spans="1:45" x14ac:dyDescent="0.25">
      <c r="A120">
        <v>23</v>
      </c>
      <c r="B120">
        <v>2001</v>
      </c>
      <c r="C120" s="8">
        <v>0</v>
      </c>
      <c r="D120">
        <v>0.17474390000000001</v>
      </c>
      <c r="E120">
        <v>0.41811589999999998</v>
      </c>
      <c r="F120">
        <v>5.2374999999999998E-2</v>
      </c>
      <c r="G120">
        <v>1.869866</v>
      </c>
      <c r="H120">
        <v>0.26083990000000001</v>
      </c>
      <c r="Q120" s="10">
        <f t="shared" si="22"/>
        <v>1.803675996678738E-3</v>
      </c>
      <c r="AI120">
        <v>0.1810416</v>
      </c>
      <c r="AJ120">
        <f t="shared" si="21"/>
        <v>0.1810416</v>
      </c>
      <c r="AO120">
        <v>0.1810416</v>
      </c>
      <c r="AR120" s="8">
        <v>0</v>
      </c>
      <c r="AS120">
        <v>3.0831719999999998</v>
      </c>
    </row>
    <row r="121" spans="1:45" x14ac:dyDescent="0.25">
      <c r="A121">
        <v>23</v>
      </c>
      <c r="B121">
        <v>2002</v>
      </c>
      <c r="C121" s="8">
        <v>0</v>
      </c>
      <c r="D121">
        <v>0.15496799999999999</v>
      </c>
      <c r="E121">
        <v>0.3215787</v>
      </c>
      <c r="F121">
        <v>4.5709800000000002E-2</v>
      </c>
      <c r="G121">
        <v>1.092049</v>
      </c>
      <c r="H121">
        <v>0.24097080000000001</v>
      </c>
      <c r="Q121" s="10">
        <f t="shared" si="22"/>
        <v>7.3664591692634545E-3</v>
      </c>
      <c r="AI121">
        <v>0.1695805</v>
      </c>
      <c r="AJ121">
        <f t="shared" si="21"/>
        <v>0.1695805</v>
      </c>
      <c r="AO121">
        <v>0.1695805</v>
      </c>
      <c r="AR121" s="8">
        <v>0</v>
      </c>
      <c r="AS121">
        <v>2.4908610000000002</v>
      </c>
    </row>
    <row r="122" spans="1:45" x14ac:dyDescent="0.25">
      <c r="A122">
        <v>23</v>
      </c>
      <c r="B122">
        <v>2003</v>
      </c>
      <c r="C122" s="8">
        <v>0</v>
      </c>
      <c r="D122">
        <v>0.1810416</v>
      </c>
      <c r="E122">
        <v>0.36532340000000002</v>
      </c>
      <c r="F122">
        <v>4.8873300000000001E-2</v>
      </c>
      <c r="G122">
        <v>1.581415</v>
      </c>
      <c r="H122">
        <v>0.25884889999999999</v>
      </c>
      <c r="Q122" s="10">
        <f t="shared" si="22"/>
        <v>3.1717285997960969E-3</v>
      </c>
      <c r="AI122">
        <v>6.9555900000000004E-2</v>
      </c>
      <c r="AJ122">
        <f t="shared" si="21"/>
        <v>6.9555900000000004E-2</v>
      </c>
      <c r="AO122">
        <v>6.9555900000000004E-2</v>
      </c>
      <c r="AR122" s="8">
        <v>0</v>
      </c>
      <c r="AS122">
        <v>1.869866</v>
      </c>
    </row>
    <row r="123" spans="1:45" x14ac:dyDescent="0.25">
      <c r="A123">
        <v>23</v>
      </c>
      <c r="B123">
        <v>2004</v>
      </c>
      <c r="C123" s="8">
        <v>0</v>
      </c>
      <c r="D123">
        <v>0.1695805</v>
      </c>
      <c r="E123">
        <v>0.3774517</v>
      </c>
      <c r="F123">
        <v>5.2468000000000001E-2</v>
      </c>
      <c r="G123">
        <v>1.569448</v>
      </c>
      <c r="H123">
        <v>0.24853629999999999</v>
      </c>
      <c r="Q123" s="10">
        <f t="shared" si="22"/>
        <v>3.0524287667859232E-3</v>
      </c>
      <c r="AI123">
        <v>5.3870000000000001E-2</v>
      </c>
      <c r="AJ123">
        <f t="shared" si="21"/>
        <v>5.3870000000000001E-2</v>
      </c>
      <c r="AO123">
        <v>5.3870000000000001E-2</v>
      </c>
      <c r="AR123" s="8">
        <v>0</v>
      </c>
      <c r="AS123">
        <v>1.092049</v>
      </c>
    </row>
    <row r="124" spans="1:45" x14ac:dyDescent="0.25">
      <c r="A124">
        <v>24</v>
      </c>
      <c r="B124">
        <v>1995</v>
      </c>
      <c r="C124" s="8">
        <v>0</v>
      </c>
      <c r="D124">
        <v>6.9555900000000004E-2</v>
      </c>
      <c r="E124">
        <v>0.30270849999999999</v>
      </c>
      <c r="F124">
        <v>6.4552700000000005E-2</v>
      </c>
      <c r="G124">
        <v>1.814792</v>
      </c>
      <c r="H124">
        <v>0.1734155</v>
      </c>
      <c r="Q124" s="10">
        <f t="shared" si="22"/>
        <v>1.9157452775621041E-3</v>
      </c>
      <c r="AI124">
        <v>3.3646500000000003E-2</v>
      </c>
      <c r="AJ124">
        <f t="shared" si="21"/>
        <v>3.3646500000000003E-2</v>
      </c>
      <c r="AO124">
        <v>3.3646500000000003E-2</v>
      </c>
      <c r="AR124" s="8">
        <v>0</v>
      </c>
      <c r="AS124">
        <v>1.581415</v>
      </c>
    </row>
    <row r="125" spans="1:45" x14ac:dyDescent="0.25">
      <c r="A125">
        <v>24</v>
      </c>
      <c r="B125">
        <v>1996</v>
      </c>
      <c r="C125" s="8">
        <v>0</v>
      </c>
      <c r="D125">
        <v>5.3870000000000001E-2</v>
      </c>
      <c r="E125">
        <v>0.33828629999999998</v>
      </c>
      <c r="F125">
        <v>7.2233099999999995E-2</v>
      </c>
      <c r="G125">
        <v>1.826908</v>
      </c>
      <c r="H125">
        <v>0.18357670000000001</v>
      </c>
      <c r="Q125" s="10">
        <f t="shared" si="22"/>
        <v>1.678107941225506E-3</v>
      </c>
      <c r="AI125">
        <v>5.0508000000000003E-3</v>
      </c>
      <c r="AJ125">
        <f t="shared" si="21"/>
        <v>5.0508000000000003E-3</v>
      </c>
      <c r="AO125">
        <v>5.0508000000000003E-3</v>
      </c>
      <c r="AR125" s="8">
        <v>0</v>
      </c>
      <c r="AS125">
        <v>1.569448</v>
      </c>
    </row>
    <row r="126" spans="1:45" x14ac:dyDescent="0.25">
      <c r="A126">
        <v>24</v>
      </c>
      <c r="B126">
        <v>1997</v>
      </c>
      <c r="C126" s="8">
        <v>0</v>
      </c>
      <c r="D126">
        <v>3.3646500000000003E-2</v>
      </c>
      <c r="E126">
        <v>0.35680220000000001</v>
      </c>
      <c r="F126">
        <v>8.2138699999999995E-2</v>
      </c>
      <c r="G126">
        <v>2.2385929999999998</v>
      </c>
      <c r="H126">
        <v>0.2353855</v>
      </c>
      <c r="Q126" s="10">
        <f t="shared" si="22"/>
        <v>8.0256152545764531E-4</v>
      </c>
      <c r="AI126">
        <v>2.6503100000000002E-2</v>
      </c>
      <c r="AJ126">
        <f t="shared" si="21"/>
        <v>2.6503100000000002E-2</v>
      </c>
      <c r="AO126">
        <v>2.6503100000000002E-2</v>
      </c>
      <c r="AR126" s="8">
        <v>0</v>
      </c>
      <c r="AS126">
        <v>1.814792</v>
      </c>
    </row>
    <row r="127" spans="1:45" x14ac:dyDescent="0.25">
      <c r="A127">
        <v>24</v>
      </c>
      <c r="B127">
        <v>1998</v>
      </c>
      <c r="C127" s="8">
        <v>0</v>
      </c>
      <c r="D127">
        <v>5.0508000000000003E-3</v>
      </c>
      <c r="E127">
        <v>0.26083499999999998</v>
      </c>
      <c r="F127">
        <v>7.0438000000000001E-2</v>
      </c>
      <c r="G127">
        <v>2.7149369999999999</v>
      </c>
      <c r="H127">
        <v>0.1951107</v>
      </c>
      <c r="Q127" s="10">
        <f t="shared" si="22"/>
        <v>4.5731791582815577E-4</v>
      </c>
      <c r="AI127">
        <v>4.8872699999999998E-2</v>
      </c>
      <c r="AJ127">
        <f t="shared" si="21"/>
        <v>4.8872699999999998E-2</v>
      </c>
      <c r="AO127">
        <v>4.8872699999999998E-2</v>
      </c>
      <c r="AR127" s="8">
        <v>0</v>
      </c>
      <c r="AS127">
        <v>1.826908</v>
      </c>
    </row>
    <row r="128" spans="1:45" x14ac:dyDescent="0.25">
      <c r="A128">
        <v>24</v>
      </c>
      <c r="B128">
        <v>1999</v>
      </c>
      <c r="C128" s="8">
        <v>0</v>
      </c>
      <c r="D128">
        <v>2.6503100000000002E-2</v>
      </c>
      <c r="E128">
        <v>0.30154219999999998</v>
      </c>
      <c r="F128">
        <v>8.1707199999999994E-2</v>
      </c>
      <c r="G128">
        <v>3.9731160000000001</v>
      </c>
      <c r="H128">
        <v>0.17607800000000001</v>
      </c>
      <c r="Q128" s="10">
        <f t="shared" si="22"/>
        <v>5.2906128901655027E-5</v>
      </c>
      <c r="AI128">
        <v>5.6824E-2</v>
      </c>
      <c r="AJ128">
        <f t="shared" si="21"/>
        <v>5.6824E-2</v>
      </c>
      <c r="AO128">
        <v>5.6824E-2</v>
      </c>
      <c r="AR128" s="8">
        <v>0</v>
      </c>
      <c r="AS128">
        <v>2.2385929999999998</v>
      </c>
    </row>
    <row r="129" spans="1:45" x14ac:dyDescent="0.25">
      <c r="A129">
        <v>24</v>
      </c>
      <c r="B129">
        <v>2000</v>
      </c>
      <c r="C129" s="8">
        <v>0</v>
      </c>
      <c r="D129">
        <v>4.8872699999999998E-2</v>
      </c>
      <c r="E129">
        <v>0.35017569999999998</v>
      </c>
      <c r="F129">
        <v>5.7734199999999999E-2</v>
      </c>
      <c r="G129">
        <v>2.8020640000000001</v>
      </c>
      <c r="H129">
        <v>0.17753050000000001</v>
      </c>
      <c r="Q129" s="10">
        <f t="shared" si="22"/>
        <v>3.8977951877663448E-4</v>
      </c>
      <c r="AI129">
        <v>3.4862700000000003E-2</v>
      </c>
      <c r="AJ129">
        <f t="shared" si="21"/>
        <v>3.4862700000000003E-2</v>
      </c>
      <c r="AO129">
        <v>3.4862700000000003E-2</v>
      </c>
      <c r="AR129" s="8">
        <v>0</v>
      </c>
      <c r="AS129">
        <v>2.7149369999999999</v>
      </c>
    </row>
    <row r="130" spans="1:45" x14ac:dyDescent="0.25">
      <c r="A130">
        <v>24</v>
      </c>
      <c r="B130">
        <v>2001</v>
      </c>
      <c r="C130" s="8">
        <v>0</v>
      </c>
      <c r="D130">
        <v>5.6824E-2</v>
      </c>
      <c r="E130">
        <v>0.39108530000000002</v>
      </c>
      <c r="F130">
        <v>6.8927100000000005E-2</v>
      </c>
      <c r="G130">
        <v>2.7371210000000001</v>
      </c>
      <c r="H130">
        <v>0.18327080000000001</v>
      </c>
      <c r="Q130" s="10">
        <f t="shared" si="22"/>
        <v>3.7499965119540174E-4</v>
      </c>
      <c r="AI130">
        <v>4.3758100000000001E-2</v>
      </c>
      <c r="AJ130">
        <f t="shared" si="21"/>
        <v>4.3758100000000001E-2</v>
      </c>
      <c r="AO130">
        <v>4.3758100000000001E-2</v>
      </c>
      <c r="AR130" s="8">
        <v>0</v>
      </c>
      <c r="AS130">
        <v>3.9731160000000001</v>
      </c>
    </row>
    <row r="131" spans="1:45" x14ac:dyDescent="0.25">
      <c r="A131">
        <v>24</v>
      </c>
      <c r="B131">
        <v>2002</v>
      </c>
      <c r="C131" s="8">
        <v>0</v>
      </c>
      <c r="D131">
        <v>3.4862700000000003E-2</v>
      </c>
      <c r="E131">
        <v>0.32329580000000002</v>
      </c>
      <c r="F131">
        <v>6.6376199999999996E-2</v>
      </c>
      <c r="G131">
        <v>1.5504169999999999</v>
      </c>
      <c r="H131">
        <v>0.14436460000000001</v>
      </c>
      <c r="Q131" s="10">
        <f t="shared" si="22"/>
        <v>2.7012782762234205E-3</v>
      </c>
      <c r="AI131">
        <v>4.3872800000000003E-2</v>
      </c>
      <c r="AJ131">
        <f t="shared" si="21"/>
        <v>4.3872800000000003E-2</v>
      </c>
      <c r="AO131">
        <v>4.3872800000000003E-2</v>
      </c>
      <c r="AR131" s="8">
        <v>0</v>
      </c>
      <c r="AS131">
        <v>2.8020640000000001</v>
      </c>
    </row>
    <row r="132" spans="1:45" x14ac:dyDescent="0.25">
      <c r="A132">
        <v>24</v>
      </c>
      <c r="B132">
        <v>2003</v>
      </c>
      <c r="C132" s="8">
        <v>0</v>
      </c>
      <c r="D132">
        <v>4.3758100000000001E-2</v>
      </c>
      <c r="E132">
        <v>0.39491999999999999</v>
      </c>
      <c r="F132">
        <v>4.36625E-2</v>
      </c>
      <c r="G132">
        <v>1.5446200000000001</v>
      </c>
      <c r="H132">
        <v>0.1434598</v>
      </c>
      <c r="Q132" s="10">
        <f t="shared" si="22"/>
        <v>2.9546485888484134E-3</v>
      </c>
      <c r="AI132">
        <v>0.1451007</v>
      </c>
      <c r="AJ132">
        <f t="shared" si="21"/>
        <v>0.1451007</v>
      </c>
      <c r="AO132">
        <v>0.1451007</v>
      </c>
      <c r="AR132" s="8">
        <v>0</v>
      </c>
      <c r="AS132">
        <v>2.7371210000000001</v>
      </c>
    </row>
    <row r="133" spans="1:45" x14ac:dyDescent="0.25">
      <c r="A133">
        <v>24</v>
      </c>
      <c r="B133">
        <v>2004</v>
      </c>
      <c r="C133" s="8">
        <v>0</v>
      </c>
      <c r="D133">
        <v>4.3872800000000003E-2</v>
      </c>
      <c r="E133">
        <v>0.43121579999999998</v>
      </c>
      <c r="F133">
        <v>5.85981E-2</v>
      </c>
      <c r="G133">
        <v>1.907273</v>
      </c>
      <c r="H133">
        <v>0.1557239</v>
      </c>
      <c r="Q133" s="10">
        <f t="shared" si="22"/>
        <v>1.4083375229259187E-3</v>
      </c>
      <c r="AI133">
        <v>2.7224000000000002E-2</v>
      </c>
      <c r="AJ133">
        <f t="shared" ref="AJ133:AJ196" si="23">MAX(MIN(AI133,AM$5),AM$4)</f>
        <v>2.7224000000000002E-2</v>
      </c>
      <c r="AO133">
        <v>2.7224000000000002E-2</v>
      </c>
      <c r="AR133" s="8">
        <v>0</v>
      </c>
      <c r="AS133">
        <v>1.5504169999999999</v>
      </c>
    </row>
    <row r="134" spans="1:45" x14ac:dyDescent="0.25">
      <c r="A134">
        <v>25</v>
      </c>
      <c r="B134">
        <v>1999</v>
      </c>
      <c r="C134" s="8">
        <v>0</v>
      </c>
      <c r="D134">
        <v>0.1451007</v>
      </c>
      <c r="E134">
        <v>0.35458190000000001</v>
      </c>
      <c r="F134">
        <v>5.89574E-2</v>
      </c>
      <c r="G134">
        <v>2.8607580000000001</v>
      </c>
      <c r="H134">
        <v>0.27418940000000003</v>
      </c>
      <c r="Q134" s="10">
        <f t="shared" si="22"/>
        <v>3.8592280784936485E-4</v>
      </c>
      <c r="AI134">
        <v>8.7961700000000004E-2</v>
      </c>
      <c r="AJ134">
        <f t="shared" si="23"/>
        <v>8.7961700000000004E-2</v>
      </c>
      <c r="AO134">
        <v>8.7961700000000004E-2</v>
      </c>
      <c r="AR134" s="8">
        <v>0</v>
      </c>
      <c r="AS134">
        <v>1.5446200000000001</v>
      </c>
    </row>
    <row r="135" spans="1:45" x14ac:dyDescent="0.25">
      <c r="A135">
        <v>25</v>
      </c>
      <c r="B135">
        <v>2000</v>
      </c>
      <c r="C135" s="8">
        <v>0</v>
      </c>
      <c r="D135">
        <v>2.7224000000000002E-2</v>
      </c>
      <c r="E135">
        <v>0.2412387</v>
      </c>
      <c r="F135">
        <v>6.9867499999999999E-2</v>
      </c>
      <c r="G135">
        <v>1.454542</v>
      </c>
      <c r="H135">
        <v>0.22447520000000001</v>
      </c>
      <c r="Q135" s="10">
        <f t="shared" ref="Q135:Q198" si="24">1/(1+EXP(-(J$6+SUMPRODUCT(K$6:O$6,D135:H135))))</f>
        <v>3.6091294294831435E-3</v>
      </c>
      <c r="AI135">
        <v>9.3647499999999995E-2</v>
      </c>
      <c r="AJ135">
        <f t="shared" si="23"/>
        <v>9.3647499999999995E-2</v>
      </c>
      <c r="AO135">
        <v>9.3647499999999995E-2</v>
      </c>
      <c r="AR135" s="8">
        <v>0</v>
      </c>
      <c r="AS135">
        <v>1.907273</v>
      </c>
    </row>
    <row r="136" spans="1:45" x14ac:dyDescent="0.25">
      <c r="A136">
        <v>25</v>
      </c>
      <c r="B136">
        <v>2001</v>
      </c>
      <c r="C136" s="8">
        <v>0</v>
      </c>
      <c r="D136">
        <v>8.7961700000000004E-2</v>
      </c>
      <c r="E136">
        <v>0.24824679999999999</v>
      </c>
      <c r="F136">
        <v>2.45603E-2</v>
      </c>
      <c r="G136">
        <v>1.7273430000000001</v>
      </c>
      <c r="H136">
        <v>0.21225669999999999</v>
      </c>
      <c r="Q136" s="10">
        <f t="shared" si="24"/>
        <v>3.3830636536393579E-3</v>
      </c>
      <c r="AI136">
        <v>9.3577800000000003E-2</v>
      </c>
      <c r="AJ136">
        <f t="shared" si="23"/>
        <v>9.3577800000000003E-2</v>
      </c>
      <c r="AO136">
        <v>9.3577800000000003E-2</v>
      </c>
      <c r="AR136" s="8">
        <v>0</v>
      </c>
      <c r="AS136">
        <v>2.8607580000000001</v>
      </c>
    </row>
    <row r="137" spans="1:45" x14ac:dyDescent="0.25">
      <c r="A137">
        <v>25</v>
      </c>
      <c r="B137">
        <v>2002</v>
      </c>
      <c r="C137" s="8">
        <v>0</v>
      </c>
      <c r="D137">
        <v>9.3647499999999995E-2</v>
      </c>
      <c r="E137">
        <v>0.22809660000000001</v>
      </c>
      <c r="F137">
        <v>3.9419000000000003E-2</v>
      </c>
      <c r="G137">
        <v>1.0046619999999999</v>
      </c>
      <c r="H137">
        <v>0.1979361</v>
      </c>
      <c r="Q137" s="10">
        <f t="shared" si="24"/>
        <v>9.6605235325278663E-3</v>
      </c>
      <c r="AI137">
        <v>7.3662099999999994E-2</v>
      </c>
      <c r="AJ137">
        <f t="shared" si="23"/>
        <v>7.3662099999999994E-2</v>
      </c>
      <c r="AO137">
        <v>7.3662099999999994E-2</v>
      </c>
      <c r="AR137" s="8">
        <v>0</v>
      </c>
      <c r="AS137">
        <v>1.454542</v>
      </c>
    </row>
    <row r="138" spans="1:45" x14ac:dyDescent="0.25">
      <c r="A138">
        <v>25</v>
      </c>
      <c r="B138">
        <v>2003</v>
      </c>
      <c r="C138" s="8">
        <v>0</v>
      </c>
      <c r="D138">
        <v>9.3577800000000003E-2</v>
      </c>
      <c r="E138">
        <v>0.25567909999999999</v>
      </c>
      <c r="F138">
        <v>4.6665499999999999E-2</v>
      </c>
      <c r="G138">
        <v>1.7091259999999999</v>
      </c>
      <c r="H138">
        <v>0.19322439999999999</v>
      </c>
      <c r="Q138" s="10">
        <f t="shared" si="24"/>
        <v>2.8611989493429061E-3</v>
      </c>
      <c r="AI138">
        <v>0.18999640000000001</v>
      </c>
      <c r="AJ138">
        <f t="shared" si="23"/>
        <v>0.18999640000000001</v>
      </c>
      <c r="AO138">
        <v>0.18999640000000001</v>
      </c>
      <c r="AR138" s="8">
        <v>0</v>
      </c>
      <c r="AS138">
        <v>1.7273430000000001</v>
      </c>
    </row>
    <row r="139" spans="1:45" x14ac:dyDescent="0.25">
      <c r="A139">
        <v>25</v>
      </c>
      <c r="B139">
        <v>2004</v>
      </c>
      <c r="C139" s="8">
        <v>0</v>
      </c>
      <c r="D139">
        <v>7.3662099999999994E-2</v>
      </c>
      <c r="E139">
        <v>0.28567120000000001</v>
      </c>
      <c r="F139">
        <v>2.7682200000000001E-2</v>
      </c>
      <c r="G139">
        <v>1.4509989999999999</v>
      </c>
      <c r="H139">
        <v>0.2241833</v>
      </c>
      <c r="Q139" s="10">
        <f t="shared" si="24"/>
        <v>4.8538026996269067E-3</v>
      </c>
      <c r="AI139">
        <v>0.41577950000000002</v>
      </c>
      <c r="AJ139">
        <f t="shared" si="23"/>
        <v>0.41577950000000002</v>
      </c>
      <c r="AO139">
        <v>0.41577950000000002</v>
      </c>
      <c r="AR139" s="8">
        <v>0</v>
      </c>
      <c r="AS139">
        <v>1.0046619999999999</v>
      </c>
    </row>
    <row r="140" spans="1:45" x14ac:dyDescent="0.25">
      <c r="A140">
        <v>26</v>
      </c>
      <c r="B140">
        <v>1999</v>
      </c>
      <c r="C140" s="8">
        <v>0</v>
      </c>
      <c r="D140">
        <v>0.18999640000000001</v>
      </c>
      <c r="E140">
        <v>1.72135E-2</v>
      </c>
      <c r="F140">
        <v>3.6524099999999997E-2</v>
      </c>
      <c r="G140">
        <v>3.0975540000000001</v>
      </c>
      <c r="H140">
        <v>0.1225296</v>
      </c>
      <c r="Q140" s="10">
        <f t="shared" si="24"/>
        <v>4.7952244544687597E-4</v>
      </c>
      <c r="AI140">
        <v>5.76623E-2</v>
      </c>
      <c r="AJ140">
        <f t="shared" si="23"/>
        <v>5.76623E-2</v>
      </c>
      <c r="AO140">
        <v>5.76623E-2</v>
      </c>
      <c r="AR140" s="8">
        <v>0</v>
      </c>
      <c r="AS140">
        <v>1.7091259999999999</v>
      </c>
    </row>
    <row r="141" spans="1:45" x14ac:dyDescent="0.25">
      <c r="A141">
        <v>26</v>
      </c>
      <c r="B141">
        <v>2000</v>
      </c>
      <c r="C141" s="8">
        <v>0</v>
      </c>
      <c r="D141">
        <v>0.41577950000000002</v>
      </c>
      <c r="E141">
        <v>0.1101916</v>
      </c>
      <c r="F141">
        <v>5.0738499999999999E-2</v>
      </c>
      <c r="G141">
        <v>7.4419469999999999</v>
      </c>
      <c r="H141">
        <v>0.11231869999999999</v>
      </c>
      <c r="Q141" s="10">
        <f t="shared" si="24"/>
        <v>4.0188543484332423E-7</v>
      </c>
      <c r="AI141">
        <v>9.2327999999999993E-2</v>
      </c>
      <c r="AJ141">
        <f t="shared" si="23"/>
        <v>9.2327999999999993E-2</v>
      </c>
      <c r="AO141">
        <v>9.2327999999999993E-2</v>
      </c>
      <c r="AR141" s="8">
        <v>0</v>
      </c>
      <c r="AS141">
        <v>1.4509989999999999</v>
      </c>
    </row>
    <row r="142" spans="1:45" x14ac:dyDescent="0.25">
      <c r="A142">
        <v>27</v>
      </c>
      <c r="B142">
        <v>1999</v>
      </c>
      <c r="C142" s="8">
        <v>0</v>
      </c>
      <c r="D142">
        <v>5.76623E-2</v>
      </c>
      <c r="E142">
        <v>0.31443500000000002</v>
      </c>
      <c r="F142">
        <v>7.3833700000000002E-2</v>
      </c>
      <c r="G142">
        <v>1.131961</v>
      </c>
      <c r="H142">
        <v>0.31742550000000003</v>
      </c>
      <c r="Q142" s="10">
        <f t="shared" si="24"/>
        <v>5.6269329077435299E-3</v>
      </c>
      <c r="AI142">
        <v>3.6138999999999998E-2</v>
      </c>
      <c r="AJ142">
        <f t="shared" si="23"/>
        <v>3.6138999999999998E-2</v>
      </c>
      <c r="AO142">
        <v>3.6138999999999998E-2</v>
      </c>
      <c r="AR142" s="8">
        <v>0</v>
      </c>
      <c r="AS142">
        <v>3.0975540000000001</v>
      </c>
    </row>
    <row r="143" spans="1:45" x14ac:dyDescent="0.25">
      <c r="A143">
        <v>27</v>
      </c>
      <c r="B143">
        <v>2000</v>
      </c>
      <c r="C143" s="8">
        <v>0</v>
      </c>
      <c r="D143">
        <v>9.2327999999999993E-2</v>
      </c>
      <c r="E143">
        <v>0.31948729999999997</v>
      </c>
      <c r="F143">
        <v>7.1702600000000005E-2</v>
      </c>
      <c r="G143">
        <v>1.03674</v>
      </c>
      <c r="H143">
        <v>0.39028059999999998</v>
      </c>
      <c r="Q143" s="10">
        <f t="shared" si="24"/>
        <v>7.0085684026649775E-3</v>
      </c>
      <c r="AI143">
        <v>4.3963299999999997E-2</v>
      </c>
      <c r="AJ143">
        <f t="shared" si="23"/>
        <v>4.3963299999999997E-2</v>
      </c>
      <c r="AO143">
        <v>4.3963299999999997E-2</v>
      </c>
      <c r="AR143" s="8">
        <v>0</v>
      </c>
      <c r="AS143">
        <v>7.4419469999999999</v>
      </c>
    </row>
    <row r="144" spans="1:45" x14ac:dyDescent="0.25">
      <c r="A144">
        <v>27</v>
      </c>
      <c r="B144">
        <v>2001</v>
      </c>
      <c r="C144" s="8">
        <v>0</v>
      </c>
      <c r="D144">
        <v>3.6138999999999998E-2</v>
      </c>
      <c r="E144">
        <v>0.27237</v>
      </c>
      <c r="F144">
        <v>3.7122099999999998E-2</v>
      </c>
      <c r="G144">
        <v>0.56395169999999994</v>
      </c>
      <c r="H144">
        <v>0.21267510000000001</v>
      </c>
      <c r="Q144" s="10">
        <f t="shared" si="24"/>
        <v>1.819251352490605E-2</v>
      </c>
      <c r="AI144">
        <v>8.4355700000000006E-2</v>
      </c>
      <c r="AJ144">
        <f t="shared" si="23"/>
        <v>8.4355700000000006E-2</v>
      </c>
      <c r="AO144">
        <v>8.4355700000000006E-2</v>
      </c>
      <c r="AR144" s="8">
        <v>0</v>
      </c>
      <c r="AS144">
        <v>1.131961</v>
      </c>
    </row>
    <row r="145" spans="1:45" x14ac:dyDescent="0.25">
      <c r="A145">
        <v>27</v>
      </c>
      <c r="B145">
        <v>2002</v>
      </c>
      <c r="C145" s="8">
        <v>0</v>
      </c>
      <c r="D145">
        <v>4.3963299999999997E-2</v>
      </c>
      <c r="E145">
        <v>0.28093630000000003</v>
      </c>
      <c r="F145">
        <v>4.6756300000000001E-2</v>
      </c>
      <c r="G145">
        <v>0.57312830000000003</v>
      </c>
      <c r="H145">
        <v>0.2627061</v>
      </c>
      <c r="Q145" s="10">
        <f t="shared" si="24"/>
        <v>1.6985206974572224E-2</v>
      </c>
      <c r="AI145">
        <v>1.0224E-2</v>
      </c>
      <c r="AJ145">
        <f t="shared" si="23"/>
        <v>1.0224E-2</v>
      </c>
      <c r="AO145">
        <v>1.0224E-2</v>
      </c>
      <c r="AR145" s="8">
        <v>0</v>
      </c>
      <c r="AS145">
        <v>1.03674</v>
      </c>
    </row>
    <row r="146" spans="1:45" x14ac:dyDescent="0.25">
      <c r="A146">
        <v>27</v>
      </c>
      <c r="B146">
        <v>2003</v>
      </c>
      <c r="C146" s="8">
        <v>0</v>
      </c>
      <c r="D146">
        <v>8.4355700000000006E-2</v>
      </c>
      <c r="E146">
        <v>0.28937570000000001</v>
      </c>
      <c r="F146">
        <v>2.6209400000000001E-2</v>
      </c>
      <c r="G146">
        <v>0.5743819</v>
      </c>
      <c r="H146">
        <v>0.29558679999999998</v>
      </c>
      <c r="Q146" s="10">
        <f t="shared" si="24"/>
        <v>2.0410601148221921E-2</v>
      </c>
      <c r="AI146">
        <v>7.4940199999999998E-2</v>
      </c>
      <c r="AJ146">
        <f t="shared" si="23"/>
        <v>7.4940199999999998E-2</v>
      </c>
      <c r="AO146">
        <v>7.4940199999999998E-2</v>
      </c>
      <c r="AR146" s="8">
        <v>0</v>
      </c>
      <c r="AS146">
        <v>0.56395169999999994</v>
      </c>
    </row>
    <row r="147" spans="1:45" x14ac:dyDescent="0.25">
      <c r="A147">
        <v>27</v>
      </c>
      <c r="B147">
        <v>2004</v>
      </c>
      <c r="C147" s="8">
        <v>0</v>
      </c>
      <c r="D147">
        <v>1.0224E-2</v>
      </c>
      <c r="E147">
        <v>0.24878549999999999</v>
      </c>
      <c r="F147">
        <v>5.1870899999999998E-2</v>
      </c>
      <c r="G147">
        <v>0.73559430000000003</v>
      </c>
      <c r="H147">
        <v>0.3130597</v>
      </c>
      <c r="Q147" s="10">
        <f t="shared" si="24"/>
        <v>1.3464715214037316E-2</v>
      </c>
      <c r="AI147">
        <v>7.6209700000000005E-2</v>
      </c>
      <c r="AJ147">
        <f t="shared" si="23"/>
        <v>7.6209700000000005E-2</v>
      </c>
      <c r="AO147">
        <v>7.6209700000000005E-2</v>
      </c>
      <c r="AR147" s="8">
        <v>0</v>
      </c>
      <c r="AS147">
        <v>0.57312830000000003</v>
      </c>
    </row>
    <row r="148" spans="1:45" x14ac:dyDescent="0.25">
      <c r="A148">
        <v>28</v>
      </c>
      <c r="B148">
        <v>1999</v>
      </c>
      <c r="C148" s="8">
        <v>0</v>
      </c>
      <c r="D148">
        <v>7.4940199999999998E-2</v>
      </c>
      <c r="E148">
        <v>0.68670399999999998</v>
      </c>
      <c r="F148">
        <v>6.9855299999999995E-2</v>
      </c>
      <c r="G148">
        <v>1.516214</v>
      </c>
      <c r="H148">
        <v>0.23815710000000001</v>
      </c>
      <c r="Q148" s="10">
        <f t="shared" si="24"/>
        <v>1.7641526780248979E-3</v>
      </c>
      <c r="AI148">
        <v>0.16550809999999999</v>
      </c>
      <c r="AJ148">
        <f t="shared" si="23"/>
        <v>0.16550809999999999</v>
      </c>
      <c r="AO148">
        <v>0.16550809999999999</v>
      </c>
      <c r="AR148" s="8">
        <v>0</v>
      </c>
      <c r="AS148">
        <v>0.5743819</v>
      </c>
    </row>
    <row r="149" spans="1:45" x14ac:dyDescent="0.25">
      <c r="A149">
        <v>28</v>
      </c>
      <c r="B149">
        <v>2000</v>
      </c>
      <c r="C149" s="8">
        <v>0</v>
      </c>
      <c r="D149">
        <v>7.6209700000000005E-2</v>
      </c>
      <c r="E149">
        <v>0.70064959999999998</v>
      </c>
      <c r="F149">
        <v>5.8924299999999999E-2</v>
      </c>
      <c r="G149">
        <v>1.3195749999999999</v>
      </c>
      <c r="H149">
        <v>0.26568829999999999</v>
      </c>
      <c r="Q149" s="10">
        <f t="shared" si="24"/>
        <v>2.6245756369723859E-3</v>
      </c>
      <c r="AI149">
        <v>0.103047</v>
      </c>
      <c r="AJ149">
        <f t="shared" si="23"/>
        <v>0.103047</v>
      </c>
      <c r="AO149">
        <v>0.103047</v>
      </c>
      <c r="AR149" s="8">
        <v>0</v>
      </c>
      <c r="AS149">
        <v>0.73559430000000003</v>
      </c>
    </row>
    <row r="150" spans="1:45" x14ac:dyDescent="0.25">
      <c r="A150">
        <v>28</v>
      </c>
      <c r="B150">
        <v>2001</v>
      </c>
      <c r="C150" s="8">
        <v>0</v>
      </c>
      <c r="D150">
        <v>0.16550809999999999</v>
      </c>
      <c r="E150">
        <v>0.79749300000000001</v>
      </c>
      <c r="F150">
        <v>6.42427E-2</v>
      </c>
      <c r="G150">
        <v>1.874277</v>
      </c>
      <c r="H150">
        <v>0.2772907</v>
      </c>
      <c r="Q150" s="10">
        <f t="shared" si="24"/>
        <v>9.4504034572542243E-4</v>
      </c>
      <c r="AI150">
        <v>4.40983E-2</v>
      </c>
      <c r="AJ150">
        <f t="shared" si="23"/>
        <v>4.40983E-2</v>
      </c>
      <c r="AO150">
        <v>4.40983E-2</v>
      </c>
      <c r="AR150" s="8">
        <v>0</v>
      </c>
      <c r="AS150">
        <v>1.516214</v>
      </c>
    </row>
    <row r="151" spans="1:45" x14ac:dyDescent="0.25">
      <c r="A151">
        <v>28</v>
      </c>
      <c r="B151">
        <v>2002</v>
      </c>
      <c r="C151" s="8">
        <v>0</v>
      </c>
      <c r="D151">
        <v>0.103047</v>
      </c>
      <c r="E151">
        <v>0.78042350000000005</v>
      </c>
      <c r="F151">
        <v>5.7165100000000003E-2</v>
      </c>
      <c r="G151">
        <v>2.0184549999999999</v>
      </c>
      <c r="H151">
        <v>0.27370919999999999</v>
      </c>
      <c r="Q151" s="10">
        <f t="shared" si="24"/>
        <v>7.9230765341151653E-4</v>
      </c>
      <c r="AI151">
        <v>0.1218325</v>
      </c>
      <c r="AJ151">
        <f t="shared" si="23"/>
        <v>0.1218325</v>
      </c>
      <c r="AO151">
        <v>0.1218325</v>
      </c>
      <c r="AR151" s="8">
        <v>0</v>
      </c>
      <c r="AS151">
        <v>1.3195749999999999</v>
      </c>
    </row>
    <row r="152" spans="1:45" x14ac:dyDescent="0.25">
      <c r="A152">
        <v>28</v>
      </c>
      <c r="B152">
        <v>2003</v>
      </c>
      <c r="C152" s="8">
        <v>0</v>
      </c>
      <c r="D152">
        <v>4.40983E-2</v>
      </c>
      <c r="E152">
        <v>0.66985399999999995</v>
      </c>
      <c r="F152">
        <v>6.40931E-2</v>
      </c>
      <c r="G152">
        <v>2.2190319999999999</v>
      </c>
      <c r="H152">
        <v>0.23801530000000001</v>
      </c>
      <c r="Q152" s="10">
        <f t="shared" si="24"/>
        <v>6.105120021758126E-4</v>
      </c>
      <c r="AI152">
        <v>-6.9149600000000006E-2</v>
      </c>
      <c r="AJ152">
        <f t="shared" si="23"/>
        <v>-6.9149600000000006E-2</v>
      </c>
      <c r="AO152">
        <v>-6.9149600000000006E-2</v>
      </c>
      <c r="AR152" s="8">
        <v>0</v>
      </c>
      <c r="AS152">
        <v>1.874277</v>
      </c>
    </row>
    <row r="153" spans="1:45" x14ac:dyDescent="0.25">
      <c r="A153">
        <v>28</v>
      </c>
      <c r="B153">
        <v>2004</v>
      </c>
      <c r="C153" s="8">
        <v>0</v>
      </c>
      <c r="D153">
        <v>0.1218325</v>
      </c>
      <c r="E153">
        <v>0.72319849999999997</v>
      </c>
      <c r="F153">
        <v>6.7295199999999999E-2</v>
      </c>
      <c r="G153">
        <v>2.415635</v>
      </c>
      <c r="H153">
        <v>0.25794260000000002</v>
      </c>
      <c r="Q153" s="10">
        <f t="shared" si="24"/>
        <v>4.2097201169535083E-4</v>
      </c>
      <c r="AI153">
        <v>-9.0627200000000005E-2</v>
      </c>
      <c r="AJ153">
        <f t="shared" si="23"/>
        <v>-9.0627200000000005E-2</v>
      </c>
      <c r="AO153">
        <v>-9.0627200000000005E-2</v>
      </c>
      <c r="AR153" s="8">
        <v>0</v>
      </c>
      <c r="AS153">
        <v>2.0184549999999999</v>
      </c>
    </row>
    <row r="154" spans="1:45" x14ac:dyDescent="0.25">
      <c r="A154">
        <v>29</v>
      </c>
      <c r="B154">
        <v>2000</v>
      </c>
      <c r="C154" s="8">
        <v>0</v>
      </c>
      <c r="D154">
        <v>-6.9149600000000006E-2</v>
      </c>
      <c r="E154">
        <v>8.2794300000000001E-2</v>
      </c>
      <c r="F154">
        <v>3.4941100000000003E-2</v>
      </c>
      <c r="G154">
        <v>0.33803060000000001</v>
      </c>
      <c r="H154">
        <v>0.2229237</v>
      </c>
      <c r="Q154" s="10">
        <f t="shared" si="24"/>
        <v>3.3164597533164891E-2</v>
      </c>
      <c r="AI154">
        <v>-8.2439499999999999E-2</v>
      </c>
      <c r="AJ154">
        <f t="shared" si="23"/>
        <v>-8.2439499999999999E-2</v>
      </c>
      <c r="AO154">
        <v>-8.2439499999999999E-2</v>
      </c>
      <c r="AR154" s="8">
        <v>0</v>
      </c>
      <c r="AS154">
        <v>2.2190319999999999</v>
      </c>
    </row>
    <row r="155" spans="1:45" x14ac:dyDescent="0.25">
      <c r="A155">
        <v>29</v>
      </c>
      <c r="B155">
        <v>2001</v>
      </c>
      <c r="C155" s="8">
        <v>0</v>
      </c>
      <c r="D155">
        <v>-9.0627200000000005E-2</v>
      </c>
      <c r="E155">
        <v>9.4666200000000006E-2</v>
      </c>
      <c r="F155">
        <v>3.0965900000000001E-2</v>
      </c>
      <c r="G155">
        <v>0.3888742</v>
      </c>
      <c r="H155">
        <v>7.75058E-2</v>
      </c>
      <c r="Q155" s="10">
        <f t="shared" si="24"/>
        <v>2.8248708083973412E-2</v>
      </c>
      <c r="AI155">
        <v>-4.6202999999999999E-3</v>
      </c>
      <c r="AJ155">
        <f t="shared" si="23"/>
        <v>-4.6202999999999999E-3</v>
      </c>
      <c r="AO155">
        <v>-4.6202999999999999E-3</v>
      </c>
      <c r="AR155" s="8">
        <v>0</v>
      </c>
      <c r="AS155">
        <v>2.415635</v>
      </c>
    </row>
    <row r="156" spans="1:45" x14ac:dyDescent="0.25">
      <c r="A156">
        <v>29</v>
      </c>
      <c r="B156">
        <v>2002</v>
      </c>
      <c r="C156" s="8">
        <v>0</v>
      </c>
      <c r="D156">
        <v>-8.2439499999999999E-2</v>
      </c>
      <c r="E156">
        <v>5.2244400000000003E-2</v>
      </c>
      <c r="F156">
        <v>3.4134699999999997E-2</v>
      </c>
      <c r="G156">
        <v>0.36233880000000002</v>
      </c>
      <c r="H156">
        <v>0.1128975</v>
      </c>
      <c r="Q156" s="10">
        <f t="shared" si="24"/>
        <v>3.1246438509383204E-2</v>
      </c>
      <c r="AI156">
        <v>1.3973599999999999E-2</v>
      </c>
      <c r="AJ156">
        <f t="shared" si="23"/>
        <v>1.3973599999999999E-2</v>
      </c>
      <c r="AO156">
        <v>1.3973599999999999E-2</v>
      </c>
      <c r="AR156" s="8">
        <v>0</v>
      </c>
      <c r="AS156">
        <v>0.33803060000000001</v>
      </c>
    </row>
    <row r="157" spans="1:45" x14ac:dyDescent="0.25">
      <c r="A157">
        <v>29</v>
      </c>
      <c r="B157">
        <v>2003</v>
      </c>
      <c r="C157" s="8">
        <v>0</v>
      </c>
      <c r="D157">
        <v>-4.6202999999999999E-3</v>
      </c>
      <c r="E157">
        <v>5.8869999999999999E-2</v>
      </c>
      <c r="F157">
        <v>5.3699999999999998E-2</v>
      </c>
      <c r="G157">
        <v>0.46209600000000001</v>
      </c>
      <c r="H157">
        <v>0.14065440000000001</v>
      </c>
      <c r="Q157" s="10">
        <f t="shared" si="24"/>
        <v>2.3898152821373728E-2</v>
      </c>
      <c r="AI157">
        <v>0.247727</v>
      </c>
      <c r="AJ157">
        <f t="shared" si="23"/>
        <v>0.247727</v>
      </c>
      <c r="AO157">
        <v>0.247727</v>
      </c>
      <c r="AR157" s="8">
        <v>0</v>
      </c>
      <c r="AS157">
        <v>0.3888742</v>
      </c>
    </row>
    <row r="158" spans="1:45" x14ac:dyDescent="0.25">
      <c r="A158">
        <v>29</v>
      </c>
      <c r="B158">
        <v>2004</v>
      </c>
      <c r="C158" s="8">
        <v>0</v>
      </c>
      <c r="D158">
        <v>1.3973599999999999E-2</v>
      </c>
      <c r="E158">
        <v>8.82463E-2</v>
      </c>
      <c r="F158">
        <v>3.9443600000000002E-2</v>
      </c>
      <c r="G158">
        <v>0.57184760000000001</v>
      </c>
      <c r="H158">
        <v>0.12767400000000001</v>
      </c>
      <c r="Q158" s="10">
        <f t="shared" si="24"/>
        <v>2.1590386693885334E-2</v>
      </c>
      <c r="AI158">
        <v>6.25806E-2</v>
      </c>
      <c r="AJ158">
        <f t="shared" si="23"/>
        <v>6.25806E-2</v>
      </c>
      <c r="AO158">
        <v>6.25806E-2</v>
      </c>
      <c r="AR158" s="8">
        <v>0</v>
      </c>
      <c r="AS158">
        <v>0.36233880000000002</v>
      </c>
    </row>
    <row r="159" spans="1:45" x14ac:dyDescent="0.25">
      <c r="A159">
        <v>30</v>
      </c>
      <c r="B159">
        <v>1999</v>
      </c>
      <c r="C159" s="8">
        <v>0</v>
      </c>
      <c r="D159">
        <v>0.247727</v>
      </c>
      <c r="E159">
        <v>0.55901120000000004</v>
      </c>
      <c r="F159">
        <v>7.5966400000000003E-2</v>
      </c>
      <c r="G159">
        <v>0.84216420000000003</v>
      </c>
      <c r="H159">
        <v>0.2706635</v>
      </c>
      <c r="Q159" s="10">
        <f t="shared" si="24"/>
        <v>6.4601247598456276E-3</v>
      </c>
      <c r="AI159">
        <v>0.1728288</v>
      </c>
      <c r="AJ159">
        <f t="shared" si="23"/>
        <v>0.1728288</v>
      </c>
      <c r="AO159">
        <v>0.1728288</v>
      </c>
      <c r="AR159" s="8">
        <v>0</v>
      </c>
      <c r="AS159">
        <v>0.46209600000000001</v>
      </c>
    </row>
    <row r="160" spans="1:45" x14ac:dyDescent="0.25">
      <c r="A160">
        <v>30</v>
      </c>
      <c r="B160">
        <v>2000</v>
      </c>
      <c r="C160" s="8">
        <v>0</v>
      </c>
      <c r="D160">
        <v>6.25806E-2</v>
      </c>
      <c r="E160">
        <v>0.45581490000000002</v>
      </c>
      <c r="F160">
        <v>5.0710400000000003E-2</v>
      </c>
      <c r="G160">
        <v>0.4861991</v>
      </c>
      <c r="H160">
        <v>0.2671269</v>
      </c>
      <c r="Q160" s="10">
        <f t="shared" si="24"/>
        <v>1.4844016571797148E-2</v>
      </c>
      <c r="AI160">
        <v>0.24190139999999999</v>
      </c>
      <c r="AJ160">
        <f t="shared" si="23"/>
        <v>0.24190139999999999</v>
      </c>
      <c r="AO160">
        <v>0.24190139999999999</v>
      </c>
      <c r="AR160" s="8">
        <v>0</v>
      </c>
      <c r="AS160">
        <v>0.57184760000000001</v>
      </c>
    </row>
    <row r="161" spans="1:45" x14ac:dyDescent="0.25">
      <c r="A161">
        <v>30</v>
      </c>
      <c r="B161">
        <v>2001</v>
      </c>
      <c r="C161" s="8">
        <v>0</v>
      </c>
      <c r="D161">
        <v>0.1728288</v>
      </c>
      <c r="E161">
        <v>0.41641479999999997</v>
      </c>
      <c r="F161">
        <v>6.1921999999999998E-2</v>
      </c>
      <c r="G161">
        <v>0.50190670000000004</v>
      </c>
      <c r="H161">
        <v>0.25684129999999999</v>
      </c>
      <c r="Q161" s="10">
        <f t="shared" si="24"/>
        <v>1.4581449154574806E-2</v>
      </c>
      <c r="AI161">
        <v>0.33931650000000002</v>
      </c>
      <c r="AJ161">
        <f t="shared" si="23"/>
        <v>0.33931650000000002</v>
      </c>
      <c r="AO161">
        <v>0.33931650000000002</v>
      </c>
      <c r="AR161" s="8">
        <v>0</v>
      </c>
      <c r="AS161">
        <v>0.84216420000000003</v>
      </c>
    </row>
    <row r="162" spans="1:45" x14ac:dyDescent="0.25">
      <c r="A162">
        <v>30</v>
      </c>
      <c r="B162">
        <v>2002</v>
      </c>
      <c r="C162" s="8">
        <v>0</v>
      </c>
      <c r="D162">
        <v>0.24190139999999999</v>
      </c>
      <c r="E162">
        <v>0.47669859999999997</v>
      </c>
      <c r="F162">
        <v>6.23055E-2</v>
      </c>
      <c r="G162">
        <v>0.56086389999999997</v>
      </c>
      <c r="H162">
        <v>0.23776929999999999</v>
      </c>
      <c r="Q162" s="10">
        <f t="shared" si="24"/>
        <v>1.2355911586464425E-2</v>
      </c>
      <c r="AI162">
        <v>0.33479449999999999</v>
      </c>
      <c r="AJ162">
        <f t="shared" si="23"/>
        <v>0.33479449999999999</v>
      </c>
      <c r="AO162">
        <v>0.33479449999999999</v>
      </c>
      <c r="AR162" s="8">
        <v>0</v>
      </c>
      <c r="AS162">
        <v>0.4861991</v>
      </c>
    </row>
    <row r="163" spans="1:45" x14ac:dyDescent="0.25">
      <c r="A163">
        <v>30</v>
      </c>
      <c r="B163">
        <v>2003</v>
      </c>
      <c r="C163" s="8">
        <v>0</v>
      </c>
      <c r="D163">
        <v>0.33931650000000002</v>
      </c>
      <c r="E163">
        <v>0.55839380000000005</v>
      </c>
      <c r="F163">
        <v>3.6751399999999997E-2</v>
      </c>
      <c r="G163">
        <v>1.181289</v>
      </c>
      <c r="H163">
        <v>0.25738109999999997</v>
      </c>
      <c r="Q163" s="10">
        <f t="shared" si="24"/>
        <v>5.3157603281195559E-3</v>
      </c>
      <c r="AI163">
        <v>0.1337662</v>
      </c>
      <c r="AJ163">
        <f t="shared" si="23"/>
        <v>0.1337662</v>
      </c>
      <c r="AO163">
        <v>0.1337662</v>
      </c>
      <c r="AR163" s="8">
        <v>0</v>
      </c>
      <c r="AS163">
        <v>0.50190670000000004</v>
      </c>
    </row>
    <row r="164" spans="1:45" x14ac:dyDescent="0.25">
      <c r="A164">
        <v>30</v>
      </c>
      <c r="B164">
        <v>2004</v>
      </c>
      <c r="C164" s="8">
        <v>0</v>
      </c>
      <c r="D164">
        <v>0.33479449999999999</v>
      </c>
      <c r="E164">
        <v>0.5799221</v>
      </c>
      <c r="F164">
        <v>3.9380600000000002E-2</v>
      </c>
      <c r="G164">
        <v>1.4320980000000001</v>
      </c>
      <c r="H164">
        <v>0.21493880000000001</v>
      </c>
      <c r="Q164" s="10">
        <f t="shared" si="24"/>
        <v>3.2953337878610322E-3</v>
      </c>
      <c r="AI164">
        <v>6.7730200000000004E-2</v>
      </c>
      <c r="AJ164">
        <f t="shared" si="23"/>
        <v>6.7730200000000004E-2</v>
      </c>
      <c r="AO164">
        <v>6.7730200000000004E-2</v>
      </c>
      <c r="AR164" s="8">
        <v>0</v>
      </c>
      <c r="AS164">
        <v>0.56086389999999997</v>
      </c>
    </row>
    <row r="165" spans="1:45" x14ac:dyDescent="0.25">
      <c r="A165">
        <v>31</v>
      </c>
      <c r="B165">
        <v>1999</v>
      </c>
      <c r="C165" s="8">
        <v>0</v>
      </c>
      <c r="D165">
        <v>0.1337662</v>
      </c>
      <c r="E165">
        <v>0.1156021</v>
      </c>
      <c r="F165">
        <v>6.7052700000000007E-2</v>
      </c>
      <c r="G165">
        <v>2.919816</v>
      </c>
      <c r="H165">
        <v>0.14879519999999999</v>
      </c>
      <c r="Q165" s="10">
        <f t="shared" si="24"/>
        <v>4.2914724129318259E-4</v>
      </c>
      <c r="AI165">
        <v>0.13416169999999999</v>
      </c>
      <c r="AJ165">
        <f t="shared" si="23"/>
        <v>0.13416169999999999</v>
      </c>
      <c r="AO165">
        <v>0.13416169999999999</v>
      </c>
      <c r="AR165" s="8">
        <v>0</v>
      </c>
      <c r="AS165">
        <v>1.181289</v>
      </c>
    </row>
    <row r="166" spans="1:45" x14ac:dyDescent="0.25">
      <c r="A166">
        <v>31</v>
      </c>
      <c r="B166">
        <v>2000</v>
      </c>
      <c r="C166" s="8">
        <v>0</v>
      </c>
      <c r="D166">
        <v>6.7730200000000004E-2</v>
      </c>
      <c r="E166">
        <v>-3.45308E-2</v>
      </c>
      <c r="F166">
        <v>6.33827E-2</v>
      </c>
      <c r="G166">
        <v>4.5922159999999996</v>
      </c>
      <c r="H166">
        <v>0.19690150000000001</v>
      </c>
      <c r="Q166" s="10">
        <f t="shared" si="24"/>
        <v>3.83657228340704E-5</v>
      </c>
      <c r="AI166">
        <v>0.26998280000000002</v>
      </c>
      <c r="AJ166">
        <f t="shared" si="23"/>
        <v>0.26998280000000002</v>
      </c>
      <c r="AO166">
        <v>0.26998280000000002</v>
      </c>
      <c r="AR166" s="8">
        <v>0</v>
      </c>
      <c r="AS166">
        <v>1.4320980000000001</v>
      </c>
    </row>
    <row r="167" spans="1:45" x14ac:dyDescent="0.25">
      <c r="A167">
        <v>31</v>
      </c>
      <c r="B167">
        <v>2001</v>
      </c>
      <c r="C167" s="8">
        <v>0</v>
      </c>
      <c r="D167">
        <v>0.13416169999999999</v>
      </c>
      <c r="E167">
        <v>1.0509299999999999E-2</v>
      </c>
      <c r="F167">
        <v>7.2255299999999995E-2</v>
      </c>
      <c r="G167">
        <v>4.299245</v>
      </c>
      <c r="H167">
        <v>0.18872359999999999</v>
      </c>
      <c r="Q167" s="10">
        <f t="shared" si="24"/>
        <v>5.4599471194919044E-5</v>
      </c>
      <c r="AI167">
        <v>0.2362805</v>
      </c>
      <c r="AJ167">
        <f t="shared" si="23"/>
        <v>0.2362805</v>
      </c>
      <c r="AO167">
        <v>0.2362805</v>
      </c>
      <c r="AR167" s="8">
        <v>0</v>
      </c>
      <c r="AS167">
        <v>2.919816</v>
      </c>
    </row>
    <row r="168" spans="1:45" x14ac:dyDescent="0.25">
      <c r="A168">
        <v>31</v>
      </c>
      <c r="B168">
        <v>2002</v>
      </c>
      <c r="C168" s="8">
        <v>0</v>
      </c>
      <c r="D168">
        <v>0.26998280000000002</v>
      </c>
      <c r="E168">
        <v>0.14037179999999999</v>
      </c>
      <c r="F168">
        <v>6.7245399999999997E-2</v>
      </c>
      <c r="G168">
        <v>2.8178320000000001</v>
      </c>
      <c r="H168">
        <v>0.17527239999999999</v>
      </c>
      <c r="Q168" s="10">
        <f t="shared" si="24"/>
        <v>5.2297103243000194E-4</v>
      </c>
      <c r="AI168">
        <v>0.19883200000000001</v>
      </c>
      <c r="AJ168">
        <f t="shared" si="23"/>
        <v>0.19883200000000001</v>
      </c>
      <c r="AO168">
        <v>0.19883200000000001</v>
      </c>
      <c r="AR168" s="8">
        <v>0</v>
      </c>
      <c r="AS168">
        <v>4.5922159999999996</v>
      </c>
    </row>
    <row r="169" spans="1:45" x14ac:dyDescent="0.25">
      <c r="A169">
        <v>31</v>
      </c>
      <c r="B169">
        <v>2003</v>
      </c>
      <c r="C169" s="8">
        <v>0</v>
      </c>
      <c r="D169">
        <v>0.2362805</v>
      </c>
      <c r="E169">
        <v>0.14840310000000001</v>
      </c>
      <c r="F169">
        <v>5.2065899999999998E-2</v>
      </c>
      <c r="G169">
        <v>2.6201759999999998</v>
      </c>
      <c r="H169">
        <v>0.1650954</v>
      </c>
      <c r="Q169" s="10">
        <f t="shared" si="24"/>
        <v>7.8345998464309158E-4</v>
      </c>
      <c r="AI169">
        <v>0.29833749999999998</v>
      </c>
      <c r="AJ169">
        <f t="shared" si="23"/>
        <v>0.29833749999999998</v>
      </c>
      <c r="AO169">
        <v>0.29833749999999998</v>
      </c>
      <c r="AR169" s="8">
        <v>0</v>
      </c>
      <c r="AS169">
        <v>4.299245</v>
      </c>
    </row>
    <row r="170" spans="1:45" x14ac:dyDescent="0.25">
      <c r="A170">
        <v>31</v>
      </c>
      <c r="B170">
        <v>2004</v>
      </c>
      <c r="C170" s="8">
        <v>0</v>
      </c>
      <c r="D170">
        <v>0.19883200000000001</v>
      </c>
      <c r="E170">
        <v>0.17172580000000001</v>
      </c>
      <c r="F170">
        <v>7.0191000000000003E-2</v>
      </c>
      <c r="G170">
        <v>2.4185089999999998</v>
      </c>
      <c r="H170">
        <v>0.16800029999999999</v>
      </c>
      <c r="Q170" s="10">
        <f t="shared" si="24"/>
        <v>8.9102638835556651E-4</v>
      </c>
      <c r="AI170">
        <v>0.41278809999999999</v>
      </c>
      <c r="AJ170">
        <f t="shared" si="23"/>
        <v>0.41278809999999999</v>
      </c>
      <c r="AO170">
        <v>0.41278809999999999</v>
      </c>
      <c r="AR170" s="8">
        <v>0</v>
      </c>
      <c r="AS170">
        <v>2.8178320000000001</v>
      </c>
    </row>
    <row r="171" spans="1:45" x14ac:dyDescent="0.25">
      <c r="A171">
        <v>32</v>
      </c>
      <c r="B171">
        <v>1998</v>
      </c>
      <c r="C171" s="8">
        <v>0</v>
      </c>
      <c r="D171">
        <v>0.29833749999999998</v>
      </c>
      <c r="E171">
        <v>-0.20382700000000001</v>
      </c>
      <c r="F171">
        <v>4.2287999999999999E-2</v>
      </c>
      <c r="G171">
        <v>0.82614069999999995</v>
      </c>
      <c r="H171">
        <v>0.13938130000000001</v>
      </c>
      <c r="Q171" s="10">
        <f t="shared" si="24"/>
        <v>2.4318514752053953E-2</v>
      </c>
      <c r="AI171">
        <v>0.40632679999999999</v>
      </c>
      <c r="AJ171">
        <f t="shared" si="23"/>
        <v>0.40632679999999999</v>
      </c>
      <c r="AO171">
        <v>0.40632679999999999</v>
      </c>
      <c r="AR171" s="8">
        <v>0</v>
      </c>
      <c r="AS171">
        <v>2.6201759999999998</v>
      </c>
    </row>
    <row r="172" spans="1:45" x14ac:dyDescent="0.25">
      <c r="A172">
        <v>32</v>
      </c>
      <c r="B172">
        <v>1999</v>
      </c>
      <c r="C172" s="8">
        <v>0</v>
      </c>
      <c r="D172">
        <v>0.41278809999999999</v>
      </c>
      <c r="E172">
        <v>-9.9464499999999997E-2</v>
      </c>
      <c r="F172">
        <v>7.2190599999999994E-2</v>
      </c>
      <c r="G172">
        <v>0.87093039999999999</v>
      </c>
      <c r="H172">
        <v>0.17730689999999999</v>
      </c>
      <c r="Q172" s="10">
        <f t="shared" si="24"/>
        <v>1.6572784304431064E-2</v>
      </c>
      <c r="AI172">
        <v>0.55334799999999995</v>
      </c>
      <c r="AJ172">
        <f t="shared" si="23"/>
        <v>0.52051970800000003</v>
      </c>
      <c r="AO172">
        <v>0.52051970800000003</v>
      </c>
      <c r="AR172" s="8">
        <v>0</v>
      </c>
      <c r="AS172">
        <v>2.4185089999999998</v>
      </c>
    </row>
    <row r="173" spans="1:45" x14ac:dyDescent="0.25">
      <c r="A173">
        <v>32</v>
      </c>
      <c r="B173">
        <v>2000</v>
      </c>
      <c r="C173" s="8">
        <v>0</v>
      </c>
      <c r="D173">
        <v>0.40632679999999999</v>
      </c>
      <c r="E173">
        <v>-2.4861500000000002E-2</v>
      </c>
      <c r="F173">
        <v>3.0259899999999999E-2</v>
      </c>
      <c r="G173">
        <v>0.84457910000000003</v>
      </c>
      <c r="H173">
        <v>0.13950319999999999</v>
      </c>
      <c r="Q173" s="10">
        <f t="shared" si="24"/>
        <v>2.1031834591875031E-2</v>
      </c>
      <c r="AI173">
        <v>0.63902389999999998</v>
      </c>
      <c r="AJ173">
        <f t="shared" si="23"/>
        <v>0.52051970800000003</v>
      </c>
      <c r="AO173">
        <v>0.52051970800000003</v>
      </c>
      <c r="AR173" s="8">
        <v>0</v>
      </c>
      <c r="AS173">
        <v>0.82614069999999995</v>
      </c>
    </row>
    <row r="174" spans="1:45" x14ac:dyDescent="0.25">
      <c r="A174">
        <v>32</v>
      </c>
      <c r="B174">
        <v>2001</v>
      </c>
      <c r="C174" s="8">
        <v>0</v>
      </c>
      <c r="D174">
        <v>0.55334799999999995</v>
      </c>
      <c r="E174">
        <v>3.5332099999999998E-2</v>
      </c>
      <c r="F174">
        <v>0.1000707</v>
      </c>
      <c r="G174">
        <v>0.98072170000000003</v>
      </c>
      <c r="H174">
        <v>0.20421719999999999</v>
      </c>
      <c r="Q174" s="10">
        <f t="shared" si="24"/>
        <v>9.9288503519634769E-3</v>
      </c>
      <c r="AI174">
        <v>0.45818930000000002</v>
      </c>
      <c r="AJ174">
        <f t="shared" si="23"/>
        <v>0.45818930000000002</v>
      </c>
      <c r="AO174">
        <v>0.45818930000000002</v>
      </c>
      <c r="AR174" s="8">
        <v>0</v>
      </c>
      <c r="AS174">
        <v>0.87093039999999999</v>
      </c>
    </row>
    <row r="175" spans="1:45" x14ac:dyDescent="0.25">
      <c r="A175">
        <v>32</v>
      </c>
      <c r="B175">
        <v>2002</v>
      </c>
      <c r="C175" s="8">
        <v>0</v>
      </c>
      <c r="D175">
        <v>0.63902389999999998</v>
      </c>
      <c r="E175">
        <v>8.8414099999999995E-2</v>
      </c>
      <c r="F175">
        <v>7.1233000000000005E-2</v>
      </c>
      <c r="G175">
        <v>1.203276</v>
      </c>
      <c r="H175">
        <v>0.1988394</v>
      </c>
      <c r="Q175" s="10">
        <f t="shared" si="24"/>
        <v>8.3979823894332166E-3</v>
      </c>
      <c r="AI175">
        <v>-4.0764099999999998E-2</v>
      </c>
      <c r="AJ175">
        <f t="shared" si="23"/>
        <v>-4.0764099999999998E-2</v>
      </c>
      <c r="AO175">
        <v>-4.0764099999999998E-2</v>
      </c>
      <c r="AR175" s="8">
        <v>0</v>
      </c>
      <c r="AS175">
        <v>0.84457910000000003</v>
      </c>
    </row>
    <row r="176" spans="1:45" x14ac:dyDescent="0.25">
      <c r="A176">
        <v>32</v>
      </c>
      <c r="B176">
        <v>2003</v>
      </c>
      <c r="C176" s="8">
        <v>0</v>
      </c>
      <c r="D176">
        <v>0.45818930000000002</v>
      </c>
      <c r="E176">
        <v>0.2016821</v>
      </c>
      <c r="F176">
        <v>0.10102940000000001</v>
      </c>
      <c r="G176">
        <v>4.6682410000000001</v>
      </c>
      <c r="H176">
        <v>0.24315990000000001</v>
      </c>
      <c r="Q176" s="10">
        <f t="shared" si="24"/>
        <v>2.1582932092701726E-5</v>
      </c>
      <c r="AI176">
        <v>-0.113707</v>
      </c>
      <c r="AJ176">
        <f t="shared" si="23"/>
        <v>-0.113345184</v>
      </c>
      <c r="AO176">
        <v>-0.113345184</v>
      </c>
      <c r="AR176" s="8">
        <v>0</v>
      </c>
      <c r="AS176">
        <v>0.98072170000000003</v>
      </c>
    </row>
    <row r="177" spans="1:45" x14ac:dyDescent="0.25">
      <c r="A177">
        <v>33</v>
      </c>
      <c r="B177">
        <v>1999</v>
      </c>
      <c r="C177" s="8">
        <v>0</v>
      </c>
      <c r="D177">
        <v>-4.0764099999999998E-2</v>
      </c>
      <c r="E177">
        <v>0.1280075</v>
      </c>
      <c r="F177">
        <v>4.7218999999999997E-2</v>
      </c>
      <c r="G177">
        <v>1.8144830000000001</v>
      </c>
      <c r="H177">
        <v>0.13265950000000001</v>
      </c>
      <c r="Q177" s="10">
        <f t="shared" si="24"/>
        <v>2.6420893001608626E-3</v>
      </c>
      <c r="AI177">
        <v>1.8160900000000001E-2</v>
      </c>
      <c r="AJ177">
        <f t="shared" si="23"/>
        <v>1.8160900000000001E-2</v>
      </c>
      <c r="AO177">
        <v>1.8160900000000001E-2</v>
      </c>
      <c r="AR177" s="8">
        <v>0</v>
      </c>
      <c r="AS177">
        <v>1.203276</v>
      </c>
    </row>
    <row r="178" spans="1:45" x14ac:dyDescent="0.25">
      <c r="A178">
        <v>33</v>
      </c>
      <c r="B178">
        <v>2000</v>
      </c>
      <c r="C178" s="8">
        <v>0</v>
      </c>
      <c r="D178">
        <v>-0.113707</v>
      </c>
      <c r="E178">
        <v>5.5918000000000002E-2</v>
      </c>
      <c r="F178">
        <v>4.7681500000000002E-2</v>
      </c>
      <c r="G178">
        <v>0.4987954</v>
      </c>
      <c r="H178">
        <v>8.84017E-2</v>
      </c>
      <c r="Q178" s="10">
        <f t="shared" si="24"/>
        <v>2.2022929253434197E-2</v>
      </c>
      <c r="AI178">
        <v>0.1049351</v>
      </c>
      <c r="AJ178">
        <f t="shared" si="23"/>
        <v>0.1049351</v>
      </c>
      <c r="AO178">
        <v>0.1049351</v>
      </c>
      <c r="AR178" s="8">
        <v>0</v>
      </c>
      <c r="AS178">
        <v>4.6682410000000001</v>
      </c>
    </row>
    <row r="179" spans="1:45" x14ac:dyDescent="0.25">
      <c r="A179">
        <v>33</v>
      </c>
      <c r="B179">
        <v>2001</v>
      </c>
      <c r="C179" s="8">
        <v>0</v>
      </c>
      <c r="D179">
        <v>1.8160900000000001E-2</v>
      </c>
      <c r="E179">
        <v>1.0539400000000001E-2</v>
      </c>
      <c r="F179">
        <v>3.3293799999999998E-2</v>
      </c>
      <c r="G179">
        <v>0.58845479999999994</v>
      </c>
      <c r="H179">
        <v>0.10502690000000001</v>
      </c>
      <c r="Q179" s="10">
        <f t="shared" si="24"/>
        <v>2.4357295467353688E-2</v>
      </c>
      <c r="AI179">
        <v>5.9807800000000001E-2</v>
      </c>
      <c r="AJ179">
        <f t="shared" si="23"/>
        <v>5.9807800000000001E-2</v>
      </c>
      <c r="AO179">
        <v>5.9807800000000001E-2</v>
      </c>
      <c r="AR179" s="8">
        <v>0</v>
      </c>
      <c r="AS179">
        <v>1.8144830000000001</v>
      </c>
    </row>
    <row r="180" spans="1:45" x14ac:dyDescent="0.25">
      <c r="A180">
        <v>33</v>
      </c>
      <c r="B180">
        <v>2002</v>
      </c>
      <c r="C180" s="8">
        <v>0</v>
      </c>
      <c r="D180">
        <v>0.1049351</v>
      </c>
      <c r="E180">
        <v>-0.27174999999999999</v>
      </c>
      <c r="F180">
        <v>4.3099999999999999E-2</v>
      </c>
      <c r="G180">
        <v>0.50731150000000003</v>
      </c>
      <c r="H180">
        <v>0.19256680000000001</v>
      </c>
      <c r="Q180" s="10">
        <f t="shared" si="24"/>
        <v>4.1537560614386168E-2</v>
      </c>
      <c r="AI180">
        <v>4.3859500000000003E-2</v>
      </c>
      <c r="AJ180">
        <f t="shared" si="23"/>
        <v>4.3859500000000003E-2</v>
      </c>
      <c r="AO180">
        <v>4.3859500000000003E-2</v>
      </c>
      <c r="AR180" s="8">
        <v>0</v>
      </c>
      <c r="AS180">
        <v>0.4987954</v>
      </c>
    </row>
    <row r="181" spans="1:45" x14ac:dyDescent="0.25">
      <c r="A181">
        <v>33</v>
      </c>
      <c r="B181">
        <v>2003</v>
      </c>
      <c r="C181" s="8">
        <v>0</v>
      </c>
      <c r="D181">
        <v>5.9807800000000001E-2</v>
      </c>
      <c r="E181">
        <v>-0.27150299999999999</v>
      </c>
      <c r="F181">
        <v>4.14647E-2</v>
      </c>
      <c r="G181">
        <v>0.50349279999999996</v>
      </c>
      <c r="H181">
        <v>0.20178869999999999</v>
      </c>
      <c r="Q181" s="10">
        <f t="shared" si="24"/>
        <v>4.1769954583354495E-2</v>
      </c>
      <c r="AI181">
        <v>0.1681868</v>
      </c>
      <c r="AJ181">
        <f t="shared" si="23"/>
        <v>0.1681868</v>
      </c>
      <c r="AO181">
        <v>0.1681868</v>
      </c>
      <c r="AR181" s="8">
        <v>0</v>
      </c>
      <c r="AS181">
        <v>0.58845479999999994</v>
      </c>
    </row>
    <row r="182" spans="1:45" x14ac:dyDescent="0.25">
      <c r="A182">
        <v>33</v>
      </c>
      <c r="B182">
        <v>2004</v>
      </c>
      <c r="C182" s="8">
        <v>0</v>
      </c>
      <c r="D182">
        <v>4.3859500000000003E-2</v>
      </c>
      <c r="E182">
        <v>-0.60369019999999995</v>
      </c>
      <c r="F182">
        <v>4.5935200000000002E-2</v>
      </c>
      <c r="G182">
        <v>0.61822489999999997</v>
      </c>
      <c r="H182">
        <v>0.24411579999999999</v>
      </c>
      <c r="Q182" s="10">
        <f t="shared" si="24"/>
        <v>5.4739362191486118E-2</v>
      </c>
      <c r="AI182">
        <v>7.7681299999999995E-2</v>
      </c>
      <c r="AJ182">
        <f t="shared" si="23"/>
        <v>7.7681299999999995E-2</v>
      </c>
      <c r="AO182">
        <v>7.7681299999999995E-2</v>
      </c>
      <c r="AR182" s="8">
        <v>0</v>
      </c>
      <c r="AS182">
        <v>0.50731150000000003</v>
      </c>
    </row>
    <row r="183" spans="1:45" x14ac:dyDescent="0.25">
      <c r="A183">
        <v>34</v>
      </c>
      <c r="B183">
        <v>1999</v>
      </c>
      <c r="C183" s="8">
        <v>0</v>
      </c>
      <c r="D183">
        <v>0.1681868</v>
      </c>
      <c r="E183">
        <v>8.1373000000000001E-2</v>
      </c>
      <c r="F183">
        <v>9.8800399999999997E-2</v>
      </c>
      <c r="G183">
        <v>0.47646820000000001</v>
      </c>
      <c r="H183">
        <v>0.68635789999999997</v>
      </c>
      <c r="Q183" s="10">
        <f t="shared" si="24"/>
        <v>2.3744908291734826E-2</v>
      </c>
      <c r="AI183">
        <v>0.10031130000000001</v>
      </c>
      <c r="AJ183">
        <f t="shared" si="23"/>
        <v>0.10031130000000001</v>
      </c>
      <c r="AO183">
        <v>0.10031130000000001</v>
      </c>
      <c r="AR183" s="8">
        <v>0</v>
      </c>
      <c r="AS183">
        <v>0.50349279999999996</v>
      </c>
    </row>
    <row r="184" spans="1:45" x14ac:dyDescent="0.25">
      <c r="A184">
        <v>34</v>
      </c>
      <c r="B184">
        <v>2000</v>
      </c>
      <c r="C184" s="8">
        <v>1</v>
      </c>
      <c r="D184">
        <v>7.7681299999999995E-2</v>
      </c>
      <c r="E184">
        <v>-3.9594499999999998E-2</v>
      </c>
      <c r="F184">
        <v>-2.15026E-2</v>
      </c>
      <c r="G184">
        <v>0.1375913</v>
      </c>
      <c r="H184">
        <v>0.6972486</v>
      </c>
      <c r="Q184" s="10">
        <f t="shared" si="24"/>
        <v>0.11215859949353167</v>
      </c>
      <c r="AI184">
        <v>0.1393442</v>
      </c>
      <c r="AJ184">
        <f t="shared" si="23"/>
        <v>0.1393442</v>
      </c>
      <c r="AO184">
        <v>0.1393442</v>
      </c>
      <c r="AR184" s="8">
        <v>0</v>
      </c>
      <c r="AS184">
        <v>0.61822489999999997</v>
      </c>
    </row>
    <row r="185" spans="1:45" x14ac:dyDescent="0.25">
      <c r="A185">
        <v>35</v>
      </c>
      <c r="B185">
        <v>1995</v>
      </c>
      <c r="C185" s="8">
        <v>0</v>
      </c>
      <c r="D185">
        <v>0.10031130000000001</v>
      </c>
      <c r="E185">
        <v>0.21968170000000001</v>
      </c>
      <c r="F185">
        <v>7.2009000000000004E-2</v>
      </c>
      <c r="G185">
        <v>1.4256850000000001</v>
      </c>
      <c r="H185">
        <v>0.40558280000000002</v>
      </c>
      <c r="Q185" s="10">
        <f t="shared" si="24"/>
        <v>4.4166416224320085E-3</v>
      </c>
      <c r="AI185">
        <v>0.15245120000000001</v>
      </c>
      <c r="AJ185">
        <f t="shared" si="23"/>
        <v>0.15245120000000001</v>
      </c>
      <c r="AO185">
        <v>0.15245120000000001</v>
      </c>
      <c r="AR185" s="8">
        <v>0</v>
      </c>
      <c r="AS185">
        <v>0.47646820000000001</v>
      </c>
    </row>
    <row r="186" spans="1:45" x14ac:dyDescent="0.25">
      <c r="A186">
        <v>35</v>
      </c>
      <c r="B186">
        <v>1996</v>
      </c>
      <c r="C186" s="8">
        <v>0</v>
      </c>
      <c r="D186">
        <v>0.1393442</v>
      </c>
      <c r="E186">
        <v>0.28098709999999999</v>
      </c>
      <c r="F186">
        <v>7.4937500000000004E-2</v>
      </c>
      <c r="G186">
        <v>1.8055600000000001</v>
      </c>
      <c r="H186">
        <v>0.39126290000000002</v>
      </c>
      <c r="Q186" s="10">
        <f t="shared" si="24"/>
        <v>2.1749337742578193E-3</v>
      </c>
      <c r="AI186">
        <v>8.7923200000000007E-2</v>
      </c>
      <c r="AJ186">
        <f t="shared" si="23"/>
        <v>8.7923200000000007E-2</v>
      </c>
      <c r="AO186">
        <v>8.7923200000000007E-2</v>
      </c>
      <c r="AR186" s="8">
        <v>1</v>
      </c>
      <c r="AS186">
        <v>0.1375913</v>
      </c>
    </row>
    <row r="187" spans="1:45" x14ac:dyDescent="0.25">
      <c r="A187">
        <v>35</v>
      </c>
      <c r="B187">
        <v>1997</v>
      </c>
      <c r="C187" s="8">
        <v>0</v>
      </c>
      <c r="D187">
        <v>0.15245120000000001</v>
      </c>
      <c r="E187">
        <v>0.33251500000000001</v>
      </c>
      <c r="F187">
        <v>4.69597E-2</v>
      </c>
      <c r="G187">
        <v>2.2849370000000002</v>
      </c>
      <c r="H187">
        <v>0.40809810000000002</v>
      </c>
      <c r="Q187" s="10">
        <f t="shared" si="24"/>
        <v>1.1957632329455481E-3</v>
      </c>
      <c r="AI187">
        <v>1.7085400000000001E-2</v>
      </c>
      <c r="AJ187">
        <f t="shared" si="23"/>
        <v>1.7085400000000001E-2</v>
      </c>
      <c r="AO187">
        <v>1.7085400000000001E-2</v>
      </c>
      <c r="AR187" s="8">
        <v>0</v>
      </c>
      <c r="AS187">
        <v>1.4256850000000001</v>
      </c>
    </row>
    <row r="188" spans="1:45" x14ac:dyDescent="0.25">
      <c r="A188">
        <v>35</v>
      </c>
      <c r="B188">
        <v>1998</v>
      </c>
      <c r="C188" s="8">
        <v>0</v>
      </c>
      <c r="D188">
        <v>8.7923200000000007E-2</v>
      </c>
      <c r="E188">
        <v>0.30653180000000002</v>
      </c>
      <c r="F188">
        <v>5.1606899999999997E-2</v>
      </c>
      <c r="G188">
        <v>1.398776</v>
      </c>
      <c r="H188">
        <v>0.31883590000000001</v>
      </c>
      <c r="Q188" s="10">
        <f t="shared" si="24"/>
        <v>4.5095243530643174E-3</v>
      </c>
      <c r="AI188">
        <v>4.1171300000000001E-2</v>
      </c>
      <c r="AJ188">
        <f t="shared" si="23"/>
        <v>4.1171300000000001E-2</v>
      </c>
      <c r="AO188">
        <v>4.1171300000000001E-2</v>
      </c>
      <c r="AR188" s="8">
        <v>0</v>
      </c>
      <c r="AS188">
        <v>1.8055600000000001</v>
      </c>
    </row>
    <row r="189" spans="1:45" x14ac:dyDescent="0.25">
      <c r="A189">
        <v>35</v>
      </c>
      <c r="B189">
        <v>1999</v>
      </c>
      <c r="C189" s="8">
        <v>0</v>
      </c>
      <c r="D189">
        <v>1.7085400000000001E-2</v>
      </c>
      <c r="E189">
        <v>0.34593170000000001</v>
      </c>
      <c r="F189">
        <v>7.79527E-2</v>
      </c>
      <c r="G189">
        <v>1.1336170000000001</v>
      </c>
      <c r="H189">
        <v>0.34336899999999998</v>
      </c>
      <c r="Q189" s="10">
        <f t="shared" si="24"/>
        <v>5.1856083718797522E-3</v>
      </c>
      <c r="AI189">
        <v>6.4300999999999997E-2</v>
      </c>
      <c r="AJ189">
        <f t="shared" si="23"/>
        <v>6.4300999999999997E-2</v>
      </c>
      <c r="AO189">
        <v>6.4300999999999997E-2</v>
      </c>
      <c r="AR189" s="8">
        <v>0</v>
      </c>
      <c r="AS189">
        <v>2.2849370000000002</v>
      </c>
    </row>
    <row r="190" spans="1:45" x14ac:dyDescent="0.25">
      <c r="A190">
        <v>35</v>
      </c>
      <c r="B190">
        <v>2000</v>
      </c>
      <c r="C190" s="8">
        <v>0</v>
      </c>
      <c r="D190">
        <v>4.1171300000000001E-2</v>
      </c>
      <c r="E190">
        <v>0.38213710000000001</v>
      </c>
      <c r="F190">
        <v>6.8124699999999996E-2</v>
      </c>
      <c r="G190">
        <v>1.478621</v>
      </c>
      <c r="H190">
        <v>0.32414759999999998</v>
      </c>
      <c r="Q190" s="10">
        <f t="shared" si="24"/>
        <v>3.0717698865870384E-3</v>
      </c>
      <c r="AI190">
        <v>0.1244439</v>
      </c>
      <c r="AJ190">
        <f t="shared" si="23"/>
        <v>0.1244439</v>
      </c>
      <c r="AO190">
        <v>0.1244439</v>
      </c>
      <c r="AR190" s="8">
        <v>0</v>
      </c>
      <c r="AS190">
        <v>1.398776</v>
      </c>
    </row>
    <row r="191" spans="1:45" x14ac:dyDescent="0.25">
      <c r="A191">
        <v>35</v>
      </c>
      <c r="B191">
        <v>2001</v>
      </c>
      <c r="C191" s="8">
        <v>0</v>
      </c>
      <c r="D191">
        <v>6.4300999999999997E-2</v>
      </c>
      <c r="E191">
        <v>0.37283559999999999</v>
      </c>
      <c r="F191">
        <v>5.52927E-2</v>
      </c>
      <c r="G191">
        <v>1.5425120000000001</v>
      </c>
      <c r="H191">
        <v>0.27073209999999998</v>
      </c>
      <c r="Q191" s="10">
        <f t="shared" si="24"/>
        <v>3.0438288899284714E-3</v>
      </c>
      <c r="AI191">
        <v>9.9285300000000007E-2</v>
      </c>
      <c r="AJ191">
        <f t="shared" si="23"/>
        <v>9.9285300000000007E-2</v>
      </c>
      <c r="AO191">
        <v>9.9285300000000007E-2</v>
      </c>
      <c r="AR191" s="8">
        <v>0</v>
      </c>
      <c r="AS191">
        <v>1.1336170000000001</v>
      </c>
    </row>
    <row r="192" spans="1:45" x14ac:dyDescent="0.25">
      <c r="A192">
        <v>35</v>
      </c>
      <c r="B192">
        <v>2002</v>
      </c>
      <c r="C192" s="8">
        <v>0</v>
      </c>
      <c r="D192">
        <v>0.1244439</v>
      </c>
      <c r="E192">
        <v>0.43953579999999998</v>
      </c>
      <c r="F192">
        <v>7.7817600000000001E-2</v>
      </c>
      <c r="G192">
        <v>2.1141420000000002</v>
      </c>
      <c r="H192">
        <v>0.2705186</v>
      </c>
      <c r="Q192" s="10">
        <f t="shared" si="24"/>
        <v>9.5303278057441677E-4</v>
      </c>
      <c r="AI192">
        <v>0.15576909999999999</v>
      </c>
      <c r="AJ192">
        <f t="shared" si="23"/>
        <v>0.15576909999999999</v>
      </c>
      <c r="AO192">
        <v>0.15576909999999999</v>
      </c>
      <c r="AR192" s="8">
        <v>0</v>
      </c>
      <c r="AS192">
        <v>1.478621</v>
      </c>
    </row>
    <row r="193" spans="1:45" x14ac:dyDescent="0.25">
      <c r="A193">
        <v>35</v>
      </c>
      <c r="B193">
        <v>2003</v>
      </c>
      <c r="C193" s="8">
        <v>0</v>
      </c>
      <c r="D193">
        <v>9.9285300000000007E-2</v>
      </c>
      <c r="E193">
        <v>0.46309099999999997</v>
      </c>
      <c r="F193">
        <v>5.5434900000000002E-2</v>
      </c>
      <c r="G193">
        <v>2.3652860000000002</v>
      </c>
      <c r="H193">
        <v>0.26140550000000001</v>
      </c>
      <c r="Q193" s="10">
        <f t="shared" si="24"/>
        <v>7.2659697111588999E-4</v>
      </c>
      <c r="AI193">
        <v>0.39299919999999999</v>
      </c>
      <c r="AJ193">
        <f t="shared" si="23"/>
        <v>0.39299919999999999</v>
      </c>
      <c r="AO193">
        <v>0.39299919999999999</v>
      </c>
      <c r="AR193" s="8">
        <v>0</v>
      </c>
      <c r="AS193">
        <v>1.5425120000000001</v>
      </c>
    </row>
    <row r="194" spans="1:45" x14ac:dyDescent="0.25">
      <c r="A194">
        <v>35</v>
      </c>
      <c r="B194">
        <v>2004</v>
      </c>
      <c r="C194" s="8">
        <v>0</v>
      </c>
      <c r="D194">
        <v>0.15576909999999999</v>
      </c>
      <c r="E194">
        <v>0.4675415</v>
      </c>
      <c r="F194">
        <v>7.5195499999999998E-2</v>
      </c>
      <c r="G194">
        <v>3.2346569999999999</v>
      </c>
      <c r="H194">
        <v>0.26569599999999999</v>
      </c>
      <c r="Q194" s="10">
        <f t="shared" si="24"/>
        <v>1.5838740348162977E-4</v>
      </c>
      <c r="AI194">
        <v>0.34104960000000001</v>
      </c>
      <c r="AJ194">
        <f t="shared" si="23"/>
        <v>0.34104960000000001</v>
      </c>
      <c r="AO194">
        <v>0.34104960000000001</v>
      </c>
      <c r="AR194" s="8">
        <v>0</v>
      </c>
      <c r="AS194">
        <v>2.1141420000000002</v>
      </c>
    </row>
    <row r="195" spans="1:45" x14ac:dyDescent="0.25">
      <c r="A195">
        <v>36</v>
      </c>
      <c r="B195">
        <v>1995</v>
      </c>
      <c r="C195" s="8">
        <v>0</v>
      </c>
      <c r="D195">
        <v>0.39299919999999999</v>
      </c>
      <c r="E195">
        <v>0.3542419</v>
      </c>
      <c r="F195">
        <v>0.11919540000000001</v>
      </c>
      <c r="G195">
        <v>20.761119999999998</v>
      </c>
      <c r="H195">
        <v>0.2403565</v>
      </c>
      <c r="Q195" s="10">
        <f t="shared" si="24"/>
        <v>1.0579878170487573E-16</v>
      </c>
      <c r="AI195">
        <v>0.2780009</v>
      </c>
      <c r="AJ195">
        <f t="shared" si="23"/>
        <v>0.2780009</v>
      </c>
      <c r="AO195">
        <v>0.2780009</v>
      </c>
      <c r="AR195" s="8">
        <v>0</v>
      </c>
      <c r="AS195">
        <v>2.3652860000000002</v>
      </c>
    </row>
    <row r="196" spans="1:45" x14ac:dyDescent="0.25">
      <c r="A196">
        <v>36</v>
      </c>
      <c r="B196">
        <v>1996</v>
      </c>
      <c r="C196" s="8">
        <v>0</v>
      </c>
      <c r="D196">
        <v>0.34104960000000001</v>
      </c>
      <c r="E196">
        <v>0.34607650000000001</v>
      </c>
      <c r="F196">
        <v>0.12839709999999999</v>
      </c>
      <c r="G196">
        <v>20.53237</v>
      </c>
      <c r="H196">
        <v>0.25177290000000002</v>
      </c>
      <c r="Q196" s="10">
        <f t="shared" si="24"/>
        <v>1.4115926140570166E-16</v>
      </c>
      <c r="AI196">
        <v>0.2932805</v>
      </c>
      <c r="AJ196">
        <f t="shared" si="23"/>
        <v>0.2932805</v>
      </c>
      <c r="AO196">
        <v>0.2932805</v>
      </c>
      <c r="AR196" s="8">
        <v>0</v>
      </c>
      <c r="AS196">
        <v>3.2346569999999999</v>
      </c>
    </row>
    <row r="197" spans="1:45" x14ac:dyDescent="0.25">
      <c r="A197">
        <v>36</v>
      </c>
      <c r="B197">
        <v>1997</v>
      </c>
      <c r="C197" s="8">
        <v>0</v>
      </c>
      <c r="D197">
        <v>0.2780009</v>
      </c>
      <c r="E197">
        <v>0.33187220000000001</v>
      </c>
      <c r="F197">
        <v>0.1105865</v>
      </c>
      <c r="G197">
        <v>14.44083</v>
      </c>
      <c r="H197">
        <v>0.22383320000000001</v>
      </c>
      <c r="Q197" s="10">
        <f t="shared" si="24"/>
        <v>2.6156186594068548E-12</v>
      </c>
      <c r="AI197">
        <v>0.32022869999999998</v>
      </c>
      <c r="AJ197">
        <f t="shared" ref="AJ197:AJ260" si="25">MAX(MIN(AI197,AM$5),AM$4)</f>
        <v>0.32022869999999998</v>
      </c>
      <c r="AO197">
        <v>0.32022869999999998</v>
      </c>
      <c r="AR197" s="8">
        <v>0</v>
      </c>
      <c r="AS197">
        <v>20.761119999999998</v>
      </c>
    </row>
    <row r="198" spans="1:45" x14ac:dyDescent="0.25">
      <c r="A198">
        <v>36</v>
      </c>
      <c r="B198">
        <v>1998</v>
      </c>
      <c r="C198" s="8">
        <v>0</v>
      </c>
      <c r="D198">
        <v>0.2932805</v>
      </c>
      <c r="E198">
        <v>0.2705303</v>
      </c>
      <c r="F198">
        <v>0.1170573</v>
      </c>
      <c r="G198">
        <v>24.013249999999999</v>
      </c>
      <c r="H198">
        <v>0.2448399</v>
      </c>
      <c r="Q198" s="10">
        <f t="shared" si="24"/>
        <v>6.5654782977878402E-19</v>
      </c>
      <c r="AI198">
        <v>0.41429149999999998</v>
      </c>
      <c r="AJ198">
        <f t="shared" si="25"/>
        <v>0.41429149999999998</v>
      </c>
      <c r="AO198">
        <v>0.41429149999999998</v>
      </c>
      <c r="AR198" s="8">
        <v>0</v>
      </c>
      <c r="AS198">
        <v>20.53237</v>
      </c>
    </row>
    <row r="199" spans="1:45" x14ac:dyDescent="0.25">
      <c r="A199">
        <v>36</v>
      </c>
      <c r="B199">
        <v>1999</v>
      </c>
      <c r="C199" s="8">
        <v>0</v>
      </c>
      <c r="D199">
        <v>0.32022869999999998</v>
      </c>
      <c r="E199">
        <v>0.26358720000000002</v>
      </c>
      <c r="F199">
        <v>0.1170469</v>
      </c>
      <c r="G199">
        <v>58.240769999999998</v>
      </c>
      <c r="H199">
        <v>0.26566990000000001</v>
      </c>
      <c r="Q199" s="10">
        <f t="shared" ref="Q199:Q262" si="26">1/(1+EXP(-(J$6+SUMPRODUCT(K$6:O$6,D199:H199))))</f>
        <v>1.3920248191332455E-42</v>
      </c>
      <c r="AI199">
        <v>0.47019670000000002</v>
      </c>
      <c r="AJ199">
        <f t="shared" si="25"/>
        <v>0.47019670000000002</v>
      </c>
      <c r="AO199">
        <v>0.47019670000000002</v>
      </c>
      <c r="AR199" s="8">
        <v>0</v>
      </c>
      <c r="AS199">
        <v>14.44083</v>
      </c>
    </row>
    <row r="200" spans="1:45" x14ac:dyDescent="0.25">
      <c r="A200">
        <v>36</v>
      </c>
      <c r="B200">
        <v>2000</v>
      </c>
      <c r="C200" s="8">
        <v>0</v>
      </c>
      <c r="D200">
        <v>0.41429149999999998</v>
      </c>
      <c r="E200">
        <v>0.2900993</v>
      </c>
      <c r="F200">
        <v>9.8459099999999994E-2</v>
      </c>
      <c r="G200">
        <v>60.607149999999997</v>
      </c>
      <c r="H200">
        <v>0.2016231</v>
      </c>
      <c r="Q200" s="10">
        <f t="shared" si="26"/>
        <v>3.5762108841281451E-44</v>
      </c>
      <c r="AI200">
        <v>0.2400523</v>
      </c>
      <c r="AJ200">
        <f t="shared" si="25"/>
        <v>0.2400523</v>
      </c>
      <c r="AO200">
        <v>0.2400523</v>
      </c>
      <c r="AR200" s="8">
        <v>0</v>
      </c>
      <c r="AS200">
        <v>24.013249999999999</v>
      </c>
    </row>
    <row r="201" spans="1:45" x14ac:dyDescent="0.25">
      <c r="A201">
        <v>36</v>
      </c>
      <c r="B201">
        <v>2001</v>
      </c>
      <c r="C201" s="8">
        <v>0</v>
      </c>
      <c r="D201">
        <v>0.47019670000000002</v>
      </c>
      <c r="E201">
        <v>0.29123080000000001</v>
      </c>
      <c r="F201">
        <v>9.0550099999999994E-2</v>
      </c>
      <c r="G201">
        <v>48.1661</v>
      </c>
      <c r="H201">
        <v>0.2030892</v>
      </c>
      <c r="Q201" s="10">
        <f t="shared" si="26"/>
        <v>1.5883852307504598E-35</v>
      </c>
      <c r="AI201">
        <v>0.23985229999999999</v>
      </c>
      <c r="AJ201">
        <f t="shared" si="25"/>
        <v>0.23985229999999999</v>
      </c>
      <c r="AO201">
        <v>0.23985229999999999</v>
      </c>
      <c r="AR201" s="8">
        <v>0</v>
      </c>
      <c r="AS201">
        <v>58.240769999999998</v>
      </c>
    </row>
    <row r="202" spans="1:45" x14ac:dyDescent="0.25">
      <c r="A202">
        <v>36</v>
      </c>
      <c r="B202">
        <v>2002</v>
      </c>
      <c r="C202" s="8">
        <v>0</v>
      </c>
      <c r="D202">
        <v>0.2400523</v>
      </c>
      <c r="E202">
        <v>-1.30957E-2</v>
      </c>
      <c r="F202">
        <v>6.3790100000000002E-2</v>
      </c>
      <c r="G202">
        <v>10.102539999999999</v>
      </c>
      <c r="H202">
        <v>0.1102178</v>
      </c>
      <c r="Q202" s="10">
        <f t="shared" si="26"/>
        <v>5.7950339027936123E-9</v>
      </c>
      <c r="AI202">
        <v>0.2022552</v>
      </c>
      <c r="AJ202">
        <f t="shared" si="25"/>
        <v>0.2022552</v>
      </c>
      <c r="AO202">
        <v>0.2022552</v>
      </c>
      <c r="AR202" s="8">
        <v>0</v>
      </c>
      <c r="AS202">
        <v>60.607149999999997</v>
      </c>
    </row>
    <row r="203" spans="1:45" x14ac:dyDescent="0.25">
      <c r="A203">
        <v>36</v>
      </c>
      <c r="B203">
        <v>2003</v>
      </c>
      <c r="C203" s="8">
        <v>0</v>
      </c>
      <c r="D203">
        <v>0.23985229999999999</v>
      </c>
      <c r="E203">
        <v>2.2066E-3</v>
      </c>
      <c r="F203">
        <v>6.2472399999999997E-2</v>
      </c>
      <c r="G203">
        <v>11.77079</v>
      </c>
      <c r="H203">
        <v>0.1182947</v>
      </c>
      <c r="Q203" s="10">
        <f t="shared" si="26"/>
        <v>4.0320943479410504E-10</v>
      </c>
      <c r="AI203">
        <v>0.45483249999999997</v>
      </c>
      <c r="AJ203">
        <f t="shared" si="25"/>
        <v>0.45483249999999997</v>
      </c>
      <c r="AO203">
        <v>0.45483249999999997</v>
      </c>
      <c r="AR203" s="8">
        <v>0</v>
      </c>
      <c r="AS203">
        <v>48.1661</v>
      </c>
    </row>
    <row r="204" spans="1:45" x14ac:dyDescent="0.25">
      <c r="A204">
        <v>36</v>
      </c>
      <c r="B204">
        <v>2004</v>
      </c>
      <c r="C204" s="8">
        <v>0</v>
      </c>
      <c r="D204">
        <v>0.2022552</v>
      </c>
      <c r="E204">
        <v>-4.9344699999999998E-2</v>
      </c>
      <c r="F204">
        <v>6.9191299999999997E-2</v>
      </c>
      <c r="G204">
        <v>8.5940379999999994</v>
      </c>
      <c r="H204">
        <v>0.14193990000000001</v>
      </c>
      <c r="Q204" s="10">
        <f t="shared" si="26"/>
        <v>6.5003397829561543E-8</v>
      </c>
      <c r="AI204">
        <v>0.59323939999999997</v>
      </c>
      <c r="AJ204">
        <f t="shared" si="25"/>
        <v>0.52051970800000003</v>
      </c>
      <c r="AO204">
        <v>0.52051970800000003</v>
      </c>
      <c r="AR204" s="8">
        <v>0</v>
      </c>
      <c r="AS204">
        <v>10.102539999999999</v>
      </c>
    </row>
    <row r="205" spans="1:45" x14ac:dyDescent="0.25">
      <c r="A205">
        <v>37</v>
      </c>
      <c r="B205">
        <v>1999</v>
      </c>
      <c r="C205" s="8">
        <v>0</v>
      </c>
      <c r="D205">
        <v>0.45483249999999997</v>
      </c>
      <c r="E205">
        <v>0.54834959999999999</v>
      </c>
      <c r="F205">
        <v>6.6101800000000002E-2</v>
      </c>
      <c r="G205">
        <v>15.43379</v>
      </c>
      <c r="H205">
        <v>0.22555790000000001</v>
      </c>
      <c r="Q205" s="10">
        <f t="shared" si="26"/>
        <v>6.0323122417294848E-13</v>
      </c>
      <c r="AI205">
        <v>0.62250240000000001</v>
      </c>
      <c r="AJ205">
        <f t="shared" si="25"/>
        <v>0.52051970800000003</v>
      </c>
      <c r="AO205">
        <v>0.52051970800000003</v>
      </c>
      <c r="AR205" s="8">
        <v>0</v>
      </c>
      <c r="AS205">
        <v>11.77079</v>
      </c>
    </row>
    <row r="206" spans="1:45" x14ac:dyDescent="0.25">
      <c r="A206">
        <v>37</v>
      </c>
      <c r="B206">
        <v>2000</v>
      </c>
      <c r="C206" s="8">
        <v>0</v>
      </c>
      <c r="D206">
        <v>0.59323939999999997</v>
      </c>
      <c r="E206">
        <v>0.43224689999999999</v>
      </c>
      <c r="F206">
        <v>9.6146999999999996E-2</v>
      </c>
      <c r="G206">
        <v>11.06344</v>
      </c>
      <c r="H206">
        <v>0.21036569999999999</v>
      </c>
      <c r="Q206" s="10">
        <f t="shared" si="26"/>
        <v>6.2361439126669299E-10</v>
      </c>
      <c r="AI206">
        <v>0.66051099999999996</v>
      </c>
      <c r="AJ206">
        <f t="shared" si="25"/>
        <v>0.52051970800000003</v>
      </c>
      <c r="AO206">
        <v>0.52051970800000003</v>
      </c>
      <c r="AR206" s="8">
        <v>0</v>
      </c>
      <c r="AS206">
        <v>8.5940379999999994</v>
      </c>
    </row>
    <row r="207" spans="1:45" x14ac:dyDescent="0.25">
      <c r="A207">
        <v>37</v>
      </c>
      <c r="B207">
        <v>2001</v>
      </c>
      <c r="C207" s="8">
        <v>0</v>
      </c>
      <c r="D207">
        <v>0.62250240000000001</v>
      </c>
      <c r="E207">
        <v>0.453407</v>
      </c>
      <c r="F207">
        <v>3.2555099999999997E-2</v>
      </c>
      <c r="G207">
        <v>6.7588429999999997</v>
      </c>
      <c r="H207">
        <v>0.1171642</v>
      </c>
      <c r="Q207" s="10">
        <f t="shared" si="26"/>
        <v>9.1583164241429249E-7</v>
      </c>
      <c r="AI207">
        <v>0.61406459999999996</v>
      </c>
      <c r="AJ207">
        <f t="shared" si="25"/>
        <v>0.52051970800000003</v>
      </c>
      <c r="AO207">
        <v>0.52051970800000003</v>
      </c>
      <c r="AR207" s="8">
        <v>0</v>
      </c>
      <c r="AS207">
        <v>15.43379</v>
      </c>
    </row>
    <row r="208" spans="1:45" x14ac:dyDescent="0.25">
      <c r="A208">
        <v>37</v>
      </c>
      <c r="B208">
        <v>2002</v>
      </c>
      <c r="C208" s="8">
        <v>0</v>
      </c>
      <c r="D208">
        <v>0.66051099999999996</v>
      </c>
      <c r="E208">
        <v>0.46333849999999999</v>
      </c>
      <c r="F208">
        <v>4.1169999999999998E-2</v>
      </c>
      <c r="G208">
        <v>4.73963</v>
      </c>
      <c r="H208">
        <v>0.12838269999999999</v>
      </c>
      <c r="Q208" s="10">
        <f t="shared" si="26"/>
        <v>2.1524976966589692E-5</v>
      </c>
      <c r="AI208">
        <v>4.5982999999999996E-3</v>
      </c>
      <c r="AJ208">
        <f t="shared" si="25"/>
        <v>4.5982999999999996E-3</v>
      </c>
      <c r="AO208">
        <v>4.5982999999999996E-3</v>
      </c>
      <c r="AR208" s="8">
        <v>0</v>
      </c>
      <c r="AS208">
        <v>11.06344</v>
      </c>
    </row>
    <row r="209" spans="1:45" x14ac:dyDescent="0.25">
      <c r="A209">
        <v>37</v>
      </c>
      <c r="B209">
        <v>2003</v>
      </c>
      <c r="C209" s="8">
        <v>0</v>
      </c>
      <c r="D209">
        <v>0.61406459999999996</v>
      </c>
      <c r="E209">
        <v>0.64960649999999998</v>
      </c>
      <c r="F209">
        <v>6.1545900000000001E-2</v>
      </c>
      <c r="G209">
        <v>20.249790000000001</v>
      </c>
      <c r="H209">
        <v>0.17956549999999999</v>
      </c>
      <c r="Q209" s="10">
        <f t="shared" si="26"/>
        <v>2.6034348007095609E-16</v>
      </c>
      <c r="AI209">
        <v>2.4005599999999998E-2</v>
      </c>
      <c r="AJ209">
        <f t="shared" si="25"/>
        <v>2.4005599999999998E-2</v>
      </c>
      <c r="AO209">
        <v>2.4005599999999998E-2</v>
      </c>
      <c r="AR209" s="8">
        <v>0</v>
      </c>
      <c r="AS209">
        <v>6.7588429999999997</v>
      </c>
    </row>
    <row r="210" spans="1:45" x14ac:dyDescent="0.25">
      <c r="A210">
        <v>38</v>
      </c>
      <c r="B210">
        <v>1999</v>
      </c>
      <c r="C210" s="8">
        <v>0</v>
      </c>
      <c r="D210">
        <v>4.5982999999999996E-3</v>
      </c>
      <c r="E210">
        <v>0.7289928</v>
      </c>
      <c r="F210">
        <v>5.46098E-2</v>
      </c>
      <c r="G210">
        <v>3.8062619999999998</v>
      </c>
      <c r="H210">
        <v>0.23412089999999999</v>
      </c>
      <c r="Q210" s="10">
        <f t="shared" si="26"/>
        <v>4.7301747918454301E-5</v>
      </c>
      <c r="AI210">
        <v>1.12771E-2</v>
      </c>
      <c r="AJ210">
        <f t="shared" si="25"/>
        <v>1.12771E-2</v>
      </c>
      <c r="AO210">
        <v>1.12771E-2</v>
      </c>
      <c r="AR210" s="8">
        <v>0</v>
      </c>
      <c r="AS210">
        <v>4.73963</v>
      </c>
    </row>
    <row r="211" spans="1:45" x14ac:dyDescent="0.25">
      <c r="A211">
        <v>38</v>
      </c>
      <c r="B211">
        <v>2000</v>
      </c>
      <c r="C211" s="8">
        <v>0</v>
      </c>
      <c r="D211">
        <v>2.4005599999999998E-2</v>
      </c>
      <c r="E211">
        <v>0.79982980000000004</v>
      </c>
      <c r="F211">
        <v>6.5886799999999995E-2</v>
      </c>
      <c r="G211">
        <v>4.6304569999999998</v>
      </c>
      <c r="H211">
        <v>0.24244869999999999</v>
      </c>
      <c r="Q211" s="10">
        <f t="shared" si="26"/>
        <v>1.0624374839404023E-5</v>
      </c>
      <c r="AI211">
        <v>2.2811999999999999E-2</v>
      </c>
      <c r="AJ211">
        <f t="shared" si="25"/>
        <v>2.2811999999999999E-2</v>
      </c>
      <c r="AO211">
        <v>2.2811999999999999E-2</v>
      </c>
      <c r="AR211" s="8">
        <v>0</v>
      </c>
      <c r="AS211">
        <v>20.249790000000001</v>
      </c>
    </row>
    <row r="212" spans="1:45" x14ac:dyDescent="0.25">
      <c r="A212">
        <v>38</v>
      </c>
      <c r="B212">
        <v>2001</v>
      </c>
      <c r="C212" s="8">
        <v>0</v>
      </c>
      <c r="D212">
        <v>1.12771E-2</v>
      </c>
      <c r="E212">
        <v>0.81601579999999996</v>
      </c>
      <c r="F212">
        <v>6.96605E-2</v>
      </c>
      <c r="G212">
        <v>4.102182</v>
      </c>
      <c r="H212">
        <v>0.25070629999999999</v>
      </c>
      <c r="Q212" s="10">
        <f t="shared" si="26"/>
        <v>2.3362124015593836E-5</v>
      </c>
      <c r="AI212">
        <v>1.7284399999999998E-2</v>
      </c>
      <c r="AJ212">
        <f t="shared" si="25"/>
        <v>1.7284399999999998E-2</v>
      </c>
      <c r="AO212">
        <v>1.7284399999999998E-2</v>
      </c>
      <c r="AR212" s="8">
        <v>0</v>
      </c>
      <c r="AS212">
        <v>3.8062619999999998</v>
      </c>
    </row>
    <row r="213" spans="1:45" x14ac:dyDescent="0.25">
      <c r="A213">
        <v>38</v>
      </c>
      <c r="B213">
        <v>2002</v>
      </c>
      <c r="C213" s="8">
        <v>0</v>
      </c>
      <c r="D213">
        <v>2.2811999999999999E-2</v>
      </c>
      <c r="E213">
        <v>0.85729710000000003</v>
      </c>
      <c r="F213">
        <v>6.33349E-2</v>
      </c>
      <c r="G213">
        <v>3.7643049999999998</v>
      </c>
      <c r="H213">
        <v>0.25169419999999998</v>
      </c>
      <c r="Q213" s="10">
        <f t="shared" si="26"/>
        <v>3.9865273667387558E-5</v>
      </c>
      <c r="AI213">
        <v>1.37669E-2</v>
      </c>
      <c r="AJ213">
        <f t="shared" si="25"/>
        <v>1.37669E-2</v>
      </c>
      <c r="AO213">
        <v>1.37669E-2</v>
      </c>
      <c r="AR213" s="8">
        <v>0</v>
      </c>
      <c r="AS213">
        <v>4.6304569999999998</v>
      </c>
    </row>
    <row r="214" spans="1:45" x14ac:dyDescent="0.25">
      <c r="A214">
        <v>38</v>
      </c>
      <c r="B214">
        <v>2003</v>
      </c>
      <c r="C214" s="8">
        <v>0</v>
      </c>
      <c r="D214">
        <v>1.7284399999999998E-2</v>
      </c>
      <c r="E214">
        <v>0.93030999999999997</v>
      </c>
      <c r="F214">
        <v>6.4855800000000005E-2</v>
      </c>
      <c r="G214">
        <v>3.6266259999999999</v>
      </c>
      <c r="H214">
        <v>0.24649869999999999</v>
      </c>
      <c r="Q214" s="10">
        <f t="shared" si="26"/>
        <v>4.3862847888342207E-5</v>
      </c>
      <c r="AI214">
        <v>3.0065499999999998E-2</v>
      </c>
      <c r="AJ214">
        <f t="shared" si="25"/>
        <v>3.0065499999999998E-2</v>
      </c>
      <c r="AO214">
        <v>3.0065499999999998E-2</v>
      </c>
      <c r="AR214" s="8">
        <v>0</v>
      </c>
      <c r="AS214">
        <v>4.102182</v>
      </c>
    </row>
    <row r="215" spans="1:45" x14ac:dyDescent="0.25">
      <c r="A215">
        <v>38</v>
      </c>
      <c r="B215">
        <v>2004</v>
      </c>
      <c r="C215" s="8">
        <v>0</v>
      </c>
      <c r="D215">
        <v>1.37669E-2</v>
      </c>
      <c r="E215">
        <v>0.91647449999999997</v>
      </c>
      <c r="F215">
        <v>6.5991900000000006E-2</v>
      </c>
      <c r="G215">
        <v>2.984302</v>
      </c>
      <c r="H215">
        <v>0.2367379</v>
      </c>
      <c r="Q215" s="10">
        <f t="shared" si="26"/>
        <v>1.2250056036289763E-4</v>
      </c>
      <c r="AI215">
        <v>5.3408600000000001E-2</v>
      </c>
      <c r="AJ215">
        <f t="shared" si="25"/>
        <v>5.3408600000000001E-2</v>
      </c>
      <c r="AO215">
        <v>5.3408600000000001E-2</v>
      </c>
      <c r="AR215" s="8">
        <v>0</v>
      </c>
      <c r="AS215">
        <v>3.7643049999999998</v>
      </c>
    </row>
    <row r="216" spans="1:45" x14ac:dyDescent="0.25">
      <c r="A216">
        <v>39</v>
      </c>
      <c r="B216">
        <v>1999</v>
      </c>
      <c r="C216" s="8">
        <v>0</v>
      </c>
      <c r="D216">
        <v>3.0065499999999998E-2</v>
      </c>
      <c r="E216">
        <v>0.1293724</v>
      </c>
      <c r="F216">
        <v>5.6264599999999998E-2</v>
      </c>
      <c r="G216">
        <v>1.5196289999999999</v>
      </c>
      <c r="H216">
        <v>0.1015269</v>
      </c>
      <c r="Q216" s="10">
        <f t="shared" si="26"/>
        <v>3.9584158681476387E-3</v>
      </c>
      <c r="AI216">
        <v>5.3589199999999997E-2</v>
      </c>
      <c r="AJ216">
        <f t="shared" si="25"/>
        <v>5.3589199999999997E-2</v>
      </c>
      <c r="AO216">
        <v>5.3589199999999997E-2</v>
      </c>
      <c r="AR216" s="8">
        <v>0</v>
      </c>
      <c r="AS216">
        <v>3.6266259999999999</v>
      </c>
    </row>
    <row r="217" spans="1:45" x14ac:dyDescent="0.25">
      <c r="A217">
        <v>39</v>
      </c>
      <c r="B217">
        <v>2000</v>
      </c>
      <c r="C217" s="8">
        <v>0</v>
      </c>
      <c r="D217">
        <v>5.3408600000000001E-2</v>
      </c>
      <c r="E217">
        <v>0.1978588</v>
      </c>
      <c r="F217">
        <v>9.4649200000000003E-2</v>
      </c>
      <c r="G217">
        <v>2.3265660000000001</v>
      </c>
      <c r="H217">
        <v>0.13950509999999999</v>
      </c>
      <c r="Q217" s="10">
        <f t="shared" si="26"/>
        <v>7.5556609523545987E-4</v>
      </c>
      <c r="AI217">
        <v>5.0318700000000001E-2</v>
      </c>
      <c r="AJ217">
        <f t="shared" si="25"/>
        <v>5.0318700000000001E-2</v>
      </c>
      <c r="AO217">
        <v>5.0318700000000001E-2</v>
      </c>
      <c r="AR217" s="8">
        <v>0</v>
      </c>
      <c r="AS217">
        <v>2.984302</v>
      </c>
    </row>
    <row r="218" spans="1:45" x14ac:dyDescent="0.25">
      <c r="A218">
        <v>39</v>
      </c>
      <c r="B218">
        <v>2001</v>
      </c>
      <c r="C218" s="8">
        <v>0</v>
      </c>
      <c r="D218">
        <v>5.3589199999999997E-2</v>
      </c>
      <c r="E218">
        <v>0.1625123</v>
      </c>
      <c r="F218">
        <v>4.3284700000000002E-2</v>
      </c>
      <c r="G218">
        <v>1.5425219999999999</v>
      </c>
      <c r="H218">
        <v>9.4413499999999997E-2</v>
      </c>
      <c r="Q218" s="10">
        <f t="shared" si="26"/>
        <v>4.0561905532496669E-3</v>
      </c>
      <c r="AI218">
        <v>4.0233699999999997E-2</v>
      </c>
      <c r="AJ218">
        <f t="shared" si="25"/>
        <v>4.0233699999999997E-2</v>
      </c>
      <c r="AO218">
        <v>4.0233699999999997E-2</v>
      </c>
      <c r="AR218" s="8">
        <v>0</v>
      </c>
      <c r="AS218">
        <v>1.5196289999999999</v>
      </c>
    </row>
    <row r="219" spans="1:45" x14ac:dyDescent="0.25">
      <c r="A219">
        <v>39</v>
      </c>
      <c r="B219">
        <v>2002</v>
      </c>
      <c r="C219" s="8">
        <v>0</v>
      </c>
      <c r="D219">
        <v>5.0318700000000001E-2</v>
      </c>
      <c r="E219">
        <v>0.17345540000000001</v>
      </c>
      <c r="F219">
        <v>6.13924E-2</v>
      </c>
      <c r="G219">
        <v>1.8367039999999999</v>
      </c>
      <c r="H219">
        <v>0.10641539999999999</v>
      </c>
      <c r="Q219" s="10">
        <f t="shared" si="26"/>
        <v>2.1785239075536671E-3</v>
      </c>
      <c r="AI219">
        <v>3.10561E-2</v>
      </c>
      <c r="AJ219">
        <f t="shared" si="25"/>
        <v>3.10561E-2</v>
      </c>
      <c r="AO219">
        <v>3.10561E-2</v>
      </c>
      <c r="AR219" s="8">
        <v>0</v>
      </c>
      <c r="AS219">
        <v>2.3265660000000001</v>
      </c>
    </row>
    <row r="220" spans="1:45" x14ac:dyDescent="0.25">
      <c r="A220">
        <v>39</v>
      </c>
      <c r="B220">
        <v>2003</v>
      </c>
      <c r="C220" s="8">
        <v>0</v>
      </c>
      <c r="D220">
        <v>4.0233699999999997E-2</v>
      </c>
      <c r="E220">
        <v>0.2207867</v>
      </c>
      <c r="F220">
        <v>6.6192200000000007E-2</v>
      </c>
      <c r="G220">
        <v>2.2587950000000001</v>
      </c>
      <c r="H220">
        <v>0.12247470000000001</v>
      </c>
      <c r="Q220" s="10">
        <f t="shared" si="26"/>
        <v>1.0057554493616624E-3</v>
      </c>
      <c r="AI220">
        <v>0.54952369999999995</v>
      </c>
      <c r="AJ220">
        <f t="shared" si="25"/>
        <v>0.52051970800000003</v>
      </c>
      <c r="AO220">
        <v>0.52051970800000003</v>
      </c>
      <c r="AR220" s="8">
        <v>0</v>
      </c>
      <c r="AS220">
        <v>1.5425219999999999</v>
      </c>
    </row>
    <row r="221" spans="1:45" x14ac:dyDescent="0.25">
      <c r="A221">
        <v>39</v>
      </c>
      <c r="B221">
        <v>2004</v>
      </c>
      <c r="C221" s="8">
        <v>0</v>
      </c>
      <c r="D221">
        <v>3.10561E-2</v>
      </c>
      <c r="E221">
        <v>0.26538610000000001</v>
      </c>
      <c r="F221">
        <v>8.2481399999999996E-2</v>
      </c>
      <c r="G221">
        <v>2.295528</v>
      </c>
      <c r="H221">
        <v>0.12741050000000001</v>
      </c>
      <c r="Q221" s="10">
        <f t="shared" si="26"/>
        <v>7.7999822026683673E-4</v>
      </c>
      <c r="AI221">
        <v>0.52863199999999999</v>
      </c>
      <c r="AJ221">
        <f t="shared" si="25"/>
        <v>0.52051970800000003</v>
      </c>
      <c r="AO221">
        <v>0.52051970800000003</v>
      </c>
      <c r="AR221" s="8">
        <v>0</v>
      </c>
      <c r="AS221">
        <v>1.8367039999999999</v>
      </c>
    </row>
    <row r="222" spans="1:45" x14ac:dyDescent="0.25">
      <c r="A222">
        <v>40</v>
      </c>
      <c r="B222">
        <v>1999</v>
      </c>
      <c r="C222" s="8">
        <v>0</v>
      </c>
      <c r="D222">
        <v>0.54952369999999995</v>
      </c>
      <c r="E222">
        <v>0.34262710000000002</v>
      </c>
      <c r="F222">
        <v>2.8704199999999999E-2</v>
      </c>
      <c r="G222">
        <v>4.9760350000000004</v>
      </c>
      <c r="H222">
        <v>0.28208640000000001</v>
      </c>
      <c r="Q222" s="10">
        <f t="shared" si="26"/>
        <v>2.0429376151037937E-5</v>
      </c>
      <c r="AI222">
        <v>0.62412520000000005</v>
      </c>
      <c r="AJ222">
        <f t="shared" si="25"/>
        <v>0.52051970800000003</v>
      </c>
      <c r="AO222">
        <v>0.52051970800000003</v>
      </c>
      <c r="AR222" s="8">
        <v>0</v>
      </c>
      <c r="AS222">
        <v>2.2587950000000001</v>
      </c>
    </row>
    <row r="223" spans="1:45" x14ac:dyDescent="0.25">
      <c r="A223">
        <v>40</v>
      </c>
      <c r="B223">
        <v>2000</v>
      </c>
      <c r="C223" s="8">
        <v>0</v>
      </c>
      <c r="D223">
        <v>0.52863199999999999</v>
      </c>
      <c r="E223">
        <v>0.39213120000000001</v>
      </c>
      <c r="F223">
        <v>4.1816399999999997E-2</v>
      </c>
      <c r="G223">
        <v>3.1194190000000002</v>
      </c>
      <c r="H223">
        <v>0.29226150000000001</v>
      </c>
      <c r="Q223" s="10">
        <f t="shared" si="26"/>
        <v>3.2902732396678636E-4</v>
      </c>
      <c r="AI223">
        <v>0.62412829999999997</v>
      </c>
      <c r="AJ223">
        <f t="shared" si="25"/>
        <v>0.52051970800000003</v>
      </c>
      <c r="AO223">
        <v>0.52051970800000003</v>
      </c>
      <c r="AR223" s="8">
        <v>0</v>
      </c>
      <c r="AS223">
        <v>2.295528</v>
      </c>
    </row>
    <row r="224" spans="1:45" x14ac:dyDescent="0.25">
      <c r="A224">
        <v>40</v>
      </c>
      <c r="B224">
        <v>2001</v>
      </c>
      <c r="C224" s="8">
        <v>0</v>
      </c>
      <c r="D224">
        <v>0.62412520000000005</v>
      </c>
      <c r="E224">
        <v>0.38924009999999998</v>
      </c>
      <c r="F224">
        <v>4.5302299999999997E-2</v>
      </c>
      <c r="G224">
        <v>2.6194739999999999</v>
      </c>
      <c r="H224">
        <v>0.27321570000000001</v>
      </c>
      <c r="Q224" s="10">
        <f t="shared" si="26"/>
        <v>7.3255253250632986E-4</v>
      </c>
      <c r="AI224">
        <v>0.55427320000000002</v>
      </c>
      <c r="AJ224">
        <f t="shared" si="25"/>
        <v>0.52051970800000003</v>
      </c>
      <c r="AO224">
        <v>0.52051970800000003</v>
      </c>
      <c r="AR224" s="8">
        <v>0</v>
      </c>
      <c r="AS224">
        <v>4.9760350000000004</v>
      </c>
    </row>
    <row r="225" spans="1:45" x14ac:dyDescent="0.25">
      <c r="A225">
        <v>40</v>
      </c>
      <c r="B225">
        <v>2002</v>
      </c>
      <c r="C225" s="8">
        <v>0</v>
      </c>
      <c r="D225">
        <v>0.62412829999999997</v>
      </c>
      <c r="E225">
        <v>0.3871965</v>
      </c>
      <c r="F225">
        <v>3.9185499999999998E-2</v>
      </c>
      <c r="G225">
        <v>2.388738</v>
      </c>
      <c r="H225">
        <v>0.26118219999999998</v>
      </c>
      <c r="Q225" s="10">
        <f t="shared" si="26"/>
        <v>1.1057786180725159E-3</v>
      </c>
      <c r="AI225">
        <v>0.52659889999999998</v>
      </c>
      <c r="AJ225">
        <f t="shared" si="25"/>
        <v>0.52051970800000003</v>
      </c>
      <c r="AO225">
        <v>0.52051970800000003</v>
      </c>
      <c r="AR225" s="8">
        <v>0</v>
      </c>
      <c r="AS225">
        <v>3.1194190000000002</v>
      </c>
    </row>
    <row r="226" spans="1:45" x14ac:dyDescent="0.25">
      <c r="A226">
        <v>40</v>
      </c>
      <c r="B226">
        <v>2003</v>
      </c>
      <c r="C226" s="8">
        <v>0</v>
      </c>
      <c r="D226">
        <v>0.55427320000000002</v>
      </c>
      <c r="E226">
        <v>0.37561119999999998</v>
      </c>
      <c r="F226">
        <v>2.5420000000000002E-2</v>
      </c>
      <c r="G226">
        <v>2.923778</v>
      </c>
      <c r="H226">
        <v>0.27875630000000001</v>
      </c>
      <c r="Q226" s="10">
        <f t="shared" si="26"/>
        <v>5.259196773016358E-4</v>
      </c>
      <c r="AI226">
        <v>0.50770289999999996</v>
      </c>
      <c r="AJ226">
        <f t="shared" si="25"/>
        <v>0.50770289999999996</v>
      </c>
      <c r="AO226">
        <v>0.50770289999999996</v>
      </c>
      <c r="AR226" s="8">
        <v>0</v>
      </c>
      <c r="AS226">
        <v>2.6194739999999999</v>
      </c>
    </row>
    <row r="227" spans="1:45" x14ac:dyDescent="0.25">
      <c r="A227">
        <v>41</v>
      </c>
      <c r="B227">
        <v>1995</v>
      </c>
      <c r="C227" s="8">
        <v>0</v>
      </c>
      <c r="D227">
        <v>0.52659889999999998</v>
      </c>
      <c r="E227">
        <v>0.37894</v>
      </c>
      <c r="F227">
        <v>0.1112808</v>
      </c>
      <c r="G227">
        <v>7.6321409999999998</v>
      </c>
      <c r="H227">
        <v>0.34474349999999998</v>
      </c>
      <c r="Q227" s="10">
        <f t="shared" si="26"/>
        <v>1.4960364833379108E-7</v>
      </c>
      <c r="AI227">
        <v>0.49193949999999997</v>
      </c>
      <c r="AJ227">
        <f t="shared" si="25"/>
        <v>0.49193949999999997</v>
      </c>
      <c r="AO227">
        <v>0.49193949999999997</v>
      </c>
      <c r="AR227" s="8">
        <v>0</v>
      </c>
      <c r="AS227">
        <v>2.388738</v>
      </c>
    </row>
    <row r="228" spans="1:45" x14ac:dyDescent="0.25">
      <c r="A228">
        <v>41</v>
      </c>
      <c r="B228">
        <v>1996</v>
      </c>
      <c r="C228" s="8">
        <v>0</v>
      </c>
      <c r="D228">
        <v>0.50770289999999996</v>
      </c>
      <c r="E228">
        <v>0.46527540000000001</v>
      </c>
      <c r="F228">
        <v>6.8519499999999997E-2</v>
      </c>
      <c r="G228">
        <v>3.7883369999999998</v>
      </c>
      <c r="H228">
        <v>0.2784179</v>
      </c>
      <c r="Q228" s="10">
        <f t="shared" si="26"/>
        <v>8.089889801553247E-5</v>
      </c>
      <c r="AI228">
        <v>0.51779660000000005</v>
      </c>
      <c r="AJ228">
        <f t="shared" si="25"/>
        <v>0.51779660000000005</v>
      </c>
      <c r="AO228">
        <v>0.51779660000000005</v>
      </c>
      <c r="AR228" s="8">
        <v>0</v>
      </c>
      <c r="AS228">
        <v>2.923778</v>
      </c>
    </row>
    <row r="229" spans="1:45" x14ac:dyDescent="0.25">
      <c r="A229">
        <v>41</v>
      </c>
      <c r="B229">
        <v>1997</v>
      </c>
      <c r="C229" s="8">
        <v>0</v>
      </c>
      <c r="D229">
        <v>0.49193949999999997</v>
      </c>
      <c r="E229">
        <v>0.44206079999999998</v>
      </c>
      <c r="F229">
        <v>6.5543199999999996E-2</v>
      </c>
      <c r="G229">
        <v>5.7823729999999998</v>
      </c>
      <c r="H229">
        <v>0.27139200000000002</v>
      </c>
      <c r="Q229" s="10">
        <f t="shared" si="26"/>
        <v>3.5334301077036281E-6</v>
      </c>
      <c r="AI229">
        <v>0.5418288</v>
      </c>
      <c r="AJ229">
        <f t="shared" si="25"/>
        <v>0.52051970800000003</v>
      </c>
      <c r="AO229">
        <v>0.52051970800000003</v>
      </c>
      <c r="AR229" s="8">
        <v>0</v>
      </c>
      <c r="AS229">
        <v>7.6321409999999998</v>
      </c>
    </row>
    <row r="230" spans="1:45" x14ac:dyDescent="0.25">
      <c r="A230">
        <v>41</v>
      </c>
      <c r="B230">
        <v>1998</v>
      </c>
      <c r="C230" s="8">
        <v>0</v>
      </c>
      <c r="D230">
        <v>0.51779660000000005</v>
      </c>
      <c r="E230">
        <v>0.49893330000000002</v>
      </c>
      <c r="F230">
        <v>4.59402E-2</v>
      </c>
      <c r="G230">
        <v>7.0701609999999997</v>
      </c>
      <c r="H230">
        <v>0.1696954</v>
      </c>
      <c r="Q230" s="10">
        <f t="shared" si="26"/>
        <v>4.6387692032792509E-7</v>
      </c>
      <c r="AI230">
        <v>0.60260780000000003</v>
      </c>
      <c r="AJ230">
        <f t="shared" si="25"/>
        <v>0.52051970800000003</v>
      </c>
      <c r="AO230">
        <v>0.52051970800000003</v>
      </c>
      <c r="AR230" s="8">
        <v>0</v>
      </c>
      <c r="AS230">
        <v>3.7883369999999998</v>
      </c>
    </row>
    <row r="231" spans="1:45" x14ac:dyDescent="0.25">
      <c r="A231">
        <v>41</v>
      </c>
      <c r="B231">
        <v>1999</v>
      </c>
      <c r="C231" s="8">
        <v>0</v>
      </c>
      <c r="D231">
        <v>0.5418288</v>
      </c>
      <c r="E231">
        <v>0.49258420000000003</v>
      </c>
      <c r="F231">
        <v>8.6401800000000001E-2</v>
      </c>
      <c r="G231">
        <v>14.37856</v>
      </c>
      <c r="H231">
        <v>0.2751034</v>
      </c>
      <c r="Q231" s="10">
        <f t="shared" si="26"/>
        <v>3.195079538157148E-12</v>
      </c>
      <c r="AI231">
        <v>0.68289599999999995</v>
      </c>
      <c r="AJ231">
        <f t="shared" si="25"/>
        <v>0.52051970800000003</v>
      </c>
      <c r="AO231">
        <v>0.52051970800000003</v>
      </c>
      <c r="AR231" s="8">
        <v>0</v>
      </c>
      <c r="AS231">
        <v>5.7823729999999998</v>
      </c>
    </row>
    <row r="232" spans="1:45" x14ac:dyDescent="0.25">
      <c r="A232">
        <v>41</v>
      </c>
      <c r="B232">
        <v>2000</v>
      </c>
      <c r="C232" s="8">
        <v>0</v>
      </c>
      <c r="D232">
        <v>0.60260780000000003</v>
      </c>
      <c r="E232">
        <v>0.51412049999999998</v>
      </c>
      <c r="F232">
        <v>0.11619640000000001</v>
      </c>
      <c r="G232">
        <v>12.55903</v>
      </c>
      <c r="H232">
        <v>0.3100156</v>
      </c>
      <c r="Q232" s="10">
        <f t="shared" si="26"/>
        <v>4.645033721944929E-11</v>
      </c>
      <c r="AI232">
        <v>0.66755529999999996</v>
      </c>
      <c r="AJ232">
        <f t="shared" si="25"/>
        <v>0.52051970800000003</v>
      </c>
      <c r="AO232">
        <v>0.52051970800000003</v>
      </c>
      <c r="AR232" s="8">
        <v>0</v>
      </c>
      <c r="AS232">
        <v>7.0701609999999997</v>
      </c>
    </row>
    <row r="233" spans="1:45" x14ac:dyDescent="0.25">
      <c r="A233">
        <v>41</v>
      </c>
      <c r="B233">
        <v>2001</v>
      </c>
      <c r="C233" s="8">
        <v>0</v>
      </c>
      <c r="D233">
        <v>0.68289599999999995</v>
      </c>
      <c r="E233">
        <v>0.61447549999999995</v>
      </c>
      <c r="F233">
        <v>3.6616700000000002E-2</v>
      </c>
      <c r="G233">
        <v>12.55649</v>
      </c>
      <c r="H233">
        <v>0.17198640000000001</v>
      </c>
      <c r="Q233" s="10">
        <f t="shared" si="26"/>
        <v>7.229878772844278E-11</v>
      </c>
      <c r="AI233">
        <v>0.67183740000000003</v>
      </c>
      <c r="AJ233">
        <f t="shared" si="25"/>
        <v>0.52051970800000003</v>
      </c>
      <c r="AO233">
        <v>0.52051970800000003</v>
      </c>
      <c r="AR233" s="8">
        <v>0</v>
      </c>
      <c r="AS233">
        <v>14.37856</v>
      </c>
    </row>
    <row r="234" spans="1:45" x14ac:dyDescent="0.25">
      <c r="A234">
        <v>41</v>
      </c>
      <c r="B234">
        <v>2002</v>
      </c>
      <c r="C234" s="8">
        <v>0</v>
      </c>
      <c r="D234">
        <v>0.66755529999999996</v>
      </c>
      <c r="E234">
        <v>0.6045817</v>
      </c>
      <c r="F234">
        <v>2.9986499999999999E-2</v>
      </c>
      <c r="G234">
        <v>11.270440000000001</v>
      </c>
      <c r="H234">
        <v>0.1678529</v>
      </c>
      <c r="Q234" s="10">
        <f t="shared" si="26"/>
        <v>5.9511319811110217E-10</v>
      </c>
      <c r="AI234">
        <v>0.68229649999999997</v>
      </c>
      <c r="AJ234">
        <f t="shared" si="25"/>
        <v>0.52051970800000003</v>
      </c>
      <c r="AO234">
        <v>0.52051970800000003</v>
      </c>
      <c r="AR234" s="8">
        <v>0</v>
      </c>
      <c r="AS234">
        <v>12.55903</v>
      </c>
    </row>
    <row r="235" spans="1:45" x14ac:dyDescent="0.25">
      <c r="A235">
        <v>41</v>
      </c>
      <c r="B235">
        <v>2003</v>
      </c>
      <c r="C235" s="8">
        <v>0</v>
      </c>
      <c r="D235">
        <v>0.67183740000000003</v>
      </c>
      <c r="E235">
        <v>0.59697670000000003</v>
      </c>
      <c r="F235">
        <v>4.4470500000000003E-2</v>
      </c>
      <c r="G235">
        <v>17.31711</v>
      </c>
      <c r="H235">
        <v>0.15819910000000001</v>
      </c>
      <c r="Q235" s="10">
        <f t="shared" si="26"/>
        <v>3.4867664638762143E-14</v>
      </c>
      <c r="AI235">
        <v>7.52385E-2</v>
      </c>
      <c r="AJ235">
        <f t="shared" si="25"/>
        <v>7.52385E-2</v>
      </c>
      <c r="AO235">
        <v>7.52385E-2</v>
      </c>
      <c r="AR235" s="8">
        <v>0</v>
      </c>
      <c r="AS235">
        <v>12.55649</v>
      </c>
    </row>
    <row r="236" spans="1:45" x14ac:dyDescent="0.25">
      <c r="A236">
        <v>41</v>
      </c>
      <c r="B236">
        <v>2004</v>
      </c>
      <c r="C236" s="8">
        <v>0</v>
      </c>
      <c r="D236">
        <v>0.68229649999999997</v>
      </c>
      <c r="E236">
        <v>0.6318011</v>
      </c>
      <c r="F236">
        <v>8.0129599999999995E-2</v>
      </c>
      <c r="G236">
        <v>9.6945479999999993</v>
      </c>
      <c r="H236">
        <v>0.2132472</v>
      </c>
      <c r="Q236" s="10">
        <f t="shared" si="26"/>
        <v>4.8836552479357007E-9</v>
      </c>
      <c r="AI236">
        <v>0.22629930000000001</v>
      </c>
      <c r="AJ236">
        <f t="shared" si="25"/>
        <v>0.22629930000000001</v>
      </c>
      <c r="AO236">
        <v>0.22629930000000001</v>
      </c>
      <c r="AR236" s="8">
        <v>0</v>
      </c>
      <c r="AS236">
        <v>11.270440000000001</v>
      </c>
    </row>
    <row r="237" spans="1:45" x14ac:dyDescent="0.25">
      <c r="A237">
        <v>42</v>
      </c>
      <c r="B237">
        <v>1999</v>
      </c>
      <c r="C237" s="8">
        <v>0</v>
      </c>
      <c r="D237">
        <v>7.52385E-2</v>
      </c>
      <c r="E237">
        <v>0.268042</v>
      </c>
      <c r="F237">
        <v>5.1122500000000001E-2</v>
      </c>
      <c r="G237">
        <v>1.032967</v>
      </c>
      <c r="H237">
        <v>0.14377529999999999</v>
      </c>
      <c r="Q237" s="10">
        <f t="shared" si="26"/>
        <v>7.6300754351833538E-3</v>
      </c>
      <c r="AI237">
        <v>6.2537899999999993E-2</v>
      </c>
      <c r="AJ237">
        <f t="shared" si="25"/>
        <v>6.2537899999999993E-2</v>
      </c>
      <c r="AO237">
        <v>6.2537899999999993E-2</v>
      </c>
      <c r="AR237" s="8">
        <v>0</v>
      </c>
      <c r="AS237">
        <v>17.31711</v>
      </c>
    </row>
    <row r="238" spans="1:45" x14ac:dyDescent="0.25">
      <c r="A238">
        <v>42</v>
      </c>
      <c r="B238">
        <v>2000</v>
      </c>
      <c r="C238" s="8">
        <v>0</v>
      </c>
      <c r="D238">
        <v>0.22629930000000001</v>
      </c>
      <c r="E238">
        <v>1.146531</v>
      </c>
      <c r="F238">
        <v>5.6739900000000003E-2</v>
      </c>
      <c r="G238">
        <v>0.36337779999999997</v>
      </c>
      <c r="H238">
        <v>0.3552266</v>
      </c>
      <c r="Q238" s="10">
        <f t="shared" si="26"/>
        <v>7.1776455359309063E-3</v>
      </c>
      <c r="AI238">
        <v>8.6227100000000001E-2</v>
      </c>
      <c r="AJ238">
        <f t="shared" si="25"/>
        <v>8.6227100000000001E-2</v>
      </c>
      <c r="AO238">
        <v>8.6227100000000001E-2</v>
      </c>
      <c r="AR238" s="8">
        <v>0</v>
      </c>
      <c r="AS238">
        <v>9.6945479999999993</v>
      </c>
    </row>
    <row r="239" spans="1:45" x14ac:dyDescent="0.25">
      <c r="A239">
        <v>42</v>
      </c>
      <c r="B239">
        <v>2001</v>
      </c>
      <c r="C239" s="8">
        <v>0</v>
      </c>
      <c r="D239">
        <v>6.2537899999999993E-2</v>
      </c>
      <c r="E239">
        <v>1.4250609999999999</v>
      </c>
      <c r="F239">
        <v>9.1891600000000004E-2</v>
      </c>
      <c r="G239">
        <v>0.37048019999999998</v>
      </c>
      <c r="H239">
        <v>0.37228919999999999</v>
      </c>
      <c r="Q239" s="10">
        <f t="shared" si="26"/>
        <v>3.3872114843039249E-3</v>
      </c>
      <c r="AI239">
        <v>0.10842</v>
      </c>
      <c r="AJ239">
        <f t="shared" si="25"/>
        <v>0.10842</v>
      </c>
      <c r="AO239">
        <v>0.10842</v>
      </c>
      <c r="AR239" s="8">
        <v>0</v>
      </c>
      <c r="AS239">
        <v>1.032967</v>
      </c>
    </row>
    <row r="240" spans="1:45" x14ac:dyDescent="0.25">
      <c r="A240">
        <v>42</v>
      </c>
      <c r="B240">
        <v>2002</v>
      </c>
      <c r="C240" s="8">
        <v>0</v>
      </c>
      <c r="D240">
        <v>8.6227100000000001E-2</v>
      </c>
      <c r="E240">
        <v>1.6396459999999999</v>
      </c>
      <c r="F240">
        <v>8.6249099999999995E-2</v>
      </c>
      <c r="G240">
        <v>1.338676</v>
      </c>
      <c r="H240">
        <v>0.44035740000000001</v>
      </c>
      <c r="Q240" s="10">
        <f t="shared" si="26"/>
        <v>5.8568481626534487E-4</v>
      </c>
      <c r="AI240">
        <v>0.19277079999999999</v>
      </c>
      <c r="AJ240">
        <f t="shared" si="25"/>
        <v>0.19277079999999999</v>
      </c>
      <c r="AO240">
        <v>0.19277079999999999</v>
      </c>
      <c r="AR240" s="8">
        <v>0</v>
      </c>
      <c r="AS240">
        <v>0.36337779999999997</v>
      </c>
    </row>
    <row r="241" spans="1:45" x14ac:dyDescent="0.25">
      <c r="A241">
        <v>42</v>
      </c>
      <c r="B241">
        <v>2003</v>
      </c>
      <c r="C241" s="8">
        <v>0</v>
      </c>
      <c r="D241">
        <v>0.10842</v>
      </c>
      <c r="E241">
        <v>1.4269609999999999</v>
      </c>
      <c r="F241">
        <v>8.4769300000000006E-2</v>
      </c>
      <c r="G241">
        <v>1.6462509999999999</v>
      </c>
      <c r="H241">
        <v>0.4371004</v>
      </c>
      <c r="Q241" s="10">
        <f t="shared" si="26"/>
        <v>4.9819081076286366E-4</v>
      </c>
      <c r="AI241">
        <v>0.16853360000000001</v>
      </c>
      <c r="AJ241">
        <f t="shared" si="25"/>
        <v>0.16853360000000001</v>
      </c>
      <c r="AO241">
        <v>0.16853360000000001</v>
      </c>
      <c r="AR241" s="8">
        <v>0</v>
      </c>
      <c r="AS241">
        <v>0.37048019999999998</v>
      </c>
    </row>
    <row r="242" spans="1:45" x14ac:dyDescent="0.25">
      <c r="A242">
        <v>42</v>
      </c>
      <c r="B242">
        <v>2004</v>
      </c>
      <c r="C242" s="8">
        <v>0</v>
      </c>
      <c r="D242">
        <v>0.19277079999999999</v>
      </c>
      <c r="E242">
        <v>1.324735</v>
      </c>
      <c r="F242">
        <v>8.2150200000000007E-2</v>
      </c>
      <c r="G242">
        <v>2.3179560000000001</v>
      </c>
      <c r="H242">
        <v>0.4746397</v>
      </c>
      <c r="Q242" s="10">
        <f t="shared" si="26"/>
        <v>2.1457280281197074E-4</v>
      </c>
      <c r="AI242">
        <v>0.15819569999999999</v>
      </c>
      <c r="AJ242">
        <f t="shared" si="25"/>
        <v>0.15819569999999999</v>
      </c>
      <c r="AO242">
        <v>0.15819569999999999</v>
      </c>
      <c r="AR242" s="8">
        <v>0</v>
      </c>
      <c r="AS242">
        <v>1.338676</v>
      </c>
    </row>
    <row r="243" spans="1:45" x14ac:dyDescent="0.25">
      <c r="A243">
        <v>43</v>
      </c>
      <c r="B243">
        <v>1999</v>
      </c>
      <c r="C243" s="8">
        <v>0</v>
      </c>
      <c r="D243">
        <v>0.16853360000000001</v>
      </c>
      <c r="E243">
        <v>0.14571390000000001</v>
      </c>
      <c r="F243">
        <v>3.5998299999999997E-2</v>
      </c>
      <c r="G243">
        <v>1.192418</v>
      </c>
      <c r="H243">
        <v>0.2543359</v>
      </c>
      <c r="Q243" s="10">
        <f t="shared" si="26"/>
        <v>8.8708537080050241E-3</v>
      </c>
      <c r="AI243">
        <v>0.18740519999999999</v>
      </c>
      <c r="AJ243">
        <f t="shared" si="25"/>
        <v>0.18740519999999999</v>
      </c>
      <c r="AO243">
        <v>0.18740519999999999</v>
      </c>
      <c r="AR243" s="8">
        <v>0</v>
      </c>
      <c r="AS243">
        <v>1.6462509999999999</v>
      </c>
    </row>
    <row r="244" spans="1:45" x14ac:dyDescent="0.25">
      <c r="A244">
        <v>43</v>
      </c>
      <c r="B244">
        <v>2000</v>
      </c>
      <c r="C244" s="8">
        <v>0</v>
      </c>
      <c r="D244">
        <v>0.15819569999999999</v>
      </c>
      <c r="E244">
        <v>0.11902260000000001</v>
      </c>
      <c r="F244">
        <v>3.4711199999999998E-2</v>
      </c>
      <c r="G244">
        <v>0.73718320000000004</v>
      </c>
      <c r="H244">
        <v>0.3726566</v>
      </c>
      <c r="Q244" s="10">
        <f t="shared" si="26"/>
        <v>2.0382866490874174E-2</v>
      </c>
      <c r="AI244">
        <v>0.19355530000000001</v>
      </c>
      <c r="AJ244">
        <f t="shared" si="25"/>
        <v>0.19355530000000001</v>
      </c>
      <c r="AO244">
        <v>0.19355530000000001</v>
      </c>
      <c r="AR244" s="8">
        <v>0</v>
      </c>
      <c r="AS244">
        <v>2.3179560000000001</v>
      </c>
    </row>
    <row r="245" spans="1:45" x14ac:dyDescent="0.25">
      <c r="A245">
        <v>43</v>
      </c>
      <c r="B245">
        <v>2001</v>
      </c>
      <c r="C245" s="8">
        <v>0</v>
      </c>
      <c r="D245">
        <v>0.18740519999999999</v>
      </c>
      <c r="E245">
        <v>0.1080415</v>
      </c>
      <c r="F245">
        <v>4.4369899999999997E-2</v>
      </c>
      <c r="G245">
        <v>1.0566150000000001</v>
      </c>
      <c r="H245">
        <v>0.39583790000000002</v>
      </c>
      <c r="Q245" s="10">
        <f t="shared" si="26"/>
        <v>1.1934266773559615E-2</v>
      </c>
      <c r="AI245">
        <v>0.2137164</v>
      </c>
      <c r="AJ245">
        <f t="shared" si="25"/>
        <v>0.2137164</v>
      </c>
      <c r="AO245">
        <v>0.2137164</v>
      </c>
      <c r="AR245" s="8">
        <v>0</v>
      </c>
      <c r="AS245">
        <v>1.192418</v>
      </c>
    </row>
    <row r="246" spans="1:45" x14ac:dyDescent="0.25">
      <c r="A246">
        <v>43</v>
      </c>
      <c r="B246">
        <v>2002</v>
      </c>
      <c r="C246" s="8">
        <v>0</v>
      </c>
      <c r="D246">
        <v>0.19355530000000001</v>
      </c>
      <c r="E246">
        <v>0.104508</v>
      </c>
      <c r="F246">
        <v>3.6896900000000003E-2</v>
      </c>
      <c r="G246">
        <v>0.993089</v>
      </c>
      <c r="H246">
        <v>0.4774275</v>
      </c>
      <c r="Q246" s="10">
        <f t="shared" si="26"/>
        <v>1.4816672870338089E-2</v>
      </c>
      <c r="AI246">
        <v>0.22253400000000001</v>
      </c>
      <c r="AJ246">
        <f t="shared" si="25"/>
        <v>0.22253400000000001</v>
      </c>
      <c r="AO246">
        <v>0.22253400000000001</v>
      </c>
      <c r="AR246" s="8">
        <v>0</v>
      </c>
      <c r="AS246">
        <v>0.73718320000000004</v>
      </c>
    </row>
    <row r="247" spans="1:45" x14ac:dyDescent="0.25">
      <c r="A247">
        <v>43</v>
      </c>
      <c r="B247">
        <v>2003</v>
      </c>
      <c r="C247" s="8">
        <v>0</v>
      </c>
      <c r="D247">
        <v>0.2137164</v>
      </c>
      <c r="E247">
        <v>0.1184524</v>
      </c>
      <c r="F247">
        <v>4.8009900000000001E-2</v>
      </c>
      <c r="G247">
        <v>0.86322460000000001</v>
      </c>
      <c r="H247">
        <v>0.502861</v>
      </c>
      <c r="Q247" s="10">
        <f t="shared" si="26"/>
        <v>1.6705409361722219E-2</v>
      </c>
      <c r="AI247">
        <v>-2.88629E-2</v>
      </c>
      <c r="AJ247">
        <f t="shared" si="25"/>
        <v>-2.88629E-2</v>
      </c>
      <c r="AO247">
        <v>-2.88629E-2</v>
      </c>
      <c r="AR247" s="8">
        <v>0</v>
      </c>
      <c r="AS247">
        <v>1.0566150000000001</v>
      </c>
    </row>
    <row r="248" spans="1:45" x14ac:dyDescent="0.25">
      <c r="A248">
        <v>43</v>
      </c>
      <c r="B248">
        <v>2004</v>
      </c>
      <c r="C248" s="8">
        <v>0</v>
      </c>
      <c r="D248">
        <v>0.22253400000000001</v>
      </c>
      <c r="E248">
        <v>0.13772960000000001</v>
      </c>
      <c r="F248">
        <v>5.8580100000000003E-2</v>
      </c>
      <c r="G248">
        <v>0.95488450000000002</v>
      </c>
      <c r="H248">
        <v>0.53075570000000005</v>
      </c>
      <c r="Q248" s="10">
        <f t="shared" si="26"/>
        <v>1.3217798114957402E-2</v>
      </c>
      <c r="AI248">
        <v>-3.82983E-2</v>
      </c>
      <c r="AJ248">
        <f t="shared" si="25"/>
        <v>-3.82983E-2</v>
      </c>
      <c r="AO248">
        <v>-3.82983E-2</v>
      </c>
      <c r="AR248" s="8">
        <v>0</v>
      </c>
      <c r="AS248">
        <v>0.993089</v>
      </c>
    </row>
    <row r="249" spans="1:45" x14ac:dyDescent="0.25">
      <c r="A249">
        <v>44</v>
      </c>
      <c r="B249">
        <v>1999</v>
      </c>
      <c r="C249" s="8">
        <v>0</v>
      </c>
      <c r="D249">
        <v>-2.88629E-2</v>
      </c>
      <c r="E249">
        <v>7.8707700000000005E-2</v>
      </c>
      <c r="F249">
        <v>8.0541199999999993E-2</v>
      </c>
      <c r="G249">
        <v>0.49209000000000003</v>
      </c>
      <c r="H249">
        <v>0.64033439999999997</v>
      </c>
      <c r="Q249" s="10">
        <f t="shared" si="26"/>
        <v>2.4091806123283786E-2</v>
      </c>
      <c r="AI249">
        <v>-5.9449999999999998E-4</v>
      </c>
      <c r="AJ249">
        <f t="shared" si="25"/>
        <v>-5.9449999999999998E-4</v>
      </c>
      <c r="AO249">
        <v>-5.9449999999999998E-4</v>
      </c>
      <c r="AR249" s="8">
        <v>0</v>
      </c>
      <c r="AS249">
        <v>0.86322460000000001</v>
      </c>
    </row>
    <row r="250" spans="1:45" x14ac:dyDescent="0.25">
      <c r="A250">
        <v>44</v>
      </c>
      <c r="B250">
        <v>2000</v>
      </c>
      <c r="C250" s="8">
        <v>0</v>
      </c>
      <c r="D250">
        <v>-3.82983E-2</v>
      </c>
      <c r="E250">
        <v>0.16010959999999999</v>
      </c>
      <c r="F250">
        <v>7.8154100000000004E-2</v>
      </c>
      <c r="G250">
        <v>0.75216139999999998</v>
      </c>
      <c r="H250">
        <v>0.57203850000000001</v>
      </c>
      <c r="Q250" s="10">
        <f t="shared" si="26"/>
        <v>1.3905813860544559E-2</v>
      </c>
      <c r="AI250">
        <v>5.09871E-2</v>
      </c>
      <c r="AJ250">
        <f t="shared" si="25"/>
        <v>5.09871E-2</v>
      </c>
      <c r="AO250">
        <v>5.09871E-2</v>
      </c>
      <c r="AR250" s="8">
        <v>0</v>
      </c>
      <c r="AS250">
        <v>0.95488450000000002</v>
      </c>
    </row>
    <row r="251" spans="1:45" x14ac:dyDescent="0.25">
      <c r="A251">
        <v>44</v>
      </c>
      <c r="B251">
        <v>2001</v>
      </c>
      <c r="C251" s="8">
        <v>0</v>
      </c>
      <c r="D251">
        <v>-5.9449999999999998E-4</v>
      </c>
      <c r="E251">
        <v>0.23860880000000001</v>
      </c>
      <c r="F251">
        <v>4.42771E-2</v>
      </c>
      <c r="G251">
        <v>1.8511150000000001</v>
      </c>
      <c r="H251">
        <v>0.48746980000000001</v>
      </c>
      <c r="Q251" s="10">
        <f t="shared" si="26"/>
        <v>2.7520015043408334E-3</v>
      </c>
      <c r="AI251">
        <v>1.8323200000000001E-2</v>
      </c>
      <c r="AJ251">
        <f t="shared" si="25"/>
        <v>1.8323200000000001E-2</v>
      </c>
      <c r="AO251">
        <v>1.8323200000000001E-2</v>
      </c>
      <c r="AR251" s="8">
        <v>0</v>
      </c>
      <c r="AS251">
        <v>0.49209000000000003</v>
      </c>
    </row>
    <row r="252" spans="1:45" x14ac:dyDescent="0.25">
      <c r="A252">
        <v>44</v>
      </c>
      <c r="B252">
        <v>2002</v>
      </c>
      <c r="C252" s="8">
        <v>0</v>
      </c>
      <c r="D252">
        <v>5.09871E-2</v>
      </c>
      <c r="E252">
        <v>0.22807150000000001</v>
      </c>
      <c r="F252">
        <v>5.8659500000000003E-2</v>
      </c>
      <c r="G252">
        <v>1.6420220000000001</v>
      </c>
      <c r="H252">
        <v>0.5294065</v>
      </c>
      <c r="Q252" s="10">
        <f t="shared" si="26"/>
        <v>3.6411000371517244E-3</v>
      </c>
      <c r="AI252">
        <v>6.5110199999999993E-2</v>
      </c>
      <c r="AJ252">
        <f t="shared" si="25"/>
        <v>6.5110199999999993E-2</v>
      </c>
      <c r="AO252">
        <v>6.5110199999999993E-2</v>
      </c>
      <c r="AR252" s="8">
        <v>0</v>
      </c>
      <c r="AS252">
        <v>0.75216139999999998</v>
      </c>
    </row>
    <row r="253" spans="1:45" x14ac:dyDescent="0.25">
      <c r="A253">
        <v>44</v>
      </c>
      <c r="B253">
        <v>2003</v>
      </c>
      <c r="C253" s="8">
        <v>0</v>
      </c>
      <c r="D253">
        <v>1.8323200000000001E-2</v>
      </c>
      <c r="E253">
        <v>0.3129576</v>
      </c>
      <c r="F253">
        <v>6.1723399999999998E-2</v>
      </c>
      <c r="G253">
        <v>2.660882</v>
      </c>
      <c r="H253">
        <v>0.58963710000000003</v>
      </c>
      <c r="Q253" s="10">
        <f t="shared" si="26"/>
        <v>6.3603856364424023E-4</v>
      </c>
      <c r="AI253">
        <v>8.8431300000000004E-2</v>
      </c>
      <c r="AJ253">
        <f t="shared" si="25"/>
        <v>8.8431300000000004E-2</v>
      </c>
      <c r="AO253">
        <v>8.8431300000000004E-2</v>
      </c>
      <c r="AR253" s="8">
        <v>0</v>
      </c>
      <c r="AS253">
        <v>1.8511150000000001</v>
      </c>
    </row>
    <row r="254" spans="1:45" x14ac:dyDescent="0.25">
      <c r="A254">
        <v>44</v>
      </c>
      <c r="B254">
        <v>2004</v>
      </c>
      <c r="C254" s="8">
        <v>0</v>
      </c>
      <c r="D254">
        <v>6.5110199999999993E-2</v>
      </c>
      <c r="E254">
        <v>0.34202690000000002</v>
      </c>
      <c r="F254">
        <v>7.4265300000000006E-2</v>
      </c>
      <c r="G254">
        <v>3.3621949999999998</v>
      </c>
      <c r="H254">
        <v>0.59640280000000001</v>
      </c>
      <c r="Q254" s="10">
        <f t="shared" si="26"/>
        <v>1.8476646066291466E-4</v>
      </c>
      <c r="AI254">
        <v>0.19423219999999999</v>
      </c>
      <c r="AJ254">
        <f t="shared" si="25"/>
        <v>0.19423219999999999</v>
      </c>
      <c r="AO254">
        <v>0.19423219999999999</v>
      </c>
      <c r="AR254" s="8">
        <v>0</v>
      </c>
      <c r="AS254">
        <v>1.6420220000000001</v>
      </c>
    </row>
    <row r="255" spans="1:45" x14ac:dyDescent="0.25">
      <c r="A255">
        <v>45</v>
      </c>
      <c r="B255">
        <v>1999</v>
      </c>
      <c r="C255" s="8">
        <v>0</v>
      </c>
      <c r="D255">
        <v>8.8431300000000004E-2</v>
      </c>
      <c r="E255">
        <v>0.26127590000000001</v>
      </c>
      <c r="F255">
        <v>5.2267599999999997E-2</v>
      </c>
      <c r="G255">
        <v>0.4137651</v>
      </c>
      <c r="H255">
        <v>0.1980777</v>
      </c>
      <c r="Q255" s="10">
        <f t="shared" si="26"/>
        <v>2.101162355716622E-2</v>
      </c>
      <c r="AI255">
        <v>0.22363369999999999</v>
      </c>
      <c r="AJ255">
        <f t="shared" si="25"/>
        <v>0.22363369999999999</v>
      </c>
      <c r="AO255">
        <v>0.22363369999999999</v>
      </c>
      <c r="AR255" s="8">
        <v>0</v>
      </c>
      <c r="AS255">
        <v>2.660882</v>
      </c>
    </row>
    <row r="256" spans="1:45" x14ac:dyDescent="0.25">
      <c r="A256">
        <v>45</v>
      </c>
      <c r="B256">
        <v>2000</v>
      </c>
      <c r="C256" s="8">
        <v>0</v>
      </c>
      <c r="D256">
        <v>0.19423219999999999</v>
      </c>
      <c r="E256">
        <v>0.28435830000000001</v>
      </c>
      <c r="F256">
        <v>2.45007E-2</v>
      </c>
      <c r="G256">
        <v>6.2435900000000003E-2</v>
      </c>
      <c r="H256">
        <v>0.21281849999999999</v>
      </c>
      <c r="Q256" s="10">
        <f t="shared" si="26"/>
        <v>4.5649316762339999E-2</v>
      </c>
      <c r="AI256">
        <v>0.43909860000000001</v>
      </c>
      <c r="AJ256">
        <f t="shared" si="25"/>
        <v>0.43909860000000001</v>
      </c>
      <c r="AO256">
        <v>0.43909860000000001</v>
      </c>
      <c r="AR256" s="8">
        <v>0</v>
      </c>
      <c r="AS256">
        <v>3.3621949999999998</v>
      </c>
    </row>
    <row r="257" spans="1:45" x14ac:dyDescent="0.25">
      <c r="A257">
        <v>45</v>
      </c>
      <c r="B257">
        <v>2001</v>
      </c>
      <c r="C257" s="8">
        <v>0</v>
      </c>
      <c r="D257">
        <v>0.22363369999999999</v>
      </c>
      <c r="E257">
        <v>0.2773873</v>
      </c>
      <c r="F257">
        <v>3.0708699999999998E-2</v>
      </c>
      <c r="G257">
        <v>7.0976700000000004E-2</v>
      </c>
      <c r="H257">
        <v>0.20110239999999999</v>
      </c>
      <c r="Q257" s="10">
        <f t="shared" si="26"/>
        <v>4.3594449106201083E-2</v>
      </c>
      <c r="AI257">
        <v>0.4481829</v>
      </c>
      <c r="AJ257">
        <f t="shared" si="25"/>
        <v>0.4481829</v>
      </c>
      <c r="AO257">
        <v>0.4481829</v>
      </c>
      <c r="AR257" s="8">
        <v>0</v>
      </c>
      <c r="AS257">
        <v>0.4137651</v>
      </c>
    </row>
    <row r="258" spans="1:45" x14ac:dyDescent="0.25">
      <c r="A258">
        <v>46</v>
      </c>
      <c r="B258">
        <v>1999</v>
      </c>
      <c r="C258" s="8">
        <v>0</v>
      </c>
      <c r="D258">
        <v>0.43909860000000001</v>
      </c>
      <c r="E258">
        <v>0.28342329999999999</v>
      </c>
      <c r="F258">
        <v>4.8647000000000003E-2</v>
      </c>
      <c r="G258">
        <v>0.85924730000000005</v>
      </c>
      <c r="H258">
        <v>0.57208590000000004</v>
      </c>
      <c r="Q258" s="10">
        <f t="shared" si="26"/>
        <v>1.5105016514511061E-2</v>
      </c>
      <c r="AI258">
        <v>0.48243649999999999</v>
      </c>
      <c r="AJ258">
        <f t="shared" si="25"/>
        <v>0.48243649999999999</v>
      </c>
      <c r="AO258">
        <v>0.48243649999999999</v>
      </c>
      <c r="AR258" s="8">
        <v>0</v>
      </c>
      <c r="AS258">
        <v>6.2435900000000003E-2</v>
      </c>
    </row>
    <row r="259" spans="1:45" x14ac:dyDescent="0.25">
      <c r="A259">
        <v>46</v>
      </c>
      <c r="B259">
        <v>2000</v>
      </c>
      <c r="C259" s="8">
        <v>0</v>
      </c>
      <c r="D259">
        <v>0.4481829</v>
      </c>
      <c r="E259">
        <v>0.21088219999999999</v>
      </c>
      <c r="F259">
        <v>6.9628899999999994E-2</v>
      </c>
      <c r="G259">
        <v>0.50986019999999999</v>
      </c>
      <c r="H259">
        <v>0.53239630000000004</v>
      </c>
      <c r="Q259" s="10">
        <f t="shared" si="26"/>
        <v>2.4034943089636659E-2</v>
      </c>
      <c r="AI259">
        <v>0.42733900000000002</v>
      </c>
      <c r="AJ259">
        <f t="shared" si="25"/>
        <v>0.42733900000000002</v>
      </c>
      <c r="AO259">
        <v>0.42733900000000002</v>
      </c>
      <c r="AR259" s="8">
        <v>0</v>
      </c>
      <c r="AS259">
        <v>7.0976700000000004E-2</v>
      </c>
    </row>
    <row r="260" spans="1:45" x14ac:dyDescent="0.25">
      <c r="A260">
        <v>46</v>
      </c>
      <c r="B260">
        <v>2001</v>
      </c>
      <c r="C260" s="8">
        <v>0</v>
      </c>
      <c r="D260">
        <v>0.48243649999999999</v>
      </c>
      <c r="E260">
        <v>0.26424789999999998</v>
      </c>
      <c r="F260">
        <v>4.1828200000000003E-2</v>
      </c>
      <c r="G260">
        <v>0.85296870000000002</v>
      </c>
      <c r="H260">
        <v>0.40955920000000001</v>
      </c>
      <c r="Q260" s="10">
        <f t="shared" si="26"/>
        <v>1.5249533596736317E-2</v>
      </c>
      <c r="AI260">
        <v>0.43091049999999997</v>
      </c>
      <c r="AJ260">
        <f t="shared" si="25"/>
        <v>0.43091049999999997</v>
      </c>
      <c r="AO260">
        <v>0.43091049999999997</v>
      </c>
      <c r="AR260" s="8">
        <v>0</v>
      </c>
      <c r="AS260">
        <v>0.85924730000000005</v>
      </c>
    </row>
    <row r="261" spans="1:45" x14ac:dyDescent="0.25">
      <c r="A261">
        <v>46</v>
      </c>
      <c r="B261">
        <v>2002</v>
      </c>
      <c r="C261" s="8">
        <v>0</v>
      </c>
      <c r="D261">
        <v>0.42733900000000002</v>
      </c>
      <c r="E261">
        <v>0.17874870000000001</v>
      </c>
      <c r="F261">
        <v>2.9749100000000001E-2</v>
      </c>
      <c r="G261">
        <v>0.3994548</v>
      </c>
      <c r="H261">
        <v>0.44681850000000001</v>
      </c>
      <c r="Q261" s="10">
        <f t="shared" si="26"/>
        <v>3.8275246561044217E-2</v>
      </c>
      <c r="AI261">
        <v>0.45308189999999998</v>
      </c>
      <c r="AJ261">
        <f t="shared" ref="AJ261:AJ324" si="27">MAX(MIN(AI261,AM$5),AM$4)</f>
        <v>0.45308189999999998</v>
      </c>
      <c r="AO261">
        <v>0.45308189999999998</v>
      </c>
      <c r="AR261" s="8">
        <v>0</v>
      </c>
      <c r="AS261">
        <v>0.50986019999999999</v>
      </c>
    </row>
    <row r="262" spans="1:45" x14ac:dyDescent="0.25">
      <c r="A262">
        <v>46</v>
      </c>
      <c r="B262">
        <v>2003</v>
      </c>
      <c r="C262" s="8">
        <v>0</v>
      </c>
      <c r="D262">
        <v>0.43091049999999997</v>
      </c>
      <c r="E262">
        <v>0.20619000000000001</v>
      </c>
      <c r="F262">
        <v>4.67891E-2</v>
      </c>
      <c r="G262">
        <v>0.63996339999999996</v>
      </c>
      <c r="H262">
        <v>0.49546129999999999</v>
      </c>
      <c r="Q262" s="10">
        <f t="shared" si="26"/>
        <v>2.2937505537189672E-2</v>
      </c>
      <c r="AI262">
        <v>8.6661100000000005E-2</v>
      </c>
      <c r="AJ262">
        <f t="shared" si="27"/>
        <v>8.6661100000000005E-2</v>
      </c>
      <c r="AO262">
        <v>8.6661100000000005E-2</v>
      </c>
      <c r="AR262" s="8">
        <v>0</v>
      </c>
      <c r="AS262">
        <v>0.85296870000000002</v>
      </c>
    </row>
    <row r="263" spans="1:45" x14ac:dyDescent="0.25">
      <c r="A263">
        <v>46</v>
      </c>
      <c r="B263">
        <v>2004</v>
      </c>
      <c r="C263" s="8">
        <v>0</v>
      </c>
      <c r="D263">
        <v>0.45308189999999998</v>
      </c>
      <c r="E263">
        <v>0.27105600000000002</v>
      </c>
      <c r="F263">
        <v>4.0389700000000001E-2</v>
      </c>
      <c r="G263">
        <v>0.88415900000000003</v>
      </c>
      <c r="H263">
        <v>0.52031430000000001</v>
      </c>
      <c r="Q263" s="10">
        <f t="shared" ref="Q263:Q326" si="28">1/(1+EXP(-(J$6+SUMPRODUCT(K$6:O$6,D263:H263))))</f>
        <v>1.5375823517269731E-2</v>
      </c>
      <c r="AI263">
        <v>0.12815699999999999</v>
      </c>
      <c r="AJ263">
        <f t="shared" si="27"/>
        <v>0.12815699999999999</v>
      </c>
      <c r="AO263">
        <v>0.12815699999999999</v>
      </c>
      <c r="AR263" s="8">
        <v>0</v>
      </c>
      <c r="AS263">
        <v>0.3994548</v>
      </c>
    </row>
    <row r="264" spans="1:45" x14ac:dyDescent="0.25">
      <c r="A264">
        <v>47</v>
      </c>
      <c r="B264">
        <v>1999</v>
      </c>
      <c r="C264" s="8">
        <v>0</v>
      </c>
      <c r="D264">
        <v>8.6661100000000005E-2</v>
      </c>
      <c r="E264">
        <v>0.18575469999999999</v>
      </c>
      <c r="F264">
        <v>5.1499799999999998E-2</v>
      </c>
      <c r="G264">
        <v>0.55131260000000004</v>
      </c>
      <c r="H264">
        <v>0.42028969999999999</v>
      </c>
      <c r="Q264" s="10">
        <f t="shared" si="28"/>
        <v>2.1716822391115519E-2</v>
      </c>
      <c r="AI264">
        <v>9.5024700000000004E-2</v>
      </c>
      <c r="AJ264">
        <f t="shared" si="27"/>
        <v>9.5024700000000004E-2</v>
      </c>
      <c r="AO264">
        <v>9.5024700000000004E-2</v>
      </c>
      <c r="AR264" s="8">
        <v>0</v>
      </c>
      <c r="AS264">
        <v>0.63996339999999996</v>
      </c>
    </row>
    <row r="265" spans="1:45" x14ac:dyDescent="0.25">
      <c r="A265">
        <v>48</v>
      </c>
      <c r="B265">
        <v>1999</v>
      </c>
      <c r="C265" s="8">
        <v>0</v>
      </c>
      <c r="D265">
        <v>0.12815699999999999</v>
      </c>
      <c r="E265">
        <v>0.29451040000000001</v>
      </c>
      <c r="F265">
        <v>3.5933800000000002E-2</v>
      </c>
      <c r="G265">
        <v>0.59789760000000003</v>
      </c>
      <c r="H265">
        <v>0.32831569999999999</v>
      </c>
      <c r="Q265" s="10">
        <f t="shared" si="28"/>
        <v>1.8791657539860465E-2</v>
      </c>
      <c r="AI265">
        <v>0.1265944</v>
      </c>
      <c r="AJ265">
        <f t="shared" si="27"/>
        <v>0.1265944</v>
      </c>
      <c r="AO265">
        <v>0.1265944</v>
      </c>
      <c r="AR265" s="8">
        <v>0</v>
      </c>
      <c r="AS265">
        <v>0.88415900000000003</v>
      </c>
    </row>
    <row r="266" spans="1:45" x14ac:dyDescent="0.25">
      <c r="A266">
        <v>48</v>
      </c>
      <c r="B266">
        <v>2000</v>
      </c>
      <c r="C266" s="8">
        <v>0</v>
      </c>
      <c r="D266">
        <v>9.5024700000000004E-2</v>
      </c>
      <c r="E266">
        <v>0.25550840000000002</v>
      </c>
      <c r="F266">
        <v>3.6583200000000003E-2</v>
      </c>
      <c r="G266">
        <v>0.51749979999999995</v>
      </c>
      <c r="H266">
        <v>0.34368959999999998</v>
      </c>
      <c r="Q266" s="10">
        <f t="shared" si="28"/>
        <v>2.2314802142459744E-2</v>
      </c>
      <c r="AI266">
        <v>0.10130649999999999</v>
      </c>
      <c r="AJ266">
        <f t="shared" si="27"/>
        <v>0.10130649999999999</v>
      </c>
      <c r="AO266">
        <v>0.10130649999999999</v>
      </c>
      <c r="AR266" s="8">
        <v>0</v>
      </c>
      <c r="AS266">
        <v>0.55131260000000004</v>
      </c>
    </row>
    <row r="267" spans="1:45" x14ac:dyDescent="0.25">
      <c r="A267">
        <v>48</v>
      </c>
      <c r="B267">
        <v>2001</v>
      </c>
      <c r="C267" s="8">
        <v>0</v>
      </c>
      <c r="D267">
        <v>0.1265944</v>
      </c>
      <c r="E267">
        <v>0.28734080000000001</v>
      </c>
      <c r="F267">
        <v>3.9865900000000003E-2</v>
      </c>
      <c r="G267">
        <v>0.60430810000000001</v>
      </c>
      <c r="H267">
        <v>0.34413100000000002</v>
      </c>
      <c r="Q267" s="10">
        <f t="shared" si="28"/>
        <v>1.8388640703015026E-2</v>
      </c>
      <c r="AI267">
        <v>0.1177858</v>
      </c>
      <c r="AJ267">
        <f t="shared" si="27"/>
        <v>0.1177858</v>
      </c>
      <c r="AO267">
        <v>0.1177858</v>
      </c>
      <c r="AR267" s="8">
        <v>0</v>
      </c>
      <c r="AS267">
        <v>0.59789760000000003</v>
      </c>
    </row>
    <row r="268" spans="1:45" x14ac:dyDescent="0.25">
      <c r="A268">
        <v>48</v>
      </c>
      <c r="B268">
        <v>2002</v>
      </c>
      <c r="C268" s="8">
        <v>0</v>
      </c>
      <c r="D268">
        <v>0.10130649999999999</v>
      </c>
      <c r="E268">
        <v>0.29442299999999999</v>
      </c>
      <c r="F268">
        <v>4.7449100000000001E-2</v>
      </c>
      <c r="G268">
        <v>0.44129629999999997</v>
      </c>
      <c r="H268">
        <v>0.3271676</v>
      </c>
      <c r="Q268" s="10">
        <f t="shared" si="28"/>
        <v>2.1675993658123213E-2</v>
      </c>
      <c r="AI268">
        <v>9.7018400000000005E-2</v>
      </c>
      <c r="AJ268">
        <f t="shared" si="27"/>
        <v>9.7018400000000005E-2</v>
      </c>
      <c r="AO268">
        <v>9.7018400000000005E-2</v>
      </c>
      <c r="AR268" s="8">
        <v>0</v>
      </c>
      <c r="AS268">
        <v>0.51749979999999995</v>
      </c>
    </row>
    <row r="269" spans="1:45" x14ac:dyDescent="0.25">
      <c r="A269">
        <v>48</v>
      </c>
      <c r="B269">
        <v>2003</v>
      </c>
      <c r="C269" s="8">
        <v>0</v>
      </c>
      <c r="D269">
        <v>0.1177858</v>
      </c>
      <c r="E269">
        <v>0.283885</v>
      </c>
      <c r="F269">
        <v>2.17369E-2</v>
      </c>
      <c r="G269">
        <v>0.5040076</v>
      </c>
      <c r="H269">
        <v>0.32136140000000002</v>
      </c>
      <c r="Q269" s="10">
        <f t="shared" si="28"/>
        <v>2.4474481389867016E-2</v>
      </c>
      <c r="AI269">
        <v>6.7439299999999994E-2</v>
      </c>
      <c r="AJ269">
        <f t="shared" si="27"/>
        <v>6.7439299999999994E-2</v>
      </c>
      <c r="AO269">
        <v>6.7439299999999994E-2</v>
      </c>
      <c r="AR269" s="8">
        <v>0</v>
      </c>
      <c r="AS269">
        <v>0.60430810000000001</v>
      </c>
    </row>
    <row r="270" spans="1:45" x14ac:dyDescent="0.25">
      <c r="A270">
        <v>48</v>
      </c>
      <c r="B270">
        <v>2004</v>
      </c>
      <c r="C270" s="8">
        <v>0</v>
      </c>
      <c r="D270">
        <v>9.7018400000000005E-2</v>
      </c>
      <c r="E270">
        <v>0.32089499999999999</v>
      </c>
      <c r="F270">
        <v>3.4729599999999999E-2</v>
      </c>
      <c r="G270">
        <v>0.85760619999999999</v>
      </c>
      <c r="H270">
        <v>0.35123559999999998</v>
      </c>
      <c r="Q270" s="10">
        <f t="shared" si="28"/>
        <v>1.2168362713312762E-2</v>
      </c>
      <c r="AI270">
        <v>3.3058999999999998E-2</v>
      </c>
      <c r="AJ270">
        <f t="shared" si="27"/>
        <v>3.3058999999999998E-2</v>
      </c>
      <c r="AO270">
        <v>3.3058999999999998E-2</v>
      </c>
      <c r="AR270" s="8">
        <v>0</v>
      </c>
      <c r="AS270">
        <v>0.44129629999999997</v>
      </c>
    </row>
    <row r="271" spans="1:45" x14ac:dyDescent="0.25">
      <c r="A271">
        <v>49</v>
      </c>
      <c r="B271">
        <v>1997</v>
      </c>
      <c r="C271" s="8">
        <v>0</v>
      </c>
      <c r="D271">
        <v>6.7439299999999994E-2</v>
      </c>
      <c r="E271">
        <v>0.11129120000000001</v>
      </c>
      <c r="F271">
        <v>4.1065299999999999E-2</v>
      </c>
      <c r="G271">
        <v>0.85340629999999995</v>
      </c>
      <c r="H271">
        <v>0.12498620000000001</v>
      </c>
      <c r="Q271" s="10">
        <f t="shared" si="28"/>
        <v>1.3541526634149665E-2</v>
      </c>
      <c r="AI271">
        <v>9.7899999999999994E-5</v>
      </c>
      <c r="AJ271">
        <f t="shared" si="27"/>
        <v>9.7899999999999994E-5</v>
      </c>
      <c r="AO271">
        <v>9.7899999999999994E-5</v>
      </c>
      <c r="AR271" s="8">
        <v>0</v>
      </c>
      <c r="AS271">
        <v>0.5040076</v>
      </c>
    </row>
    <row r="272" spans="1:45" x14ac:dyDescent="0.25">
      <c r="A272">
        <v>49</v>
      </c>
      <c r="B272">
        <v>1998</v>
      </c>
      <c r="C272" s="8">
        <v>0</v>
      </c>
      <c r="D272">
        <v>3.3058999999999998E-2</v>
      </c>
      <c r="E272">
        <v>0.112303</v>
      </c>
      <c r="F272">
        <v>3.5353900000000001E-2</v>
      </c>
      <c r="G272">
        <v>0.84915569999999996</v>
      </c>
      <c r="H272">
        <v>0.14180409999999999</v>
      </c>
      <c r="Q272" s="10">
        <f t="shared" si="28"/>
        <v>1.4186219625756559E-2</v>
      </c>
      <c r="AI272">
        <v>-6.2506999999999993E-2</v>
      </c>
      <c r="AJ272">
        <f t="shared" si="27"/>
        <v>-6.2506999999999993E-2</v>
      </c>
      <c r="AO272">
        <v>-6.2506999999999993E-2</v>
      </c>
      <c r="AR272" s="8">
        <v>0</v>
      </c>
      <c r="AS272">
        <v>0.85760619999999999</v>
      </c>
    </row>
    <row r="273" spans="1:45" x14ac:dyDescent="0.25">
      <c r="A273">
        <v>49</v>
      </c>
      <c r="B273">
        <v>1999</v>
      </c>
      <c r="C273" s="8">
        <v>0</v>
      </c>
      <c r="D273">
        <v>9.7899999999999994E-5</v>
      </c>
      <c r="E273">
        <v>0.1187059</v>
      </c>
      <c r="F273">
        <v>3.7234000000000003E-2</v>
      </c>
      <c r="G273">
        <v>0.72823450000000001</v>
      </c>
      <c r="H273">
        <v>0.1316541</v>
      </c>
      <c r="Q273" s="10">
        <f t="shared" si="28"/>
        <v>1.6418445380090123E-2</v>
      </c>
      <c r="AI273">
        <v>-6.64907E-2</v>
      </c>
      <c r="AJ273">
        <f t="shared" si="27"/>
        <v>-6.64907E-2</v>
      </c>
      <c r="AO273">
        <v>-6.64907E-2</v>
      </c>
      <c r="AR273" s="8">
        <v>0</v>
      </c>
      <c r="AS273">
        <v>0.85340629999999995</v>
      </c>
    </row>
    <row r="274" spans="1:45" x14ac:dyDescent="0.25">
      <c r="A274">
        <v>49</v>
      </c>
      <c r="B274">
        <v>2000</v>
      </c>
      <c r="C274" s="8">
        <v>0</v>
      </c>
      <c r="D274">
        <v>-6.2506999999999993E-2</v>
      </c>
      <c r="E274">
        <v>0.142231</v>
      </c>
      <c r="F274">
        <v>3.3909399999999999E-2</v>
      </c>
      <c r="G274">
        <v>0.80857179999999995</v>
      </c>
      <c r="H274">
        <v>0.1089415</v>
      </c>
      <c r="Q274" s="10">
        <f t="shared" si="28"/>
        <v>1.3810068030216617E-2</v>
      </c>
      <c r="AI274">
        <v>-9.1678899999999994E-2</v>
      </c>
      <c r="AJ274">
        <f t="shared" si="27"/>
        <v>-9.1678899999999994E-2</v>
      </c>
      <c r="AO274">
        <v>-9.1678899999999994E-2</v>
      </c>
      <c r="AR274" s="8">
        <v>0</v>
      </c>
      <c r="AS274">
        <v>0.84915569999999996</v>
      </c>
    </row>
    <row r="275" spans="1:45" x14ac:dyDescent="0.25">
      <c r="A275">
        <v>49</v>
      </c>
      <c r="B275">
        <v>2001</v>
      </c>
      <c r="C275" s="8">
        <v>0</v>
      </c>
      <c r="D275">
        <v>-6.64907E-2</v>
      </c>
      <c r="E275">
        <v>0.1077945</v>
      </c>
      <c r="F275">
        <v>5.8771999999999998E-2</v>
      </c>
      <c r="G275">
        <v>0.4501193</v>
      </c>
      <c r="H275">
        <v>9.9941299999999997E-2</v>
      </c>
      <c r="Q275" s="10">
        <f t="shared" si="28"/>
        <v>2.0769983745957663E-2</v>
      </c>
      <c r="AI275">
        <v>-5.0537499999999999E-2</v>
      </c>
      <c r="AJ275">
        <f t="shared" si="27"/>
        <v>-5.0537499999999999E-2</v>
      </c>
      <c r="AO275">
        <v>-5.0537499999999999E-2</v>
      </c>
      <c r="AR275" s="8">
        <v>0</v>
      </c>
      <c r="AS275">
        <v>0.72823450000000001</v>
      </c>
    </row>
    <row r="276" spans="1:45" x14ac:dyDescent="0.25">
      <c r="A276">
        <v>49</v>
      </c>
      <c r="B276">
        <v>2002</v>
      </c>
      <c r="C276" s="8">
        <v>0</v>
      </c>
      <c r="D276">
        <v>-9.1678899999999994E-2</v>
      </c>
      <c r="E276">
        <v>8.86015E-2</v>
      </c>
      <c r="F276">
        <v>5.0045199999999998E-2</v>
      </c>
      <c r="G276">
        <v>0.4845392</v>
      </c>
      <c r="H276">
        <v>9.6250299999999997E-2</v>
      </c>
      <c r="Q276" s="10">
        <f t="shared" si="28"/>
        <v>2.139185450844833E-2</v>
      </c>
      <c r="AI276">
        <v>3.6260899999999999E-2</v>
      </c>
      <c r="AJ276">
        <f t="shared" si="27"/>
        <v>3.6260899999999999E-2</v>
      </c>
      <c r="AO276">
        <v>3.6260899999999999E-2</v>
      </c>
      <c r="AR276" s="8">
        <v>0</v>
      </c>
      <c r="AS276">
        <v>0.80857179999999995</v>
      </c>
    </row>
    <row r="277" spans="1:45" x14ac:dyDescent="0.25">
      <c r="A277">
        <v>49</v>
      </c>
      <c r="B277">
        <v>2003</v>
      </c>
      <c r="C277" s="8">
        <v>0</v>
      </c>
      <c r="D277">
        <v>-5.0537499999999999E-2</v>
      </c>
      <c r="E277">
        <v>0.1049079</v>
      </c>
      <c r="F277">
        <v>4.2052899999999997E-2</v>
      </c>
      <c r="G277">
        <v>0.63895659999999999</v>
      </c>
      <c r="H277">
        <v>0.10036680000000001</v>
      </c>
      <c r="Q277" s="10">
        <f t="shared" si="28"/>
        <v>1.7821300232412227E-2</v>
      </c>
      <c r="AI277">
        <v>-1.57647E-2</v>
      </c>
      <c r="AJ277">
        <f t="shared" si="27"/>
        <v>-1.57647E-2</v>
      </c>
      <c r="AO277">
        <v>-1.57647E-2</v>
      </c>
      <c r="AR277" s="8">
        <v>0</v>
      </c>
      <c r="AS277">
        <v>0.4501193</v>
      </c>
    </row>
    <row r="278" spans="1:45" x14ac:dyDescent="0.25">
      <c r="A278">
        <v>49</v>
      </c>
      <c r="B278">
        <v>2004</v>
      </c>
      <c r="C278" s="8">
        <v>0</v>
      </c>
      <c r="D278">
        <v>3.6260899999999999E-2</v>
      </c>
      <c r="E278">
        <v>0.1109699</v>
      </c>
      <c r="F278">
        <v>5.7083099999999998E-2</v>
      </c>
      <c r="G278">
        <v>0.62342149999999996</v>
      </c>
      <c r="H278">
        <v>0.13819329999999999</v>
      </c>
      <c r="Q278" s="10">
        <f t="shared" si="28"/>
        <v>1.7052592657993651E-2</v>
      </c>
      <c r="AI278">
        <v>0.19536529999999999</v>
      </c>
      <c r="AJ278">
        <f t="shared" si="27"/>
        <v>0.19536529999999999</v>
      </c>
      <c r="AO278">
        <v>0.19536529999999999</v>
      </c>
      <c r="AR278" s="8">
        <v>0</v>
      </c>
      <c r="AS278">
        <v>0.4845392</v>
      </c>
    </row>
    <row r="279" spans="1:45" x14ac:dyDescent="0.25">
      <c r="A279">
        <v>50</v>
      </c>
      <c r="B279">
        <v>1999</v>
      </c>
      <c r="C279" s="8">
        <v>0</v>
      </c>
      <c r="D279">
        <v>-1.57647E-2</v>
      </c>
      <c r="E279">
        <v>0.3125674</v>
      </c>
      <c r="F279">
        <v>6.2468599999999999E-2</v>
      </c>
      <c r="G279">
        <v>1.6191679999999999</v>
      </c>
      <c r="H279">
        <v>0.16757759999999999</v>
      </c>
      <c r="Q279" s="10">
        <f t="shared" si="28"/>
        <v>2.5208776033262353E-3</v>
      </c>
      <c r="AI279">
        <v>0.1272316</v>
      </c>
      <c r="AJ279">
        <f t="shared" si="27"/>
        <v>0.1272316</v>
      </c>
      <c r="AO279">
        <v>0.1272316</v>
      </c>
      <c r="AR279" s="8">
        <v>0</v>
      </c>
      <c r="AS279">
        <v>0.63895659999999999</v>
      </c>
    </row>
    <row r="280" spans="1:45" x14ac:dyDescent="0.25">
      <c r="A280">
        <v>51</v>
      </c>
      <c r="B280">
        <v>1999</v>
      </c>
      <c r="C280" s="8">
        <v>0</v>
      </c>
      <c r="D280">
        <v>0.19536529999999999</v>
      </c>
      <c r="E280">
        <v>0.65449210000000002</v>
      </c>
      <c r="F280">
        <v>8.8810399999999998E-2</v>
      </c>
      <c r="G280">
        <v>15.012560000000001</v>
      </c>
      <c r="H280">
        <v>0.27681270000000002</v>
      </c>
      <c r="Q280" s="10">
        <f t="shared" si="28"/>
        <v>7.8198176800917442E-13</v>
      </c>
      <c r="AI280">
        <v>0.112495</v>
      </c>
      <c r="AJ280">
        <f t="shared" si="27"/>
        <v>0.112495</v>
      </c>
      <c r="AO280">
        <v>0.112495</v>
      </c>
      <c r="AR280" s="8">
        <v>0</v>
      </c>
      <c r="AS280">
        <v>0.62342149999999996</v>
      </c>
    </row>
    <row r="281" spans="1:45" x14ac:dyDescent="0.25">
      <c r="A281">
        <v>51</v>
      </c>
      <c r="B281">
        <v>2000</v>
      </c>
      <c r="C281" s="8">
        <v>0</v>
      </c>
      <c r="D281">
        <v>0.1272316</v>
      </c>
      <c r="E281">
        <v>0.27071830000000002</v>
      </c>
      <c r="F281">
        <v>5.4701899999999998E-2</v>
      </c>
      <c r="G281">
        <v>2.7742589999999998</v>
      </c>
      <c r="H281">
        <v>0.13470940000000001</v>
      </c>
      <c r="Q281" s="10">
        <f t="shared" si="28"/>
        <v>4.7131758566546671E-4</v>
      </c>
      <c r="AI281">
        <v>0.1153135</v>
      </c>
      <c r="AJ281">
        <f t="shared" si="27"/>
        <v>0.1153135</v>
      </c>
      <c r="AO281">
        <v>0.1153135</v>
      </c>
      <c r="AR281" s="8">
        <v>0</v>
      </c>
      <c r="AS281">
        <v>1.6191679999999999</v>
      </c>
    </row>
    <row r="282" spans="1:45" x14ac:dyDescent="0.25">
      <c r="A282">
        <v>51</v>
      </c>
      <c r="B282">
        <v>2001</v>
      </c>
      <c r="C282" s="8">
        <v>0</v>
      </c>
      <c r="D282">
        <v>0.112495</v>
      </c>
      <c r="E282">
        <v>0.30847560000000002</v>
      </c>
      <c r="F282">
        <v>4.1013399999999998E-2</v>
      </c>
      <c r="G282">
        <v>2.3634490000000001</v>
      </c>
      <c r="H282">
        <v>0.13633509999999999</v>
      </c>
      <c r="Q282" s="10">
        <f t="shared" si="28"/>
        <v>9.526150573684252E-4</v>
      </c>
      <c r="AI282">
        <v>0.13089680000000001</v>
      </c>
      <c r="AJ282">
        <f t="shared" si="27"/>
        <v>0.13089680000000001</v>
      </c>
      <c r="AO282">
        <v>0.13089680000000001</v>
      </c>
      <c r="AR282" s="8">
        <v>0</v>
      </c>
      <c r="AS282">
        <v>15.012560000000001</v>
      </c>
    </row>
    <row r="283" spans="1:45" x14ac:dyDescent="0.25">
      <c r="A283">
        <v>51</v>
      </c>
      <c r="B283">
        <v>2002</v>
      </c>
      <c r="C283" s="8">
        <v>0</v>
      </c>
      <c r="D283">
        <v>0.1153135</v>
      </c>
      <c r="E283">
        <v>0.35130800000000001</v>
      </c>
      <c r="F283">
        <v>4.9132200000000001E-2</v>
      </c>
      <c r="G283">
        <v>2.0758320000000001</v>
      </c>
      <c r="H283">
        <v>0.1243932</v>
      </c>
      <c r="Q283" s="10">
        <f t="shared" si="28"/>
        <v>1.3178217023432062E-3</v>
      </c>
      <c r="AI283">
        <v>6.2524800000000005E-2</v>
      </c>
      <c r="AJ283">
        <f t="shared" si="27"/>
        <v>6.2524800000000005E-2</v>
      </c>
      <c r="AO283">
        <v>6.2524800000000005E-2</v>
      </c>
      <c r="AR283" s="8">
        <v>0</v>
      </c>
      <c r="AS283">
        <v>2.7742589999999998</v>
      </c>
    </row>
    <row r="284" spans="1:45" x14ac:dyDescent="0.25">
      <c r="A284">
        <v>51</v>
      </c>
      <c r="B284">
        <v>2003</v>
      </c>
      <c r="C284" s="8">
        <v>0</v>
      </c>
      <c r="D284">
        <v>0.13089680000000001</v>
      </c>
      <c r="E284">
        <v>0.37416090000000002</v>
      </c>
      <c r="F284">
        <v>4.94075E-2</v>
      </c>
      <c r="G284">
        <v>1.4427989999999999</v>
      </c>
      <c r="H284">
        <v>0.12639500000000001</v>
      </c>
      <c r="Q284" s="10">
        <f t="shared" si="28"/>
        <v>3.5073141238109798E-3</v>
      </c>
      <c r="AI284">
        <v>8.6616799999999994E-2</v>
      </c>
      <c r="AJ284">
        <f t="shared" si="27"/>
        <v>8.6616799999999994E-2</v>
      </c>
      <c r="AO284">
        <v>8.6616799999999994E-2</v>
      </c>
      <c r="AR284" s="8">
        <v>0</v>
      </c>
      <c r="AS284">
        <v>2.3634490000000001</v>
      </c>
    </row>
    <row r="285" spans="1:45" x14ac:dyDescent="0.25">
      <c r="A285">
        <v>51</v>
      </c>
      <c r="B285">
        <v>2004</v>
      </c>
      <c r="C285" s="8">
        <v>0</v>
      </c>
      <c r="D285">
        <v>6.2524800000000005E-2</v>
      </c>
      <c r="E285">
        <v>0.3750849</v>
      </c>
      <c r="F285">
        <v>5.8642800000000002E-2</v>
      </c>
      <c r="G285">
        <v>1.605067</v>
      </c>
      <c r="H285">
        <v>0.1340913</v>
      </c>
      <c r="Q285" s="10">
        <f t="shared" si="28"/>
        <v>2.4560024860821074E-3</v>
      </c>
      <c r="AI285">
        <v>9.99525E-2</v>
      </c>
      <c r="AJ285">
        <f t="shared" si="27"/>
        <v>9.99525E-2</v>
      </c>
      <c r="AO285">
        <v>9.99525E-2</v>
      </c>
      <c r="AR285" s="8">
        <v>0</v>
      </c>
      <c r="AS285">
        <v>2.0758320000000001</v>
      </c>
    </row>
    <row r="286" spans="1:45" x14ac:dyDescent="0.25">
      <c r="A286">
        <v>52</v>
      </c>
      <c r="B286">
        <v>1999</v>
      </c>
      <c r="C286" s="8">
        <v>0</v>
      </c>
      <c r="D286">
        <v>8.6616799999999994E-2</v>
      </c>
      <c r="E286">
        <v>0.50722420000000001</v>
      </c>
      <c r="F286">
        <v>7.7507000000000006E-2</v>
      </c>
      <c r="G286">
        <v>4.653829</v>
      </c>
      <c r="H286">
        <v>0.38489509999999999</v>
      </c>
      <c r="Q286" s="10">
        <f t="shared" si="28"/>
        <v>1.6000606558202695E-5</v>
      </c>
      <c r="AI286">
        <v>3.7014999999999999E-2</v>
      </c>
      <c r="AJ286">
        <f t="shared" si="27"/>
        <v>3.7014999999999999E-2</v>
      </c>
      <c r="AO286">
        <v>3.7014999999999999E-2</v>
      </c>
      <c r="AR286" s="8">
        <v>0</v>
      </c>
      <c r="AS286">
        <v>1.4427989999999999</v>
      </c>
    </row>
    <row r="287" spans="1:45" x14ac:dyDescent="0.25">
      <c r="A287">
        <v>52</v>
      </c>
      <c r="B287">
        <v>2000</v>
      </c>
      <c r="C287" s="8">
        <v>0</v>
      </c>
      <c r="D287">
        <v>9.99525E-2</v>
      </c>
      <c r="E287">
        <v>0.52969259999999996</v>
      </c>
      <c r="F287">
        <v>5.7124000000000001E-2</v>
      </c>
      <c r="G287">
        <v>3.2966549999999999</v>
      </c>
      <c r="H287">
        <v>0.38094410000000001</v>
      </c>
      <c r="Q287" s="10">
        <f t="shared" si="28"/>
        <v>1.5897092223990405E-4</v>
      </c>
      <c r="AI287">
        <v>-2.8877E-3</v>
      </c>
      <c r="AJ287">
        <f t="shared" si="27"/>
        <v>-2.8877E-3</v>
      </c>
      <c r="AO287">
        <v>-2.8877E-3</v>
      </c>
      <c r="AR287" s="8">
        <v>0</v>
      </c>
      <c r="AS287">
        <v>1.605067</v>
      </c>
    </row>
    <row r="288" spans="1:45" x14ac:dyDescent="0.25">
      <c r="A288">
        <v>52</v>
      </c>
      <c r="B288">
        <v>2001</v>
      </c>
      <c r="C288" s="8">
        <v>0</v>
      </c>
      <c r="D288">
        <v>3.7014999999999999E-2</v>
      </c>
      <c r="E288">
        <v>0.53637710000000005</v>
      </c>
      <c r="F288">
        <v>5.6326599999999998E-2</v>
      </c>
      <c r="G288">
        <v>3.3224809999999998</v>
      </c>
      <c r="H288">
        <v>0.34649720000000001</v>
      </c>
      <c r="Q288" s="10">
        <f t="shared" si="28"/>
        <v>1.4501102378459158E-4</v>
      </c>
      <c r="AI288">
        <v>2.2654400000000002E-2</v>
      </c>
      <c r="AJ288">
        <f t="shared" si="27"/>
        <v>2.2654400000000002E-2</v>
      </c>
      <c r="AO288">
        <v>2.2654400000000002E-2</v>
      </c>
      <c r="AR288" s="8">
        <v>0</v>
      </c>
      <c r="AS288">
        <v>4.653829</v>
      </c>
    </row>
    <row r="289" spans="1:45" x14ac:dyDescent="0.25">
      <c r="A289">
        <v>52</v>
      </c>
      <c r="B289">
        <v>2002</v>
      </c>
      <c r="C289" s="8">
        <v>0</v>
      </c>
      <c r="D289">
        <v>-2.8877E-3</v>
      </c>
      <c r="E289">
        <v>0.42447289999999999</v>
      </c>
      <c r="F289">
        <v>5.8045300000000001E-2</v>
      </c>
      <c r="G289">
        <v>2.606967</v>
      </c>
      <c r="H289">
        <v>0.32956150000000001</v>
      </c>
      <c r="Q289" s="10">
        <f t="shared" si="28"/>
        <v>5.1214800763975691E-4</v>
      </c>
      <c r="AI289">
        <v>7.5891200000000006E-2</v>
      </c>
      <c r="AJ289">
        <f t="shared" si="27"/>
        <v>7.5891200000000006E-2</v>
      </c>
      <c r="AO289">
        <v>7.5891200000000006E-2</v>
      </c>
      <c r="AR289" s="8">
        <v>0</v>
      </c>
      <c r="AS289">
        <v>3.2966549999999999</v>
      </c>
    </row>
    <row r="290" spans="1:45" x14ac:dyDescent="0.25">
      <c r="A290">
        <v>52</v>
      </c>
      <c r="B290">
        <v>2003</v>
      </c>
      <c r="C290" s="8">
        <v>0</v>
      </c>
      <c r="D290">
        <v>2.2654400000000002E-2</v>
      </c>
      <c r="E290">
        <v>0.4429864</v>
      </c>
      <c r="F290">
        <v>6.1844000000000003E-2</v>
      </c>
      <c r="G290">
        <v>2.2558129999999998</v>
      </c>
      <c r="H290">
        <v>0.32643810000000001</v>
      </c>
      <c r="Q290" s="10">
        <f t="shared" si="28"/>
        <v>8.5338687483106613E-4</v>
      </c>
      <c r="AI290">
        <v>0.53698219999999997</v>
      </c>
      <c r="AJ290">
        <f t="shared" si="27"/>
        <v>0.52051970800000003</v>
      </c>
      <c r="AO290">
        <v>0.52051970800000003</v>
      </c>
      <c r="AR290" s="8">
        <v>0</v>
      </c>
      <c r="AS290">
        <v>3.3224809999999998</v>
      </c>
    </row>
    <row r="291" spans="1:45" x14ac:dyDescent="0.25">
      <c r="A291">
        <v>52</v>
      </c>
      <c r="B291">
        <v>2004</v>
      </c>
      <c r="C291" s="8">
        <v>0</v>
      </c>
      <c r="D291">
        <v>7.5891200000000006E-2</v>
      </c>
      <c r="E291">
        <v>0.46189730000000001</v>
      </c>
      <c r="F291">
        <v>4.7214699999999998E-2</v>
      </c>
      <c r="G291">
        <v>2.34795</v>
      </c>
      <c r="H291">
        <v>0.3674809</v>
      </c>
      <c r="Q291" s="10">
        <f t="shared" si="28"/>
        <v>8.4506388172804134E-4</v>
      </c>
      <c r="AI291">
        <v>0.40056069999999999</v>
      </c>
      <c r="AJ291">
        <f t="shared" si="27"/>
        <v>0.40056069999999999</v>
      </c>
      <c r="AO291">
        <v>0.40056069999999999</v>
      </c>
      <c r="AR291" s="8">
        <v>0</v>
      </c>
      <c r="AS291">
        <v>2.606967</v>
      </c>
    </row>
    <row r="292" spans="1:45" x14ac:dyDescent="0.25">
      <c r="A292">
        <v>53</v>
      </c>
      <c r="B292">
        <v>1999</v>
      </c>
      <c r="C292" s="8">
        <v>0</v>
      </c>
      <c r="D292">
        <v>0.53698219999999997</v>
      </c>
      <c r="E292">
        <v>0.53069310000000003</v>
      </c>
      <c r="F292">
        <v>4.6715399999999997E-2</v>
      </c>
      <c r="G292">
        <v>1.055428</v>
      </c>
      <c r="H292">
        <v>0.58712059999999999</v>
      </c>
      <c r="Q292" s="10">
        <f t="shared" si="28"/>
        <v>8.2902919239495557E-3</v>
      </c>
      <c r="AI292">
        <v>0.23619979999999999</v>
      </c>
      <c r="AJ292">
        <f t="shared" si="27"/>
        <v>0.23619979999999999</v>
      </c>
      <c r="AO292">
        <v>0.23619979999999999</v>
      </c>
      <c r="AR292" s="8">
        <v>0</v>
      </c>
      <c r="AS292">
        <v>2.2558129999999998</v>
      </c>
    </row>
    <row r="293" spans="1:45" x14ac:dyDescent="0.25">
      <c r="A293">
        <v>53</v>
      </c>
      <c r="B293">
        <v>2000</v>
      </c>
      <c r="C293" s="8">
        <v>0</v>
      </c>
      <c r="D293">
        <v>0.40056069999999999</v>
      </c>
      <c r="E293">
        <v>0.32864339999999997</v>
      </c>
      <c r="F293">
        <v>6.9692100000000007E-2</v>
      </c>
      <c r="G293">
        <v>0.81780790000000003</v>
      </c>
      <c r="H293">
        <v>0.53750819999999999</v>
      </c>
      <c r="Q293" s="10">
        <f t="shared" si="28"/>
        <v>1.2334292619586408E-2</v>
      </c>
      <c r="AI293">
        <v>0.43702259999999998</v>
      </c>
      <c r="AJ293">
        <f t="shared" si="27"/>
        <v>0.43702259999999998</v>
      </c>
      <c r="AO293">
        <v>0.43702259999999998</v>
      </c>
      <c r="AR293" s="8">
        <v>0</v>
      </c>
      <c r="AS293">
        <v>2.34795</v>
      </c>
    </row>
    <row r="294" spans="1:45" x14ac:dyDescent="0.25">
      <c r="A294">
        <v>53</v>
      </c>
      <c r="B294">
        <v>2001</v>
      </c>
      <c r="C294" s="8">
        <v>0</v>
      </c>
      <c r="D294">
        <v>0.23619979999999999</v>
      </c>
      <c r="E294">
        <v>0.32405800000000001</v>
      </c>
      <c r="F294">
        <v>4.6295200000000002E-2</v>
      </c>
      <c r="G294">
        <v>0.76913330000000002</v>
      </c>
      <c r="H294">
        <v>0.45568019999999998</v>
      </c>
      <c r="Q294" s="10">
        <f t="shared" si="28"/>
        <v>1.4338092970178698E-2</v>
      </c>
      <c r="AI294">
        <v>0.42294789999999999</v>
      </c>
      <c r="AJ294">
        <f t="shared" si="27"/>
        <v>0.42294789999999999</v>
      </c>
      <c r="AO294">
        <v>0.42294789999999999</v>
      </c>
      <c r="AR294" s="8">
        <v>0</v>
      </c>
      <c r="AS294">
        <v>1.055428</v>
      </c>
    </row>
    <row r="295" spans="1:45" x14ac:dyDescent="0.25">
      <c r="A295">
        <v>53</v>
      </c>
      <c r="B295">
        <v>2002</v>
      </c>
      <c r="C295" s="8">
        <v>0</v>
      </c>
      <c r="D295">
        <v>0.43702259999999998</v>
      </c>
      <c r="E295">
        <v>0.27261999999999997</v>
      </c>
      <c r="F295">
        <v>2.8546800000000001E-2</v>
      </c>
      <c r="G295">
        <v>0.93642709999999996</v>
      </c>
      <c r="H295">
        <v>0.49034840000000002</v>
      </c>
      <c r="Q295" s="10">
        <f t="shared" si="28"/>
        <v>1.5134544607227272E-2</v>
      </c>
      <c r="AI295">
        <v>0.4092634</v>
      </c>
      <c r="AJ295">
        <f t="shared" si="27"/>
        <v>0.4092634</v>
      </c>
      <c r="AO295">
        <v>0.4092634</v>
      </c>
      <c r="AR295" s="8">
        <v>0</v>
      </c>
      <c r="AS295">
        <v>0.81780790000000003</v>
      </c>
    </row>
    <row r="296" spans="1:45" x14ac:dyDescent="0.25">
      <c r="A296">
        <v>53</v>
      </c>
      <c r="B296">
        <v>2003</v>
      </c>
      <c r="C296" s="8">
        <v>0</v>
      </c>
      <c r="D296">
        <v>0.42294789999999999</v>
      </c>
      <c r="E296">
        <v>0.26890320000000001</v>
      </c>
      <c r="F296">
        <v>3.55638E-2</v>
      </c>
      <c r="G296">
        <v>0.59630970000000005</v>
      </c>
      <c r="H296">
        <v>0.52511410000000003</v>
      </c>
      <c r="Q296" s="10">
        <f t="shared" si="28"/>
        <v>2.4879215496365497E-2</v>
      </c>
      <c r="AI296">
        <v>-0.11305419999999999</v>
      </c>
      <c r="AJ296">
        <f t="shared" si="27"/>
        <v>-0.11305419999999999</v>
      </c>
      <c r="AO296">
        <v>-0.11305419999999999</v>
      </c>
      <c r="AR296" s="8">
        <v>0</v>
      </c>
      <c r="AS296">
        <v>0.76913330000000002</v>
      </c>
    </row>
    <row r="297" spans="1:45" x14ac:dyDescent="0.25">
      <c r="A297">
        <v>53</v>
      </c>
      <c r="B297">
        <v>2004</v>
      </c>
      <c r="C297" s="8">
        <v>0</v>
      </c>
      <c r="D297">
        <v>0.4092634</v>
      </c>
      <c r="E297">
        <v>0.29369230000000002</v>
      </c>
      <c r="F297">
        <v>3.4802699999999999E-2</v>
      </c>
      <c r="G297">
        <v>0.97556790000000004</v>
      </c>
      <c r="H297">
        <v>0.57394920000000005</v>
      </c>
      <c r="Q297" s="10">
        <f t="shared" si="28"/>
        <v>1.3676913490697948E-2</v>
      </c>
      <c r="AI297">
        <v>0.1058446</v>
      </c>
      <c r="AJ297">
        <f t="shared" si="27"/>
        <v>0.1058446</v>
      </c>
      <c r="AO297">
        <v>0.1058446</v>
      </c>
      <c r="AR297" s="8">
        <v>0</v>
      </c>
      <c r="AS297">
        <v>0.93642709999999996</v>
      </c>
    </row>
    <row r="298" spans="1:45" x14ac:dyDescent="0.25">
      <c r="A298">
        <v>54</v>
      </c>
      <c r="B298">
        <v>1999</v>
      </c>
      <c r="C298" s="8">
        <v>0</v>
      </c>
      <c r="D298">
        <v>-0.11305419999999999</v>
      </c>
      <c r="E298">
        <v>0.22403090000000001</v>
      </c>
      <c r="F298">
        <v>0.1228992</v>
      </c>
      <c r="G298">
        <v>2.7484410000000001</v>
      </c>
      <c r="H298">
        <v>0.64121399999999995</v>
      </c>
      <c r="Q298" s="10">
        <f t="shared" si="28"/>
        <v>3.7745752427881463E-4</v>
      </c>
      <c r="AI298">
        <v>0.1682506</v>
      </c>
      <c r="AJ298">
        <f t="shared" si="27"/>
        <v>0.1682506</v>
      </c>
      <c r="AO298">
        <v>0.1682506</v>
      </c>
      <c r="AR298" s="8">
        <v>0</v>
      </c>
      <c r="AS298">
        <v>0.59630970000000005</v>
      </c>
    </row>
    <row r="299" spans="1:45" x14ac:dyDescent="0.25">
      <c r="A299">
        <v>54</v>
      </c>
      <c r="B299">
        <v>2000</v>
      </c>
      <c r="C299" s="8">
        <v>0</v>
      </c>
      <c r="D299">
        <v>0.1058446</v>
      </c>
      <c r="E299">
        <v>0.2900643</v>
      </c>
      <c r="F299">
        <v>0.1258157</v>
      </c>
      <c r="G299">
        <v>3.7582399999999998</v>
      </c>
      <c r="H299">
        <v>0.61722639999999995</v>
      </c>
      <c r="Q299" s="10">
        <f t="shared" si="28"/>
        <v>7.2316693025090375E-5</v>
      </c>
      <c r="AI299">
        <v>5.1948099999999997E-2</v>
      </c>
      <c r="AJ299">
        <f t="shared" si="27"/>
        <v>5.1948099999999997E-2</v>
      </c>
      <c r="AO299">
        <v>5.1948099999999997E-2</v>
      </c>
      <c r="AR299" s="8">
        <v>0</v>
      </c>
      <c r="AS299">
        <v>0.97556790000000004</v>
      </c>
    </row>
    <row r="300" spans="1:45" x14ac:dyDescent="0.25">
      <c r="A300">
        <v>54</v>
      </c>
      <c r="B300">
        <v>2001</v>
      </c>
      <c r="C300" s="8">
        <v>0</v>
      </c>
      <c r="D300">
        <v>0.1682506</v>
      </c>
      <c r="E300">
        <v>0.3056662</v>
      </c>
      <c r="F300">
        <v>0.13307910000000001</v>
      </c>
      <c r="G300">
        <v>3.3882089999999998</v>
      </c>
      <c r="H300">
        <v>0.56742879999999996</v>
      </c>
      <c r="Q300" s="10">
        <f t="shared" si="28"/>
        <v>1.1968952373903609E-4</v>
      </c>
      <c r="AI300">
        <v>0.2164605</v>
      </c>
      <c r="AJ300">
        <f t="shared" si="27"/>
        <v>0.2164605</v>
      </c>
      <c r="AO300">
        <v>0.2164605</v>
      </c>
      <c r="AR300" s="8">
        <v>0</v>
      </c>
      <c r="AS300">
        <v>2.7484410000000001</v>
      </c>
    </row>
    <row r="301" spans="1:45" x14ac:dyDescent="0.25">
      <c r="A301">
        <v>54</v>
      </c>
      <c r="B301">
        <v>2002</v>
      </c>
      <c r="C301" s="8">
        <v>0</v>
      </c>
      <c r="D301">
        <v>5.1948099999999997E-2</v>
      </c>
      <c r="E301">
        <v>0.30007800000000001</v>
      </c>
      <c r="F301">
        <v>0.1227248</v>
      </c>
      <c r="G301">
        <v>3.7113809999999998</v>
      </c>
      <c r="H301">
        <v>0.59729529999999997</v>
      </c>
      <c r="Q301" s="10">
        <f t="shared" si="28"/>
        <v>7.6035744951089625E-5</v>
      </c>
      <c r="AI301">
        <v>0.26947209999999999</v>
      </c>
      <c r="AJ301">
        <f t="shared" si="27"/>
        <v>0.26947209999999999</v>
      </c>
      <c r="AO301">
        <v>0.26947209999999999</v>
      </c>
      <c r="AR301" s="8">
        <v>0</v>
      </c>
      <c r="AS301">
        <v>3.7582399999999998</v>
      </c>
    </row>
    <row r="302" spans="1:45" x14ac:dyDescent="0.25">
      <c r="A302">
        <v>54</v>
      </c>
      <c r="B302">
        <v>2003</v>
      </c>
      <c r="C302" s="8">
        <v>0</v>
      </c>
      <c r="D302">
        <v>0.2164605</v>
      </c>
      <c r="E302">
        <v>0.44379220000000003</v>
      </c>
      <c r="F302">
        <v>0.13822970000000001</v>
      </c>
      <c r="G302">
        <v>5.0357440000000002</v>
      </c>
      <c r="H302">
        <v>0.61581300000000005</v>
      </c>
      <c r="Q302" s="10">
        <f t="shared" si="28"/>
        <v>7.1523142520199236E-6</v>
      </c>
      <c r="AI302">
        <v>5.0679000000000002E-2</v>
      </c>
      <c r="AJ302">
        <f t="shared" si="27"/>
        <v>5.0679000000000002E-2</v>
      </c>
      <c r="AO302">
        <v>5.0679000000000002E-2</v>
      </c>
      <c r="AR302" s="8">
        <v>0</v>
      </c>
      <c r="AS302">
        <v>3.3882089999999998</v>
      </c>
    </row>
    <row r="303" spans="1:45" x14ac:dyDescent="0.25">
      <c r="A303">
        <v>54</v>
      </c>
      <c r="B303">
        <v>2004</v>
      </c>
      <c r="C303" s="8">
        <v>0</v>
      </c>
      <c r="D303">
        <v>0.26947209999999999</v>
      </c>
      <c r="E303">
        <v>0.51429069999999999</v>
      </c>
      <c r="F303">
        <v>0.12105349999999999</v>
      </c>
      <c r="G303">
        <v>5.7486519999999999</v>
      </c>
      <c r="H303">
        <v>0.58436980000000005</v>
      </c>
      <c r="Q303" s="10">
        <f t="shared" si="28"/>
        <v>2.3838660133212694E-6</v>
      </c>
      <c r="AI303">
        <v>1.4260399999999999E-2</v>
      </c>
      <c r="AJ303">
        <f t="shared" si="27"/>
        <v>1.4260399999999999E-2</v>
      </c>
      <c r="AO303">
        <v>1.4260399999999999E-2</v>
      </c>
      <c r="AR303" s="8">
        <v>0</v>
      </c>
      <c r="AS303">
        <v>3.7113809999999998</v>
      </c>
    </row>
    <row r="304" spans="1:45" x14ac:dyDescent="0.25">
      <c r="A304">
        <v>55</v>
      </c>
      <c r="B304">
        <v>1999</v>
      </c>
      <c r="C304" s="8">
        <v>0</v>
      </c>
      <c r="D304">
        <v>5.0679000000000002E-2</v>
      </c>
      <c r="E304">
        <v>0.36311880000000002</v>
      </c>
      <c r="F304">
        <v>6.8722699999999998E-2</v>
      </c>
      <c r="G304">
        <v>2.2442639999999998</v>
      </c>
      <c r="H304">
        <v>0.2296947</v>
      </c>
      <c r="Q304" s="10">
        <f t="shared" si="28"/>
        <v>8.8038185239442605E-4</v>
      </c>
      <c r="AI304">
        <v>4.2145700000000001E-2</v>
      </c>
      <c r="AJ304">
        <f t="shared" si="27"/>
        <v>4.2145700000000001E-2</v>
      </c>
      <c r="AO304">
        <v>4.2145700000000001E-2</v>
      </c>
      <c r="AR304" s="8">
        <v>0</v>
      </c>
      <c r="AS304">
        <v>5.0357440000000002</v>
      </c>
    </row>
    <row r="305" spans="1:45" x14ac:dyDescent="0.25">
      <c r="A305">
        <v>55</v>
      </c>
      <c r="B305">
        <v>2000</v>
      </c>
      <c r="C305" s="8">
        <v>0</v>
      </c>
      <c r="D305">
        <v>1.4260399999999999E-2</v>
      </c>
      <c r="E305">
        <v>0.37370969999999998</v>
      </c>
      <c r="F305">
        <v>5.7434699999999998E-2</v>
      </c>
      <c r="G305">
        <v>1.474153</v>
      </c>
      <c r="H305">
        <v>0.19745380000000001</v>
      </c>
      <c r="Q305" s="10">
        <f t="shared" si="28"/>
        <v>3.118724323708156E-3</v>
      </c>
      <c r="AI305">
        <v>2.5575500000000001E-2</v>
      </c>
      <c r="AJ305">
        <f t="shared" si="27"/>
        <v>2.5575500000000001E-2</v>
      </c>
      <c r="AO305">
        <v>2.5575500000000001E-2</v>
      </c>
      <c r="AR305" s="8">
        <v>0</v>
      </c>
      <c r="AS305">
        <v>5.7486519999999999</v>
      </c>
    </row>
    <row r="306" spans="1:45" x14ac:dyDescent="0.25">
      <c r="A306">
        <v>55</v>
      </c>
      <c r="B306">
        <v>2001</v>
      </c>
      <c r="C306" s="8">
        <v>0</v>
      </c>
      <c r="D306">
        <v>4.2145700000000001E-2</v>
      </c>
      <c r="E306">
        <v>0.4081843</v>
      </c>
      <c r="F306">
        <v>2.9715100000000001E-2</v>
      </c>
      <c r="G306">
        <v>1.7316819999999999</v>
      </c>
      <c r="H306">
        <v>0.24188370000000001</v>
      </c>
      <c r="Q306" s="10">
        <f t="shared" si="28"/>
        <v>2.5555964456665499E-3</v>
      </c>
      <c r="AI306">
        <v>1.63108E-2</v>
      </c>
      <c r="AJ306">
        <f t="shared" si="27"/>
        <v>1.63108E-2</v>
      </c>
      <c r="AO306">
        <v>1.63108E-2</v>
      </c>
      <c r="AR306" s="8">
        <v>0</v>
      </c>
      <c r="AS306">
        <v>2.2442639999999998</v>
      </c>
    </row>
    <row r="307" spans="1:45" x14ac:dyDescent="0.25">
      <c r="A307">
        <v>55</v>
      </c>
      <c r="B307">
        <v>2002</v>
      </c>
      <c r="C307" s="8">
        <v>0</v>
      </c>
      <c r="D307">
        <v>2.5575500000000001E-2</v>
      </c>
      <c r="E307">
        <v>0.2811111</v>
      </c>
      <c r="F307">
        <v>4.7926999999999997E-2</v>
      </c>
      <c r="G307">
        <v>1.3634539999999999</v>
      </c>
      <c r="H307">
        <v>0.2339195</v>
      </c>
      <c r="Q307" s="10">
        <f t="shared" si="28"/>
        <v>4.7124771844229097E-3</v>
      </c>
      <c r="AI307">
        <v>6.4680000000000001E-2</v>
      </c>
      <c r="AJ307">
        <f t="shared" si="27"/>
        <v>6.4680000000000001E-2</v>
      </c>
      <c r="AO307">
        <v>6.4680000000000001E-2</v>
      </c>
      <c r="AR307" s="8">
        <v>0</v>
      </c>
      <c r="AS307">
        <v>1.474153</v>
      </c>
    </row>
    <row r="308" spans="1:45" x14ac:dyDescent="0.25">
      <c r="A308">
        <v>55</v>
      </c>
      <c r="B308">
        <v>2003</v>
      </c>
      <c r="C308" s="8">
        <v>0</v>
      </c>
      <c r="D308">
        <v>1.63108E-2</v>
      </c>
      <c r="E308">
        <v>0.2721693</v>
      </c>
      <c r="F308">
        <v>4.5889199999999998E-2</v>
      </c>
      <c r="G308">
        <v>1.352838</v>
      </c>
      <c r="H308">
        <v>0.23593320000000001</v>
      </c>
      <c r="Q308" s="10">
        <f t="shared" si="28"/>
        <v>4.9215913384579348E-3</v>
      </c>
      <c r="AI308">
        <v>0.22211829999999999</v>
      </c>
      <c r="AJ308">
        <f t="shared" si="27"/>
        <v>0.22211829999999999</v>
      </c>
      <c r="AO308">
        <v>0.22211829999999999</v>
      </c>
      <c r="AR308" s="8">
        <v>0</v>
      </c>
      <c r="AS308">
        <v>1.7316819999999999</v>
      </c>
    </row>
    <row r="309" spans="1:45" x14ac:dyDescent="0.25">
      <c r="A309">
        <v>55</v>
      </c>
      <c r="B309">
        <v>2004</v>
      </c>
      <c r="C309" s="8">
        <v>0</v>
      </c>
      <c r="D309">
        <v>6.4680000000000001E-2</v>
      </c>
      <c r="E309">
        <v>0.29636099999999999</v>
      </c>
      <c r="F309">
        <v>4.7251099999999997E-2</v>
      </c>
      <c r="G309">
        <v>1.576857</v>
      </c>
      <c r="H309">
        <v>0.2395021</v>
      </c>
      <c r="Q309" s="10">
        <f t="shared" si="28"/>
        <v>3.3682147769051145E-3</v>
      </c>
      <c r="AI309">
        <v>0.26025140000000002</v>
      </c>
      <c r="AJ309">
        <f t="shared" si="27"/>
        <v>0.26025140000000002</v>
      </c>
      <c r="AO309">
        <v>0.26025140000000002</v>
      </c>
      <c r="AR309" s="8">
        <v>0</v>
      </c>
      <c r="AS309">
        <v>1.3634539999999999</v>
      </c>
    </row>
    <row r="310" spans="1:45" x14ac:dyDescent="0.25">
      <c r="A310">
        <v>56</v>
      </c>
      <c r="B310">
        <v>1999</v>
      </c>
      <c r="C310" s="8">
        <v>0</v>
      </c>
      <c r="D310">
        <v>0.22211829999999999</v>
      </c>
      <c r="E310">
        <v>5.3949999999999996E-3</v>
      </c>
      <c r="F310">
        <v>2.6277600000000002E-2</v>
      </c>
      <c r="G310">
        <v>1.778181</v>
      </c>
      <c r="H310">
        <v>0.2066645</v>
      </c>
      <c r="Q310" s="10">
        <f t="shared" si="28"/>
        <v>4.6091268197928099E-3</v>
      </c>
      <c r="AI310">
        <v>0.26958130000000002</v>
      </c>
      <c r="AJ310">
        <f t="shared" si="27"/>
        <v>0.26958130000000002</v>
      </c>
      <c r="AO310">
        <v>0.26958130000000002</v>
      </c>
      <c r="AR310" s="8">
        <v>0</v>
      </c>
      <c r="AS310">
        <v>1.352838</v>
      </c>
    </row>
    <row r="311" spans="1:45" x14ac:dyDescent="0.25">
      <c r="A311">
        <v>56</v>
      </c>
      <c r="B311">
        <v>2000</v>
      </c>
      <c r="C311" s="8">
        <v>0</v>
      </c>
      <c r="D311">
        <v>0.26025140000000002</v>
      </c>
      <c r="E311">
        <v>-1.51746E-2</v>
      </c>
      <c r="F311">
        <v>5.52845E-2</v>
      </c>
      <c r="G311">
        <v>4.0722849999999999</v>
      </c>
      <c r="H311">
        <v>0.24038380000000001</v>
      </c>
      <c r="Q311" s="10">
        <f t="shared" si="28"/>
        <v>1.0139468023253152E-4</v>
      </c>
      <c r="AI311">
        <v>0.2147609</v>
      </c>
      <c r="AJ311">
        <f t="shared" si="27"/>
        <v>0.2147609</v>
      </c>
      <c r="AO311">
        <v>0.2147609</v>
      </c>
      <c r="AR311" s="8">
        <v>0</v>
      </c>
      <c r="AS311">
        <v>1.576857</v>
      </c>
    </row>
    <row r="312" spans="1:45" x14ac:dyDescent="0.25">
      <c r="A312">
        <v>56</v>
      </c>
      <c r="B312">
        <v>2002</v>
      </c>
      <c r="C312" s="8">
        <v>0</v>
      </c>
      <c r="D312">
        <v>0.26958130000000002</v>
      </c>
      <c r="E312">
        <v>2.9142100000000001E-2</v>
      </c>
      <c r="F312">
        <v>4.7929399999999997E-2</v>
      </c>
      <c r="G312">
        <v>3.6360779999999999</v>
      </c>
      <c r="H312">
        <v>0.23490730000000001</v>
      </c>
      <c r="Q312" s="10">
        <f t="shared" si="28"/>
        <v>2.0213295268438591E-4</v>
      </c>
      <c r="AI312">
        <v>0.27787420000000002</v>
      </c>
      <c r="AJ312">
        <f t="shared" si="27"/>
        <v>0.27787420000000002</v>
      </c>
      <c r="AO312">
        <v>0.27787420000000002</v>
      </c>
      <c r="AR312" s="8">
        <v>0</v>
      </c>
      <c r="AS312">
        <v>1.778181</v>
      </c>
    </row>
    <row r="313" spans="1:45" x14ac:dyDescent="0.25">
      <c r="A313">
        <v>56</v>
      </c>
      <c r="B313">
        <v>2003</v>
      </c>
      <c r="C313" s="8">
        <v>0</v>
      </c>
      <c r="D313">
        <v>0.2147609</v>
      </c>
      <c r="E313">
        <v>2.40678E-2</v>
      </c>
      <c r="F313">
        <v>5.76645E-2</v>
      </c>
      <c r="G313">
        <v>3.6762229999999998</v>
      </c>
      <c r="H313">
        <v>0.25105139999999998</v>
      </c>
      <c r="Q313" s="10">
        <f t="shared" si="28"/>
        <v>1.7447344705968012E-4</v>
      </c>
      <c r="AI313">
        <v>0.10246230000000001</v>
      </c>
      <c r="AJ313">
        <f t="shared" si="27"/>
        <v>0.10246230000000001</v>
      </c>
      <c r="AO313">
        <v>0.10246230000000001</v>
      </c>
      <c r="AR313" s="8">
        <v>0</v>
      </c>
      <c r="AS313">
        <v>4.0722849999999999</v>
      </c>
    </row>
    <row r="314" spans="1:45" x14ac:dyDescent="0.25">
      <c r="A314">
        <v>56</v>
      </c>
      <c r="B314">
        <v>2004</v>
      </c>
      <c r="C314" s="8">
        <v>0</v>
      </c>
      <c r="D314">
        <v>0.27787420000000002</v>
      </c>
      <c r="E314">
        <v>8.6945300000000003E-2</v>
      </c>
      <c r="F314">
        <v>6.6778100000000007E-2</v>
      </c>
      <c r="G314">
        <v>4.9211530000000003</v>
      </c>
      <c r="H314">
        <v>0.27818019999999999</v>
      </c>
      <c r="Q314" s="10">
        <f t="shared" si="28"/>
        <v>2.1256297519793515E-5</v>
      </c>
      <c r="AI314">
        <v>0.14690529999999999</v>
      </c>
      <c r="AJ314">
        <f t="shared" si="27"/>
        <v>0.14690529999999999</v>
      </c>
      <c r="AO314">
        <v>0.14690529999999999</v>
      </c>
      <c r="AR314" s="8">
        <v>0</v>
      </c>
      <c r="AS314">
        <v>3.6360779999999999</v>
      </c>
    </row>
    <row r="315" spans="1:45" x14ac:dyDescent="0.25">
      <c r="A315">
        <v>57</v>
      </c>
      <c r="B315">
        <v>1999</v>
      </c>
      <c r="C315" s="8">
        <v>0</v>
      </c>
      <c r="D315">
        <v>0.10246230000000001</v>
      </c>
      <c r="E315">
        <v>0.18714330000000001</v>
      </c>
      <c r="F315">
        <v>5.8539000000000001E-2</v>
      </c>
      <c r="G315">
        <v>0.59142760000000005</v>
      </c>
      <c r="H315">
        <v>0.32672430000000002</v>
      </c>
      <c r="Q315" s="10">
        <f t="shared" si="28"/>
        <v>1.8317670792399397E-2</v>
      </c>
      <c r="AI315">
        <v>0.13354369999999999</v>
      </c>
      <c r="AJ315">
        <f t="shared" si="27"/>
        <v>0.13354369999999999</v>
      </c>
      <c r="AO315">
        <v>0.13354369999999999</v>
      </c>
      <c r="AR315" s="8">
        <v>0</v>
      </c>
      <c r="AS315">
        <v>3.6762229999999998</v>
      </c>
    </row>
    <row r="316" spans="1:45" x14ac:dyDescent="0.25">
      <c r="A316">
        <v>57</v>
      </c>
      <c r="B316">
        <v>2000</v>
      </c>
      <c r="C316" s="8">
        <v>0</v>
      </c>
      <c r="D316">
        <v>0.14690529999999999</v>
      </c>
      <c r="E316">
        <v>0.2236871</v>
      </c>
      <c r="F316">
        <v>6.6673499999999997E-2</v>
      </c>
      <c r="G316">
        <v>0.69170920000000002</v>
      </c>
      <c r="H316">
        <v>0.3465143</v>
      </c>
      <c r="Q316" s="10">
        <f t="shared" si="28"/>
        <v>1.4361589359858269E-2</v>
      </c>
      <c r="AI316">
        <v>6.9021200000000005E-2</v>
      </c>
      <c r="AJ316">
        <f t="shared" si="27"/>
        <v>6.9021200000000005E-2</v>
      </c>
      <c r="AO316">
        <v>6.9021200000000005E-2</v>
      </c>
      <c r="AR316" s="8">
        <v>0</v>
      </c>
      <c r="AS316">
        <v>4.9211530000000003</v>
      </c>
    </row>
    <row r="317" spans="1:45" x14ac:dyDescent="0.25">
      <c r="A317">
        <v>57</v>
      </c>
      <c r="B317">
        <v>2001</v>
      </c>
      <c r="C317" s="8">
        <v>0</v>
      </c>
      <c r="D317">
        <v>0.13354369999999999</v>
      </c>
      <c r="E317">
        <v>0.19280159999999999</v>
      </c>
      <c r="F317">
        <v>4.7400999999999999E-2</v>
      </c>
      <c r="G317">
        <v>1.1007020000000001</v>
      </c>
      <c r="H317">
        <v>0.39131959999999999</v>
      </c>
      <c r="Q317" s="10">
        <f t="shared" si="28"/>
        <v>9.3851138237947586E-3</v>
      </c>
      <c r="AI317">
        <v>4.5301500000000001E-2</v>
      </c>
      <c r="AJ317">
        <f t="shared" si="27"/>
        <v>4.5301500000000001E-2</v>
      </c>
      <c r="AO317">
        <v>4.5301500000000001E-2</v>
      </c>
      <c r="AR317" s="8">
        <v>0</v>
      </c>
      <c r="AS317">
        <v>0.59142760000000005</v>
      </c>
    </row>
    <row r="318" spans="1:45" x14ac:dyDescent="0.25">
      <c r="A318">
        <v>57</v>
      </c>
      <c r="B318">
        <v>2002</v>
      </c>
      <c r="C318" s="8">
        <v>0</v>
      </c>
      <c r="D318">
        <v>6.9021200000000005E-2</v>
      </c>
      <c r="E318">
        <v>0.1380256</v>
      </c>
      <c r="F318">
        <v>4.8250300000000003E-2</v>
      </c>
      <c r="G318">
        <v>0.81767080000000003</v>
      </c>
      <c r="H318">
        <v>0.2447781</v>
      </c>
      <c r="Q318" s="10">
        <f t="shared" si="28"/>
        <v>1.402395822210528E-2</v>
      </c>
      <c r="AI318">
        <v>9.6369499999999997E-2</v>
      </c>
      <c r="AJ318">
        <f t="shared" si="27"/>
        <v>9.6369499999999997E-2</v>
      </c>
      <c r="AO318">
        <v>9.6369499999999997E-2</v>
      </c>
      <c r="AR318" s="8">
        <v>0</v>
      </c>
      <c r="AS318">
        <v>0.69170920000000002</v>
      </c>
    </row>
    <row r="319" spans="1:45" x14ac:dyDescent="0.25">
      <c r="A319">
        <v>57</v>
      </c>
      <c r="B319">
        <v>2003</v>
      </c>
      <c r="C319" s="8">
        <v>0</v>
      </c>
      <c r="D319">
        <v>4.5301500000000001E-2</v>
      </c>
      <c r="E319">
        <v>0.21648300000000001</v>
      </c>
      <c r="F319">
        <v>5.1294399999999997E-2</v>
      </c>
      <c r="G319">
        <v>1.074387</v>
      </c>
      <c r="H319">
        <v>0.3212122</v>
      </c>
      <c r="Q319" s="10">
        <f t="shared" si="28"/>
        <v>8.4688431098220909E-3</v>
      </c>
      <c r="AI319">
        <v>-1.4646299999999999E-2</v>
      </c>
      <c r="AJ319">
        <f t="shared" si="27"/>
        <v>-1.4646299999999999E-2</v>
      </c>
      <c r="AO319">
        <v>-1.4646299999999999E-2</v>
      </c>
      <c r="AR319" s="8">
        <v>0</v>
      </c>
      <c r="AS319">
        <v>1.1007020000000001</v>
      </c>
    </row>
    <row r="320" spans="1:45" x14ac:dyDescent="0.25">
      <c r="A320">
        <v>57</v>
      </c>
      <c r="B320">
        <v>2004</v>
      </c>
      <c r="C320" s="8">
        <v>0</v>
      </c>
      <c r="D320">
        <v>9.6369499999999997E-2</v>
      </c>
      <c r="E320">
        <v>0.25255490000000003</v>
      </c>
      <c r="F320">
        <v>5.2733700000000001E-2</v>
      </c>
      <c r="G320">
        <v>1.5024660000000001</v>
      </c>
      <c r="H320">
        <v>0.3071044</v>
      </c>
      <c r="Q320" s="10">
        <f t="shared" si="28"/>
        <v>4.0840097191359734E-3</v>
      </c>
      <c r="AI320">
        <v>1.9153300000000002E-2</v>
      </c>
      <c r="AJ320">
        <f t="shared" si="27"/>
        <v>1.9153300000000002E-2</v>
      </c>
      <c r="AO320">
        <v>1.9153300000000002E-2</v>
      </c>
      <c r="AR320" s="8">
        <v>0</v>
      </c>
      <c r="AS320">
        <v>0.81767080000000003</v>
      </c>
    </row>
    <row r="321" spans="1:45" x14ac:dyDescent="0.25">
      <c r="A321">
        <v>58</v>
      </c>
      <c r="B321">
        <v>1999</v>
      </c>
      <c r="C321" s="8">
        <v>0</v>
      </c>
      <c r="D321">
        <v>-1.4646299999999999E-2</v>
      </c>
      <c r="E321">
        <v>0.18303220000000001</v>
      </c>
      <c r="F321">
        <v>3.8386099999999999E-2</v>
      </c>
      <c r="G321">
        <v>0.68971280000000001</v>
      </c>
      <c r="H321">
        <v>0.1108645</v>
      </c>
      <c r="Q321" s="10">
        <f t="shared" si="28"/>
        <v>1.5471727041170046E-2</v>
      </c>
      <c r="AI321">
        <v>-8.6530399999999993E-2</v>
      </c>
      <c r="AJ321">
        <f t="shared" si="27"/>
        <v>-8.6530399999999993E-2</v>
      </c>
      <c r="AO321">
        <v>-8.6530399999999993E-2</v>
      </c>
      <c r="AR321" s="8">
        <v>0</v>
      </c>
      <c r="AS321">
        <v>1.074387</v>
      </c>
    </row>
    <row r="322" spans="1:45" x14ac:dyDescent="0.25">
      <c r="A322">
        <v>58</v>
      </c>
      <c r="B322">
        <v>2000</v>
      </c>
      <c r="C322" s="8">
        <v>0</v>
      </c>
      <c r="D322">
        <v>1.9153300000000002E-2</v>
      </c>
      <c r="E322">
        <v>0.1710883</v>
      </c>
      <c r="F322">
        <v>4.8810199999999998E-2</v>
      </c>
      <c r="G322">
        <v>0.76789339999999995</v>
      </c>
      <c r="H322">
        <v>0.1061879</v>
      </c>
      <c r="Q322" s="10">
        <f t="shared" si="28"/>
        <v>1.2962536315001235E-2</v>
      </c>
      <c r="AI322">
        <v>9.1900700000000002E-2</v>
      </c>
      <c r="AJ322">
        <f t="shared" si="27"/>
        <v>9.1900700000000002E-2</v>
      </c>
      <c r="AO322">
        <v>9.1900700000000002E-2</v>
      </c>
      <c r="AR322" s="8">
        <v>0</v>
      </c>
      <c r="AS322">
        <v>1.5024660000000001</v>
      </c>
    </row>
    <row r="323" spans="1:45" x14ac:dyDescent="0.25">
      <c r="A323">
        <v>58</v>
      </c>
      <c r="B323">
        <v>2001</v>
      </c>
      <c r="C323" s="8">
        <v>0</v>
      </c>
      <c r="D323">
        <v>-8.6530399999999993E-2</v>
      </c>
      <c r="E323">
        <v>0.15532589999999999</v>
      </c>
      <c r="F323">
        <v>-4.4930000000000002E-4</v>
      </c>
      <c r="G323">
        <v>0.45342189999999999</v>
      </c>
      <c r="H323">
        <v>9.3439599999999998E-2</v>
      </c>
      <c r="Q323" s="10">
        <f t="shared" si="28"/>
        <v>3.0287891450911937E-2</v>
      </c>
      <c r="AI323">
        <v>7.5104199999999996E-2</v>
      </c>
      <c r="AJ323">
        <f t="shared" si="27"/>
        <v>7.5104199999999996E-2</v>
      </c>
      <c r="AO323">
        <v>7.5104199999999996E-2</v>
      </c>
      <c r="AR323" s="8">
        <v>0</v>
      </c>
      <c r="AS323">
        <v>0.68971280000000001</v>
      </c>
    </row>
    <row r="324" spans="1:45" x14ac:dyDescent="0.25">
      <c r="A324">
        <v>58</v>
      </c>
      <c r="B324">
        <v>2002</v>
      </c>
      <c r="C324" s="8">
        <v>0</v>
      </c>
      <c r="D324">
        <v>9.1900700000000002E-2</v>
      </c>
      <c r="E324">
        <v>0.15276790000000001</v>
      </c>
      <c r="F324">
        <v>3.2725799999999999E-2</v>
      </c>
      <c r="G324">
        <v>0.4805025</v>
      </c>
      <c r="H324">
        <v>0.1235142</v>
      </c>
      <c r="Q324" s="10">
        <f t="shared" si="28"/>
        <v>2.4638971938525066E-2</v>
      </c>
      <c r="AI324">
        <v>8.1463599999999997E-2</v>
      </c>
      <c r="AJ324">
        <f t="shared" si="27"/>
        <v>8.1463599999999997E-2</v>
      </c>
      <c r="AO324">
        <v>8.1463599999999997E-2</v>
      </c>
      <c r="AR324" s="8">
        <v>0</v>
      </c>
      <c r="AS324">
        <v>0.76789339999999995</v>
      </c>
    </row>
    <row r="325" spans="1:45" x14ac:dyDescent="0.25">
      <c r="A325">
        <v>58</v>
      </c>
      <c r="B325">
        <v>2003</v>
      </c>
      <c r="C325" s="8">
        <v>0</v>
      </c>
      <c r="D325">
        <v>7.5104199999999996E-2</v>
      </c>
      <c r="E325">
        <v>0.14304020000000001</v>
      </c>
      <c r="F325">
        <v>3.9500100000000003E-2</v>
      </c>
      <c r="G325">
        <v>0.60204270000000004</v>
      </c>
      <c r="H325">
        <v>0.17841219999999999</v>
      </c>
      <c r="Q325" s="10">
        <f t="shared" si="28"/>
        <v>2.0131221906691189E-2</v>
      </c>
      <c r="AI325">
        <v>0.33351249999999999</v>
      </c>
      <c r="AJ325">
        <f t="shared" ref="AJ325:AJ388" si="29">MAX(MIN(AI325,AM$5),AM$4)</f>
        <v>0.33351249999999999</v>
      </c>
      <c r="AO325">
        <v>0.33351249999999999</v>
      </c>
      <c r="AR325" s="8">
        <v>0</v>
      </c>
      <c r="AS325">
        <v>0.45342189999999999</v>
      </c>
    </row>
    <row r="326" spans="1:45" x14ac:dyDescent="0.25">
      <c r="A326">
        <v>58</v>
      </c>
      <c r="B326">
        <v>2004</v>
      </c>
      <c r="C326" s="8">
        <v>0</v>
      </c>
      <c r="D326">
        <v>8.1463599999999997E-2</v>
      </c>
      <c r="E326">
        <v>0.16118260000000001</v>
      </c>
      <c r="F326">
        <v>5.6421899999999997E-2</v>
      </c>
      <c r="G326">
        <v>0.64002210000000004</v>
      </c>
      <c r="H326">
        <v>0.2137973</v>
      </c>
      <c r="Q326" s="10">
        <f t="shared" si="28"/>
        <v>1.6579917438444246E-2</v>
      </c>
      <c r="AI326">
        <v>0.1988771</v>
      </c>
      <c r="AJ326">
        <f t="shared" si="29"/>
        <v>0.1988771</v>
      </c>
      <c r="AO326">
        <v>0.1988771</v>
      </c>
      <c r="AR326" s="8">
        <v>0</v>
      </c>
      <c r="AS326">
        <v>0.4805025</v>
      </c>
    </row>
    <row r="327" spans="1:45" x14ac:dyDescent="0.25">
      <c r="A327">
        <v>59</v>
      </c>
      <c r="B327">
        <v>1998</v>
      </c>
      <c r="C327" s="8">
        <v>0</v>
      </c>
      <c r="D327">
        <v>0.33351249999999999</v>
      </c>
      <c r="E327">
        <v>0.12504509999999999</v>
      </c>
      <c r="F327">
        <v>-5.0880000000000001E-4</v>
      </c>
      <c r="G327">
        <v>0.8125715</v>
      </c>
      <c r="H327">
        <v>0.30124879999999998</v>
      </c>
      <c r="Q327" s="10">
        <f t="shared" ref="Q327:Q390" si="30">1/(1+EXP(-(J$6+SUMPRODUCT(K$6:O$6,D327:H327))))</f>
        <v>2.4334181607134873E-2</v>
      </c>
      <c r="AI327">
        <v>0.198992</v>
      </c>
      <c r="AJ327">
        <f t="shared" si="29"/>
        <v>0.198992</v>
      </c>
      <c r="AO327">
        <v>0.198992</v>
      </c>
      <c r="AR327" s="8">
        <v>0</v>
      </c>
      <c r="AS327">
        <v>0.60204270000000004</v>
      </c>
    </row>
    <row r="328" spans="1:45" x14ac:dyDescent="0.25">
      <c r="A328">
        <v>60</v>
      </c>
      <c r="B328">
        <v>1999</v>
      </c>
      <c r="C328" s="8">
        <v>0</v>
      </c>
      <c r="D328">
        <v>0.1988771</v>
      </c>
      <c r="E328">
        <v>0.22770180000000001</v>
      </c>
      <c r="F328">
        <v>4.3153299999999999E-2</v>
      </c>
      <c r="G328">
        <v>0.52411750000000001</v>
      </c>
      <c r="H328">
        <v>0.16808119999999999</v>
      </c>
      <c r="Q328" s="10">
        <f t="shared" si="30"/>
        <v>2.046425486175377E-2</v>
      </c>
      <c r="AI328">
        <v>0.1990538</v>
      </c>
      <c r="AJ328">
        <f t="shared" si="29"/>
        <v>0.1990538</v>
      </c>
      <c r="AO328">
        <v>0.1990538</v>
      </c>
      <c r="AR328" s="8">
        <v>0</v>
      </c>
      <c r="AS328">
        <v>0.64002210000000004</v>
      </c>
    </row>
    <row r="329" spans="1:45" x14ac:dyDescent="0.25">
      <c r="A329">
        <v>60</v>
      </c>
      <c r="B329">
        <v>2000</v>
      </c>
      <c r="C329" s="8">
        <v>0</v>
      </c>
      <c r="D329">
        <v>0.198992</v>
      </c>
      <c r="E329">
        <v>0.21772340000000001</v>
      </c>
      <c r="F329">
        <v>2.83127E-2</v>
      </c>
      <c r="G329">
        <v>0.15616650000000001</v>
      </c>
      <c r="H329">
        <v>0.15827559999999999</v>
      </c>
      <c r="Q329" s="10">
        <f t="shared" si="30"/>
        <v>4.0900837718907859E-2</v>
      </c>
      <c r="AI329">
        <v>0.20102510000000001</v>
      </c>
      <c r="AJ329">
        <f t="shared" si="29"/>
        <v>0.20102510000000001</v>
      </c>
      <c r="AO329">
        <v>0.20102510000000001</v>
      </c>
      <c r="AR329" s="8">
        <v>0</v>
      </c>
      <c r="AS329">
        <v>0.8125715</v>
      </c>
    </row>
    <row r="330" spans="1:45" x14ac:dyDescent="0.25">
      <c r="A330">
        <v>60</v>
      </c>
      <c r="B330">
        <v>2001</v>
      </c>
      <c r="C330" s="8">
        <v>0</v>
      </c>
      <c r="D330">
        <v>0.1990538</v>
      </c>
      <c r="E330">
        <v>0.20319029999999999</v>
      </c>
      <c r="F330">
        <v>3.9430899999999998E-2</v>
      </c>
      <c r="G330">
        <v>0.2289765</v>
      </c>
      <c r="H330">
        <v>0.17459340000000001</v>
      </c>
      <c r="Q330" s="10">
        <f t="shared" si="30"/>
        <v>3.4605000545938347E-2</v>
      </c>
      <c r="AI330">
        <v>0.21463499999999999</v>
      </c>
      <c r="AJ330">
        <f t="shared" si="29"/>
        <v>0.21463499999999999</v>
      </c>
      <c r="AO330">
        <v>0.21463499999999999</v>
      </c>
      <c r="AR330" s="8">
        <v>0</v>
      </c>
      <c r="AS330">
        <v>0.52411750000000001</v>
      </c>
    </row>
    <row r="331" spans="1:45" x14ac:dyDescent="0.25">
      <c r="A331">
        <v>60</v>
      </c>
      <c r="B331">
        <v>2002</v>
      </c>
      <c r="C331" s="8">
        <v>0</v>
      </c>
      <c r="D331">
        <v>0.20102510000000001</v>
      </c>
      <c r="E331">
        <v>9.5109200000000005E-2</v>
      </c>
      <c r="F331">
        <v>1.85191E-2</v>
      </c>
      <c r="G331">
        <v>0.12553329999999999</v>
      </c>
      <c r="H331">
        <v>5.9386399999999999E-2</v>
      </c>
      <c r="Q331" s="10">
        <f t="shared" si="30"/>
        <v>5.166902718742572E-2</v>
      </c>
      <c r="AI331">
        <v>0.20129639999999999</v>
      </c>
      <c r="AJ331">
        <f t="shared" si="29"/>
        <v>0.20129639999999999</v>
      </c>
      <c r="AO331">
        <v>0.20129639999999999</v>
      </c>
      <c r="AR331" s="8">
        <v>0</v>
      </c>
      <c r="AS331">
        <v>0.15616650000000001</v>
      </c>
    </row>
    <row r="332" spans="1:45" x14ac:dyDescent="0.25">
      <c r="A332">
        <v>61</v>
      </c>
      <c r="B332">
        <v>1997</v>
      </c>
      <c r="C332" s="8">
        <v>0</v>
      </c>
      <c r="D332">
        <v>0.21463499999999999</v>
      </c>
      <c r="E332">
        <v>0.37858350000000002</v>
      </c>
      <c r="F332">
        <v>6.4120899999999995E-2</v>
      </c>
      <c r="G332">
        <v>2.6424690000000002</v>
      </c>
      <c r="H332">
        <v>0.2752812</v>
      </c>
      <c r="Q332" s="10">
        <f t="shared" si="30"/>
        <v>5.2147174611288482E-4</v>
      </c>
      <c r="AI332">
        <v>0.1975124</v>
      </c>
      <c r="AJ332">
        <f t="shared" si="29"/>
        <v>0.1975124</v>
      </c>
      <c r="AO332">
        <v>0.1975124</v>
      </c>
      <c r="AR332" s="8">
        <v>0</v>
      </c>
      <c r="AS332">
        <v>0.2289765</v>
      </c>
    </row>
    <row r="333" spans="1:45" x14ac:dyDescent="0.25">
      <c r="A333">
        <v>61</v>
      </c>
      <c r="B333">
        <v>1998</v>
      </c>
      <c r="C333" s="8">
        <v>0</v>
      </c>
      <c r="D333">
        <v>0.20129639999999999</v>
      </c>
      <c r="E333">
        <v>0.42991699999999999</v>
      </c>
      <c r="F333">
        <v>6.9620199999999993E-2</v>
      </c>
      <c r="G333">
        <v>5.2131619999999996</v>
      </c>
      <c r="H333">
        <v>0.28095360000000003</v>
      </c>
      <c r="Q333" s="10">
        <f t="shared" si="30"/>
        <v>7.6897340911643366E-6</v>
      </c>
      <c r="AI333">
        <v>0.31819819999999999</v>
      </c>
      <c r="AJ333">
        <f t="shared" si="29"/>
        <v>0.31819819999999999</v>
      </c>
      <c r="AO333">
        <v>0.31819819999999999</v>
      </c>
      <c r="AR333" s="8">
        <v>0</v>
      </c>
      <c r="AS333">
        <v>0.12553329999999999</v>
      </c>
    </row>
    <row r="334" spans="1:45" x14ac:dyDescent="0.25">
      <c r="A334">
        <v>61</v>
      </c>
      <c r="B334">
        <v>1999</v>
      </c>
      <c r="C334" s="8">
        <v>0</v>
      </c>
      <c r="D334">
        <v>0.1975124</v>
      </c>
      <c r="E334">
        <v>0.41628229999999999</v>
      </c>
      <c r="F334">
        <v>6.3187199999999999E-2</v>
      </c>
      <c r="G334">
        <v>4.9574699999999998</v>
      </c>
      <c r="H334">
        <v>0.26622879999999999</v>
      </c>
      <c r="Q334" s="10">
        <f t="shared" si="30"/>
        <v>1.2279616081429623E-5</v>
      </c>
      <c r="AI334">
        <v>0.36793540000000002</v>
      </c>
      <c r="AJ334">
        <f t="shared" si="29"/>
        <v>0.36793540000000002</v>
      </c>
      <c r="AO334">
        <v>0.36793540000000002</v>
      </c>
      <c r="AR334" s="8">
        <v>0</v>
      </c>
      <c r="AS334">
        <v>2.6424690000000002</v>
      </c>
    </row>
    <row r="335" spans="1:45" x14ac:dyDescent="0.25">
      <c r="A335">
        <v>61</v>
      </c>
      <c r="B335">
        <v>2000</v>
      </c>
      <c r="C335" s="8">
        <v>0</v>
      </c>
      <c r="D335">
        <v>0.31819819999999999</v>
      </c>
      <c r="E335">
        <v>0.43101889999999998</v>
      </c>
      <c r="F335">
        <v>7.1914900000000004E-2</v>
      </c>
      <c r="G335">
        <v>5.0157670000000003</v>
      </c>
      <c r="H335">
        <v>0.29212779999999999</v>
      </c>
      <c r="Q335" s="10">
        <f t="shared" si="30"/>
        <v>1.0911979080305453E-5</v>
      </c>
      <c r="AI335">
        <v>0.3609639</v>
      </c>
      <c r="AJ335">
        <f t="shared" si="29"/>
        <v>0.3609639</v>
      </c>
      <c r="AO335">
        <v>0.3609639</v>
      </c>
      <c r="AR335" s="8">
        <v>0</v>
      </c>
      <c r="AS335">
        <v>5.2131619999999996</v>
      </c>
    </row>
    <row r="336" spans="1:45" x14ac:dyDescent="0.25">
      <c r="A336">
        <v>61</v>
      </c>
      <c r="B336">
        <v>2001</v>
      </c>
      <c r="C336" s="8">
        <v>0</v>
      </c>
      <c r="D336">
        <v>0.36793540000000002</v>
      </c>
      <c r="E336">
        <v>0.45890629999999999</v>
      </c>
      <c r="F336">
        <v>7.6023800000000002E-2</v>
      </c>
      <c r="G336">
        <v>7.487317</v>
      </c>
      <c r="H336">
        <v>0.28440549999999998</v>
      </c>
      <c r="Q336" s="10">
        <f t="shared" si="30"/>
        <v>2.0061514040039102E-7</v>
      </c>
      <c r="AI336">
        <v>0.30673879999999998</v>
      </c>
      <c r="AJ336">
        <f t="shared" si="29"/>
        <v>0.30673879999999998</v>
      </c>
      <c r="AO336">
        <v>0.30673879999999998</v>
      </c>
      <c r="AR336" s="8">
        <v>0</v>
      </c>
      <c r="AS336">
        <v>4.9574699999999998</v>
      </c>
    </row>
    <row r="337" spans="1:45" x14ac:dyDescent="0.25">
      <c r="A337">
        <v>61</v>
      </c>
      <c r="B337">
        <v>2002</v>
      </c>
      <c r="C337" s="8">
        <v>0</v>
      </c>
      <c r="D337">
        <v>0.3609639</v>
      </c>
      <c r="E337">
        <v>0.43812420000000002</v>
      </c>
      <c r="F337">
        <v>9.0556999999999999E-2</v>
      </c>
      <c r="G337">
        <v>5.619802</v>
      </c>
      <c r="H337">
        <v>0.25452540000000001</v>
      </c>
      <c r="Q337" s="10">
        <f t="shared" si="30"/>
        <v>3.533363430791834E-6</v>
      </c>
      <c r="AI337">
        <v>0.3664809</v>
      </c>
      <c r="AJ337">
        <f t="shared" si="29"/>
        <v>0.3664809</v>
      </c>
      <c r="AO337">
        <v>0.3664809</v>
      </c>
      <c r="AR337" s="8">
        <v>0</v>
      </c>
      <c r="AS337">
        <v>5.0157670000000003</v>
      </c>
    </row>
    <row r="338" spans="1:45" x14ac:dyDescent="0.25">
      <c r="A338">
        <v>61</v>
      </c>
      <c r="B338">
        <v>2003</v>
      </c>
      <c r="C338" s="8">
        <v>0</v>
      </c>
      <c r="D338">
        <v>0.30673879999999998</v>
      </c>
      <c r="E338">
        <v>0.43942219999999999</v>
      </c>
      <c r="F338">
        <v>7.1205099999999993E-2</v>
      </c>
      <c r="G338">
        <v>6.5491450000000002</v>
      </c>
      <c r="H338">
        <v>0.24188570000000001</v>
      </c>
      <c r="Q338" s="10">
        <f t="shared" si="30"/>
        <v>9.0833980737453778E-7</v>
      </c>
      <c r="AI338">
        <v>2.95616E-2</v>
      </c>
      <c r="AJ338">
        <f t="shared" si="29"/>
        <v>2.95616E-2</v>
      </c>
      <c r="AO338">
        <v>2.95616E-2</v>
      </c>
      <c r="AR338" s="8">
        <v>0</v>
      </c>
      <c r="AS338">
        <v>7.487317</v>
      </c>
    </row>
    <row r="339" spans="1:45" x14ac:dyDescent="0.25">
      <c r="A339">
        <v>61</v>
      </c>
      <c r="B339">
        <v>2004</v>
      </c>
      <c r="C339" s="8">
        <v>0</v>
      </c>
      <c r="D339">
        <v>0.3664809</v>
      </c>
      <c r="E339">
        <v>0.47917270000000001</v>
      </c>
      <c r="F339">
        <v>7.4601700000000007E-2</v>
      </c>
      <c r="G339">
        <v>10.345940000000001</v>
      </c>
      <c r="H339">
        <v>0.22860620000000001</v>
      </c>
      <c r="Q339" s="10">
        <f t="shared" si="30"/>
        <v>1.9989628383929375E-9</v>
      </c>
      <c r="AI339">
        <v>3.2088600000000002E-2</v>
      </c>
      <c r="AJ339">
        <f t="shared" si="29"/>
        <v>3.2088600000000002E-2</v>
      </c>
      <c r="AO339">
        <v>3.2088600000000002E-2</v>
      </c>
      <c r="AR339" s="8">
        <v>0</v>
      </c>
      <c r="AS339">
        <v>5.619802</v>
      </c>
    </row>
    <row r="340" spans="1:45" x14ac:dyDescent="0.25">
      <c r="A340">
        <v>62</v>
      </c>
      <c r="B340">
        <v>1997</v>
      </c>
      <c r="C340" s="8">
        <v>0</v>
      </c>
      <c r="D340">
        <v>2.95616E-2</v>
      </c>
      <c r="E340">
        <v>0.21136160000000001</v>
      </c>
      <c r="F340">
        <v>5.2333299999999999E-2</v>
      </c>
      <c r="G340">
        <v>2.1049090000000001</v>
      </c>
      <c r="H340">
        <v>0.19883290000000001</v>
      </c>
      <c r="Q340" s="10">
        <f t="shared" si="30"/>
        <v>1.5187959179899196E-3</v>
      </c>
      <c r="AI340">
        <v>5.8323300000000002E-2</v>
      </c>
      <c r="AJ340">
        <f t="shared" si="29"/>
        <v>5.8323300000000002E-2</v>
      </c>
      <c r="AO340">
        <v>5.8323300000000002E-2</v>
      </c>
      <c r="AR340" s="8">
        <v>0</v>
      </c>
      <c r="AS340">
        <v>6.5491450000000002</v>
      </c>
    </row>
    <row r="341" spans="1:45" x14ac:dyDescent="0.25">
      <c r="A341">
        <v>62</v>
      </c>
      <c r="B341">
        <v>1998</v>
      </c>
      <c r="C341" s="8">
        <v>0</v>
      </c>
      <c r="D341">
        <v>3.2088600000000002E-2</v>
      </c>
      <c r="E341">
        <v>0.12044870000000001</v>
      </c>
      <c r="F341">
        <v>-0.16361039999999999</v>
      </c>
      <c r="G341">
        <v>1.5499369999999999</v>
      </c>
      <c r="H341">
        <v>0.2857383</v>
      </c>
      <c r="Q341" s="10">
        <f t="shared" si="30"/>
        <v>2.4376021732572722E-2</v>
      </c>
      <c r="AI341">
        <v>4.6558500000000003E-2</v>
      </c>
      <c r="AJ341">
        <f t="shared" si="29"/>
        <v>4.6558500000000003E-2</v>
      </c>
      <c r="AO341">
        <v>4.6558500000000003E-2</v>
      </c>
      <c r="AR341" s="8">
        <v>0</v>
      </c>
      <c r="AS341">
        <v>10.345940000000001</v>
      </c>
    </row>
    <row r="342" spans="1:45" x14ac:dyDescent="0.25">
      <c r="A342">
        <v>62</v>
      </c>
      <c r="B342">
        <v>1999</v>
      </c>
      <c r="C342" s="8">
        <v>0</v>
      </c>
      <c r="D342">
        <v>5.8323300000000002E-2</v>
      </c>
      <c r="E342">
        <v>0.13092999999999999</v>
      </c>
      <c r="F342">
        <v>2.2407300000000002E-2</v>
      </c>
      <c r="G342">
        <v>1.870107</v>
      </c>
      <c r="H342">
        <v>0.33595639999999999</v>
      </c>
      <c r="Q342" s="10">
        <f t="shared" si="30"/>
        <v>3.4672772703227381E-3</v>
      </c>
      <c r="AI342">
        <v>9.3892699999999996E-2</v>
      </c>
      <c r="AJ342">
        <f t="shared" si="29"/>
        <v>9.3892699999999996E-2</v>
      </c>
      <c r="AO342">
        <v>9.3892699999999996E-2</v>
      </c>
      <c r="AR342" s="8">
        <v>0</v>
      </c>
      <c r="AS342">
        <v>2.1049090000000001</v>
      </c>
    </row>
    <row r="343" spans="1:45" x14ac:dyDescent="0.25">
      <c r="A343">
        <v>62</v>
      </c>
      <c r="B343">
        <v>2000</v>
      </c>
      <c r="C343" s="8">
        <v>0</v>
      </c>
      <c r="D343">
        <v>4.6558500000000003E-2</v>
      </c>
      <c r="E343">
        <v>0.13012380000000001</v>
      </c>
      <c r="F343">
        <v>6.1271100000000002E-2</v>
      </c>
      <c r="G343">
        <v>2.274937</v>
      </c>
      <c r="H343">
        <v>0.47893360000000001</v>
      </c>
      <c r="Q343" s="10">
        <f t="shared" si="30"/>
        <v>1.4539474685497504E-3</v>
      </c>
      <c r="AI343">
        <v>0.1151549</v>
      </c>
      <c r="AJ343">
        <f t="shared" si="29"/>
        <v>0.1151549</v>
      </c>
      <c r="AO343">
        <v>0.1151549</v>
      </c>
      <c r="AR343" s="8">
        <v>0</v>
      </c>
      <c r="AS343">
        <v>1.5499369999999999</v>
      </c>
    </row>
    <row r="344" spans="1:45" x14ac:dyDescent="0.25">
      <c r="A344">
        <v>63</v>
      </c>
      <c r="B344">
        <v>1997</v>
      </c>
      <c r="C344" s="8">
        <v>0</v>
      </c>
      <c r="D344">
        <v>9.3892699999999996E-2</v>
      </c>
      <c r="E344">
        <v>0.25661610000000001</v>
      </c>
      <c r="F344">
        <v>3.9420499999999997E-2</v>
      </c>
      <c r="G344">
        <v>7.0842150000000004</v>
      </c>
      <c r="H344">
        <v>0.1205357</v>
      </c>
      <c r="Q344" s="10">
        <f t="shared" si="30"/>
        <v>5.5312273195034262E-7</v>
      </c>
      <c r="AI344">
        <v>0.10971499999999999</v>
      </c>
      <c r="AJ344">
        <f t="shared" si="29"/>
        <v>0.10971499999999999</v>
      </c>
      <c r="AO344">
        <v>0.10971499999999999</v>
      </c>
      <c r="AR344" s="8">
        <v>0</v>
      </c>
      <c r="AS344">
        <v>1.870107</v>
      </c>
    </row>
    <row r="345" spans="1:45" x14ac:dyDescent="0.25">
      <c r="A345">
        <v>63</v>
      </c>
      <c r="B345">
        <v>1998</v>
      </c>
      <c r="C345" s="8">
        <v>0</v>
      </c>
      <c r="D345">
        <v>0.1151549</v>
      </c>
      <c r="E345">
        <v>0.29753380000000001</v>
      </c>
      <c r="F345">
        <v>4.4184000000000001E-2</v>
      </c>
      <c r="G345">
        <v>6.9431979999999998</v>
      </c>
      <c r="H345">
        <v>0.1077574</v>
      </c>
      <c r="Q345" s="10">
        <f t="shared" si="30"/>
        <v>6.2866402104842693E-7</v>
      </c>
      <c r="AI345">
        <v>0.14100460000000001</v>
      </c>
      <c r="AJ345">
        <f t="shared" si="29"/>
        <v>0.14100460000000001</v>
      </c>
      <c r="AO345">
        <v>0.14100460000000001</v>
      </c>
      <c r="AR345" s="8">
        <v>0</v>
      </c>
      <c r="AS345">
        <v>2.274937</v>
      </c>
    </row>
    <row r="346" spans="1:45" x14ac:dyDescent="0.25">
      <c r="A346">
        <v>63</v>
      </c>
      <c r="B346">
        <v>1999</v>
      </c>
      <c r="C346" s="8">
        <v>0</v>
      </c>
      <c r="D346">
        <v>0.10971499999999999</v>
      </c>
      <c r="E346">
        <v>0.2973789</v>
      </c>
      <c r="F346">
        <v>4.0454299999999999E-2</v>
      </c>
      <c r="G346">
        <v>5.8827769999999999</v>
      </c>
      <c r="H346">
        <v>9.5808299999999999E-2</v>
      </c>
      <c r="Q346" s="10">
        <f t="shared" si="30"/>
        <v>3.4768251221205868E-6</v>
      </c>
      <c r="AI346">
        <v>0.127304</v>
      </c>
      <c r="AJ346">
        <f t="shared" si="29"/>
        <v>0.127304</v>
      </c>
      <c r="AO346">
        <v>0.127304</v>
      </c>
      <c r="AR346" s="8">
        <v>0</v>
      </c>
      <c r="AS346">
        <v>7.0842150000000004</v>
      </c>
    </row>
    <row r="347" spans="1:45" x14ac:dyDescent="0.25">
      <c r="A347">
        <v>63</v>
      </c>
      <c r="B347">
        <v>2000</v>
      </c>
      <c r="C347" s="8">
        <v>0</v>
      </c>
      <c r="D347">
        <v>0.14100460000000001</v>
      </c>
      <c r="E347">
        <v>9.6374600000000005E-2</v>
      </c>
      <c r="F347">
        <v>6.8806599999999996E-2</v>
      </c>
      <c r="G347">
        <v>4.3216960000000002</v>
      </c>
      <c r="H347">
        <v>0.1108591</v>
      </c>
      <c r="Q347" s="10">
        <f t="shared" si="30"/>
        <v>4.5676008651008533E-5</v>
      </c>
      <c r="AI347">
        <v>0.19598740000000001</v>
      </c>
      <c r="AJ347">
        <f t="shared" si="29"/>
        <v>0.19598740000000001</v>
      </c>
      <c r="AO347">
        <v>0.19598740000000001</v>
      </c>
      <c r="AR347" s="8">
        <v>0</v>
      </c>
      <c r="AS347">
        <v>6.9431979999999998</v>
      </c>
    </row>
    <row r="348" spans="1:45" x14ac:dyDescent="0.25">
      <c r="A348">
        <v>63</v>
      </c>
      <c r="B348">
        <v>2001</v>
      </c>
      <c r="C348" s="8">
        <v>0</v>
      </c>
      <c r="D348">
        <v>0.127304</v>
      </c>
      <c r="E348">
        <v>-0.13728989999999999</v>
      </c>
      <c r="F348">
        <v>2.8851000000000002E-2</v>
      </c>
      <c r="G348">
        <v>4.2823450000000003</v>
      </c>
      <c r="H348">
        <v>0.1168975</v>
      </c>
      <c r="Q348" s="10">
        <f t="shared" si="30"/>
        <v>9.3846403516063075E-5</v>
      </c>
      <c r="AI348">
        <v>0.2252343</v>
      </c>
      <c r="AJ348">
        <f t="shared" si="29"/>
        <v>0.2252343</v>
      </c>
      <c r="AO348">
        <v>0.2252343</v>
      </c>
      <c r="AR348" s="8">
        <v>0</v>
      </c>
      <c r="AS348">
        <v>5.8827769999999999</v>
      </c>
    </row>
    <row r="349" spans="1:45" x14ac:dyDescent="0.25">
      <c r="A349">
        <v>63</v>
      </c>
      <c r="B349">
        <v>2002</v>
      </c>
      <c r="C349" s="8">
        <v>0</v>
      </c>
      <c r="D349">
        <v>0.19598740000000001</v>
      </c>
      <c r="E349">
        <v>-0.1088884</v>
      </c>
      <c r="F349">
        <v>3.9818899999999997E-2</v>
      </c>
      <c r="G349">
        <v>4.3624749999999999</v>
      </c>
      <c r="H349">
        <v>0.1430633</v>
      </c>
      <c r="Q349" s="10">
        <f t="shared" si="30"/>
        <v>7.5916260829366795E-5</v>
      </c>
      <c r="AI349">
        <v>0.28891519999999998</v>
      </c>
      <c r="AJ349">
        <f t="shared" si="29"/>
        <v>0.28891519999999998</v>
      </c>
      <c r="AO349">
        <v>0.28891519999999998</v>
      </c>
      <c r="AR349" s="8">
        <v>0</v>
      </c>
      <c r="AS349">
        <v>4.3216960000000002</v>
      </c>
    </row>
    <row r="350" spans="1:45" x14ac:dyDescent="0.25">
      <c r="A350">
        <v>63</v>
      </c>
      <c r="B350">
        <v>2003</v>
      </c>
      <c r="C350" s="8">
        <v>0</v>
      </c>
      <c r="D350">
        <v>0.2252343</v>
      </c>
      <c r="E350">
        <v>-0.10129009999999999</v>
      </c>
      <c r="F350">
        <v>3.9025799999999999E-2</v>
      </c>
      <c r="G350">
        <v>6.5302110000000004</v>
      </c>
      <c r="H350">
        <v>0.1255154</v>
      </c>
      <c r="Q350" s="10">
        <f t="shared" si="30"/>
        <v>2.3911007071228507E-6</v>
      </c>
      <c r="AI350">
        <v>0.3833511</v>
      </c>
      <c r="AJ350">
        <f t="shared" si="29"/>
        <v>0.3833511</v>
      </c>
      <c r="AO350">
        <v>0.3833511</v>
      </c>
      <c r="AR350" s="8">
        <v>0</v>
      </c>
      <c r="AS350">
        <v>4.2823450000000003</v>
      </c>
    </row>
    <row r="351" spans="1:45" x14ac:dyDescent="0.25">
      <c r="A351">
        <v>63</v>
      </c>
      <c r="B351">
        <v>2004</v>
      </c>
      <c r="C351" s="8">
        <v>0</v>
      </c>
      <c r="D351">
        <v>0.28891519999999998</v>
      </c>
      <c r="E351">
        <v>-6.16663E-2</v>
      </c>
      <c r="F351">
        <v>5.1513299999999998E-2</v>
      </c>
      <c r="G351">
        <v>4.7946160000000004</v>
      </c>
      <c r="H351">
        <v>0.1100164</v>
      </c>
      <c r="Q351" s="10">
        <f t="shared" si="30"/>
        <v>3.3010945439342589E-5</v>
      </c>
      <c r="AI351">
        <v>0.28978989999999999</v>
      </c>
      <c r="AJ351">
        <f t="shared" si="29"/>
        <v>0.28978989999999999</v>
      </c>
      <c r="AO351">
        <v>0.28978989999999999</v>
      </c>
      <c r="AR351" s="8">
        <v>0</v>
      </c>
      <c r="AS351">
        <v>4.3624749999999999</v>
      </c>
    </row>
    <row r="352" spans="1:45" x14ac:dyDescent="0.25">
      <c r="A352">
        <v>64</v>
      </c>
      <c r="B352">
        <v>1999</v>
      </c>
      <c r="C352" s="8">
        <v>0</v>
      </c>
      <c r="D352">
        <v>0.3833511</v>
      </c>
      <c r="E352">
        <v>0.42472110000000002</v>
      </c>
      <c r="F352">
        <v>6.5228300000000003E-2</v>
      </c>
      <c r="G352">
        <v>1.9500679999999999</v>
      </c>
      <c r="H352">
        <v>0.16854720000000001</v>
      </c>
      <c r="Q352" s="10">
        <f t="shared" si="30"/>
        <v>1.4611035041650765E-3</v>
      </c>
      <c r="AI352">
        <v>0.27382020000000001</v>
      </c>
      <c r="AJ352">
        <f t="shared" si="29"/>
        <v>0.27382020000000001</v>
      </c>
      <c r="AO352">
        <v>0.27382020000000001</v>
      </c>
      <c r="AR352" s="8">
        <v>0</v>
      </c>
      <c r="AS352">
        <v>6.5302110000000004</v>
      </c>
    </row>
    <row r="353" spans="1:45" x14ac:dyDescent="0.25">
      <c r="A353">
        <v>64</v>
      </c>
      <c r="B353">
        <v>2000</v>
      </c>
      <c r="C353" s="8">
        <v>0</v>
      </c>
      <c r="D353">
        <v>0.28978989999999999</v>
      </c>
      <c r="E353">
        <v>0.45515939999999999</v>
      </c>
      <c r="F353">
        <v>3.9649999999999998E-2</v>
      </c>
      <c r="G353">
        <v>1.0742750000000001</v>
      </c>
      <c r="H353">
        <v>0.1760748</v>
      </c>
      <c r="Q353" s="10">
        <f t="shared" si="30"/>
        <v>6.658341438370372E-3</v>
      </c>
      <c r="AI353">
        <v>0.19179589999999999</v>
      </c>
      <c r="AJ353">
        <f t="shared" si="29"/>
        <v>0.19179589999999999</v>
      </c>
      <c r="AO353">
        <v>0.19179589999999999</v>
      </c>
      <c r="AR353" s="8">
        <v>0</v>
      </c>
      <c r="AS353">
        <v>4.7946160000000004</v>
      </c>
    </row>
    <row r="354" spans="1:45" x14ac:dyDescent="0.25">
      <c r="A354">
        <v>64</v>
      </c>
      <c r="B354">
        <v>2001</v>
      </c>
      <c r="C354" s="8">
        <v>0</v>
      </c>
      <c r="D354">
        <v>0.27382020000000001</v>
      </c>
      <c r="E354">
        <v>0.43201440000000002</v>
      </c>
      <c r="F354">
        <v>4.1054500000000001E-2</v>
      </c>
      <c r="G354">
        <v>1.0293399999999999</v>
      </c>
      <c r="H354">
        <v>0.1765687</v>
      </c>
      <c r="Q354" s="10">
        <f t="shared" si="30"/>
        <v>7.264324440842E-3</v>
      </c>
      <c r="AI354">
        <v>0.21489179999999999</v>
      </c>
      <c r="AJ354">
        <f t="shared" si="29"/>
        <v>0.21489179999999999</v>
      </c>
      <c r="AO354">
        <v>0.21489179999999999</v>
      </c>
      <c r="AR354" s="8">
        <v>0</v>
      </c>
      <c r="AS354">
        <v>1.9500679999999999</v>
      </c>
    </row>
    <row r="355" spans="1:45" x14ac:dyDescent="0.25">
      <c r="A355">
        <v>64</v>
      </c>
      <c r="B355">
        <v>2002</v>
      </c>
      <c r="C355" s="8">
        <v>0</v>
      </c>
      <c r="D355">
        <v>0.19179589999999999</v>
      </c>
      <c r="E355">
        <v>0.45602379999999998</v>
      </c>
      <c r="F355">
        <v>5.3587799999999998E-2</v>
      </c>
      <c r="G355">
        <v>1.060605</v>
      </c>
      <c r="H355">
        <v>0.1876632</v>
      </c>
      <c r="Q355" s="10">
        <f t="shared" si="30"/>
        <v>5.8841437107903316E-3</v>
      </c>
      <c r="AI355">
        <v>0.20833019999999999</v>
      </c>
      <c r="AJ355">
        <f t="shared" si="29"/>
        <v>0.20833019999999999</v>
      </c>
      <c r="AO355">
        <v>0.20833019999999999</v>
      </c>
      <c r="AR355" s="8">
        <v>0</v>
      </c>
      <c r="AS355">
        <v>1.0742750000000001</v>
      </c>
    </row>
    <row r="356" spans="1:45" x14ac:dyDescent="0.25">
      <c r="A356">
        <v>64</v>
      </c>
      <c r="B356">
        <v>2003</v>
      </c>
      <c r="C356" s="8">
        <v>0</v>
      </c>
      <c r="D356">
        <v>0.21489179999999999</v>
      </c>
      <c r="E356">
        <v>0.52443980000000001</v>
      </c>
      <c r="F356">
        <v>5.6263199999999999E-2</v>
      </c>
      <c r="G356">
        <v>1.5386200000000001</v>
      </c>
      <c r="H356">
        <v>0.21181749999999999</v>
      </c>
      <c r="Q356" s="10">
        <f t="shared" si="30"/>
        <v>2.503163364629195E-3</v>
      </c>
      <c r="AI356">
        <v>0.15237990000000001</v>
      </c>
      <c r="AJ356">
        <f t="shared" si="29"/>
        <v>0.15237990000000001</v>
      </c>
      <c r="AO356">
        <v>0.15237990000000001</v>
      </c>
      <c r="AR356" s="8">
        <v>0</v>
      </c>
      <c r="AS356">
        <v>1.0293399999999999</v>
      </c>
    </row>
    <row r="357" spans="1:45" x14ac:dyDescent="0.25">
      <c r="A357">
        <v>64</v>
      </c>
      <c r="B357">
        <v>2004</v>
      </c>
      <c r="C357" s="8">
        <v>0</v>
      </c>
      <c r="D357">
        <v>0.20833019999999999</v>
      </c>
      <c r="E357">
        <v>0.58425050000000001</v>
      </c>
      <c r="F357">
        <v>5.1084499999999998E-2</v>
      </c>
      <c r="G357">
        <v>2.1788379999999998</v>
      </c>
      <c r="H357">
        <v>0.22581799999999999</v>
      </c>
      <c r="Q357" s="10">
        <f t="shared" si="30"/>
        <v>8.6880267597213364E-4</v>
      </c>
      <c r="AI357">
        <v>6.76596E-2</v>
      </c>
      <c r="AJ357">
        <f t="shared" si="29"/>
        <v>6.76596E-2</v>
      </c>
      <c r="AO357">
        <v>6.76596E-2</v>
      </c>
      <c r="AR357" s="8">
        <v>0</v>
      </c>
      <c r="AS357">
        <v>1.060605</v>
      </c>
    </row>
    <row r="358" spans="1:45" x14ac:dyDescent="0.25">
      <c r="A358">
        <v>65</v>
      </c>
      <c r="B358">
        <v>1999</v>
      </c>
      <c r="C358" s="8">
        <v>0</v>
      </c>
      <c r="D358">
        <v>0.15237990000000001</v>
      </c>
      <c r="E358">
        <v>0.1412369</v>
      </c>
      <c r="F358">
        <v>7.5082599999999999E-2</v>
      </c>
      <c r="G358">
        <v>2.9317920000000002</v>
      </c>
      <c r="H358">
        <v>0.22451769999999999</v>
      </c>
      <c r="Q358" s="10">
        <f t="shared" si="30"/>
        <v>4.0176913056757748E-4</v>
      </c>
      <c r="AI358">
        <v>9.6034099999999997E-2</v>
      </c>
      <c r="AJ358">
        <f t="shared" si="29"/>
        <v>9.6034099999999997E-2</v>
      </c>
      <c r="AO358">
        <v>9.6034099999999997E-2</v>
      </c>
      <c r="AR358" s="8">
        <v>0</v>
      </c>
      <c r="AS358">
        <v>1.5386200000000001</v>
      </c>
    </row>
    <row r="359" spans="1:45" x14ac:dyDescent="0.25">
      <c r="A359">
        <v>65</v>
      </c>
      <c r="B359">
        <v>2000</v>
      </c>
      <c r="C359" s="8">
        <v>0</v>
      </c>
      <c r="D359">
        <v>6.76596E-2</v>
      </c>
      <c r="E359">
        <v>6.07942E-2</v>
      </c>
      <c r="F359">
        <v>6.2018400000000001E-2</v>
      </c>
      <c r="G359">
        <v>4.2816700000000001</v>
      </c>
      <c r="H359">
        <v>0.25008940000000002</v>
      </c>
      <c r="Q359" s="10">
        <f t="shared" si="30"/>
        <v>5.7241024082003728E-5</v>
      </c>
      <c r="AI359">
        <v>0.1212966</v>
      </c>
      <c r="AJ359">
        <f t="shared" si="29"/>
        <v>0.1212966</v>
      </c>
      <c r="AO359">
        <v>0.1212966</v>
      </c>
      <c r="AR359" s="8">
        <v>0</v>
      </c>
      <c r="AS359">
        <v>2.1788379999999998</v>
      </c>
    </row>
    <row r="360" spans="1:45" x14ac:dyDescent="0.25">
      <c r="A360">
        <v>65</v>
      </c>
      <c r="B360">
        <v>2001</v>
      </c>
      <c r="C360" s="8">
        <v>0</v>
      </c>
      <c r="D360">
        <v>9.6034099999999997E-2</v>
      </c>
      <c r="E360">
        <v>8.9211499999999999E-2</v>
      </c>
      <c r="F360">
        <v>7.1138900000000005E-2</v>
      </c>
      <c r="G360">
        <v>4.856789</v>
      </c>
      <c r="H360">
        <v>0.24189289999999999</v>
      </c>
      <c r="Q360" s="10">
        <f t="shared" si="30"/>
        <v>2.0557074591414507E-5</v>
      </c>
      <c r="AI360">
        <v>0.14209160000000001</v>
      </c>
      <c r="AJ360">
        <f t="shared" si="29"/>
        <v>0.14209160000000001</v>
      </c>
      <c r="AO360">
        <v>0.14209160000000001</v>
      </c>
      <c r="AR360" s="8">
        <v>0</v>
      </c>
      <c r="AS360">
        <v>2.9317920000000002</v>
      </c>
    </row>
    <row r="361" spans="1:45" x14ac:dyDescent="0.25">
      <c r="A361">
        <v>65</v>
      </c>
      <c r="B361">
        <v>2002</v>
      </c>
      <c r="C361" s="8">
        <v>0</v>
      </c>
      <c r="D361">
        <v>0.1212966</v>
      </c>
      <c r="E361">
        <v>5.3348E-2</v>
      </c>
      <c r="F361">
        <v>7.6365699999999995E-2</v>
      </c>
      <c r="G361">
        <v>1.7725489999999999</v>
      </c>
      <c r="H361">
        <v>0.20907709999999999</v>
      </c>
      <c r="Q361" s="10">
        <f t="shared" si="30"/>
        <v>2.7959343936790767E-3</v>
      </c>
      <c r="AI361">
        <v>0.15050659999999999</v>
      </c>
      <c r="AJ361">
        <f t="shared" si="29"/>
        <v>0.15050659999999999</v>
      </c>
      <c r="AO361">
        <v>0.15050659999999999</v>
      </c>
      <c r="AR361" s="8">
        <v>0</v>
      </c>
      <c r="AS361">
        <v>4.2816700000000001</v>
      </c>
    </row>
    <row r="362" spans="1:45" x14ac:dyDescent="0.25">
      <c r="A362">
        <v>65</v>
      </c>
      <c r="B362">
        <v>2003</v>
      </c>
      <c r="C362" s="8">
        <v>0</v>
      </c>
      <c r="D362">
        <v>0.14209160000000001</v>
      </c>
      <c r="E362">
        <v>9.81012E-2</v>
      </c>
      <c r="F362">
        <v>7.3698200000000005E-2</v>
      </c>
      <c r="G362">
        <v>1.8183180000000001</v>
      </c>
      <c r="H362">
        <v>0.2157162</v>
      </c>
      <c r="Q362" s="10">
        <f t="shared" si="30"/>
        <v>2.5206135112993831E-3</v>
      </c>
      <c r="AI362">
        <v>0.1185789</v>
      </c>
      <c r="AJ362">
        <f t="shared" si="29"/>
        <v>0.1185789</v>
      </c>
      <c r="AO362">
        <v>0.1185789</v>
      </c>
      <c r="AR362" s="8">
        <v>0</v>
      </c>
      <c r="AS362">
        <v>4.856789</v>
      </c>
    </row>
    <row r="363" spans="1:45" x14ac:dyDescent="0.25">
      <c r="A363">
        <v>65</v>
      </c>
      <c r="B363">
        <v>2004</v>
      </c>
      <c r="C363" s="8">
        <v>0</v>
      </c>
      <c r="D363">
        <v>0.15050659999999999</v>
      </c>
      <c r="E363">
        <v>9.1994099999999995E-2</v>
      </c>
      <c r="F363">
        <v>5.6694099999999997E-2</v>
      </c>
      <c r="G363">
        <v>2.0554610000000002</v>
      </c>
      <c r="H363">
        <v>0.20934349999999999</v>
      </c>
      <c r="Q363" s="10">
        <f t="shared" si="30"/>
        <v>1.9968123677284073E-3</v>
      </c>
      <c r="AI363">
        <v>0.1050831</v>
      </c>
      <c r="AJ363">
        <f t="shared" si="29"/>
        <v>0.1050831</v>
      </c>
      <c r="AO363">
        <v>0.1050831</v>
      </c>
      <c r="AR363" s="8">
        <v>0</v>
      </c>
      <c r="AS363">
        <v>1.7725489999999999</v>
      </c>
    </row>
    <row r="364" spans="1:45" x14ac:dyDescent="0.25">
      <c r="A364">
        <v>66</v>
      </c>
      <c r="B364">
        <v>1999</v>
      </c>
      <c r="C364" s="8">
        <v>0</v>
      </c>
      <c r="D364">
        <v>0.1185789</v>
      </c>
      <c r="E364">
        <v>0.55898539999999997</v>
      </c>
      <c r="F364">
        <v>7.1512500000000007E-2</v>
      </c>
      <c r="G364">
        <v>2.6515949999999999</v>
      </c>
      <c r="H364">
        <v>0.2314988</v>
      </c>
      <c r="Q364" s="10">
        <f t="shared" si="30"/>
        <v>3.4859577941766137E-4</v>
      </c>
      <c r="AI364">
        <v>0.12632570000000001</v>
      </c>
      <c r="AJ364">
        <f t="shared" si="29"/>
        <v>0.12632570000000001</v>
      </c>
      <c r="AO364">
        <v>0.12632570000000001</v>
      </c>
      <c r="AR364" s="8">
        <v>0</v>
      </c>
      <c r="AS364">
        <v>1.8183180000000001</v>
      </c>
    </row>
    <row r="365" spans="1:45" x14ac:dyDescent="0.25">
      <c r="A365">
        <v>66</v>
      </c>
      <c r="B365">
        <v>2000</v>
      </c>
      <c r="C365" s="8">
        <v>0</v>
      </c>
      <c r="D365">
        <v>0.1050831</v>
      </c>
      <c r="E365">
        <v>0.58511659999999999</v>
      </c>
      <c r="F365">
        <v>5.9782000000000002E-2</v>
      </c>
      <c r="G365">
        <v>2.6622300000000001</v>
      </c>
      <c r="H365">
        <v>0.23866390000000001</v>
      </c>
      <c r="Q365" s="10">
        <f t="shared" si="30"/>
        <v>3.6199745779182791E-4</v>
      </c>
      <c r="AI365">
        <v>0.15209800000000001</v>
      </c>
      <c r="AJ365">
        <f t="shared" si="29"/>
        <v>0.15209800000000001</v>
      </c>
      <c r="AO365">
        <v>0.15209800000000001</v>
      </c>
      <c r="AR365" s="8">
        <v>0</v>
      </c>
      <c r="AS365">
        <v>2.0554610000000002</v>
      </c>
    </row>
    <row r="366" spans="1:45" x14ac:dyDescent="0.25">
      <c r="A366">
        <v>66</v>
      </c>
      <c r="B366">
        <v>2001</v>
      </c>
      <c r="C366" s="8">
        <v>0</v>
      </c>
      <c r="D366">
        <v>0.12632570000000001</v>
      </c>
      <c r="E366">
        <v>0.60012120000000002</v>
      </c>
      <c r="F366">
        <v>6.7106499999999999E-2</v>
      </c>
      <c r="G366">
        <v>3.9022260000000002</v>
      </c>
      <c r="H366">
        <v>0.24099419999999999</v>
      </c>
      <c r="Q366" s="10">
        <f t="shared" si="30"/>
        <v>4.679343178115581E-5</v>
      </c>
      <c r="AI366">
        <v>0.26225939999999998</v>
      </c>
      <c r="AJ366">
        <f t="shared" si="29"/>
        <v>0.26225939999999998</v>
      </c>
      <c r="AO366">
        <v>0.26225939999999998</v>
      </c>
      <c r="AR366" s="8">
        <v>0</v>
      </c>
      <c r="AS366">
        <v>2.6515949999999999</v>
      </c>
    </row>
    <row r="367" spans="1:45" x14ac:dyDescent="0.25">
      <c r="A367">
        <v>66</v>
      </c>
      <c r="B367">
        <v>2002</v>
      </c>
      <c r="C367" s="8">
        <v>0</v>
      </c>
      <c r="D367">
        <v>0.15209800000000001</v>
      </c>
      <c r="E367">
        <v>0.63693489999999997</v>
      </c>
      <c r="F367">
        <v>6.0526099999999999E-2</v>
      </c>
      <c r="G367">
        <v>2.8837920000000001</v>
      </c>
      <c r="H367">
        <v>0.23544309999999999</v>
      </c>
      <c r="Q367" s="10">
        <f t="shared" si="30"/>
        <v>2.3861954129101795E-4</v>
      </c>
      <c r="AI367">
        <v>0.31526029999999999</v>
      </c>
      <c r="AJ367">
        <f t="shared" si="29"/>
        <v>0.31526029999999999</v>
      </c>
      <c r="AO367">
        <v>0.31526029999999999</v>
      </c>
      <c r="AR367" s="8">
        <v>0</v>
      </c>
      <c r="AS367">
        <v>2.6622300000000001</v>
      </c>
    </row>
    <row r="368" spans="1:45" x14ac:dyDescent="0.25">
      <c r="A368">
        <v>66</v>
      </c>
      <c r="B368">
        <v>2003</v>
      </c>
      <c r="C368" s="8">
        <v>0</v>
      </c>
      <c r="D368">
        <v>0.26225939999999998</v>
      </c>
      <c r="E368">
        <v>0.69388470000000002</v>
      </c>
      <c r="F368">
        <v>6.1128500000000002E-2</v>
      </c>
      <c r="G368">
        <v>3.4625840000000001</v>
      </c>
      <c r="H368">
        <v>0.23008410000000001</v>
      </c>
      <c r="Q368" s="10">
        <f t="shared" si="30"/>
        <v>9.0682384423389209E-5</v>
      </c>
      <c r="AI368">
        <v>-1.23149E-2</v>
      </c>
      <c r="AJ368">
        <f t="shared" si="29"/>
        <v>-1.23149E-2</v>
      </c>
      <c r="AO368">
        <v>-1.23149E-2</v>
      </c>
      <c r="AR368" s="8">
        <v>0</v>
      </c>
      <c r="AS368">
        <v>3.9022260000000002</v>
      </c>
    </row>
    <row r="369" spans="1:45" x14ac:dyDescent="0.25">
      <c r="A369">
        <v>66</v>
      </c>
      <c r="B369">
        <v>2004</v>
      </c>
      <c r="C369" s="8">
        <v>0</v>
      </c>
      <c r="D369">
        <v>0.31526029999999999</v>
      </c>
      <c r="E369">
        <v>0.73763939999999995</v>
      </c>
      <c r="F369">
        <v>5.7246199999999997E-2</v>
      </c>
      <c r="G369">
        <v>4.8542240000000003</v>
      </c>
      <c r="H369">
        <v>0.25003300000000001</v>
      </c>
      <c r="Q369" s="10">
        <f t="shared" si="30"/>
        <v>9.8897116624973461E-6</v>
      </c>
      <c r="AI369">
        <v>3.1482900000000001E-2</v>
      </c>
      <c r="AJ369">
        <f t="shared" si="29"/>
        <v>3.1482900000000001E-2</v>
      </c>
      <c r="AO369">
        <v>3.1482900000000001E-2</v>
      </c>
      <c r="AR369" s="8">
        <v>0</v>
      </c>
      <c r="AS369">
        <v>2.8837920000000001</v>
      </c>
    </row>
    <row r="370" spans="1:45" x14ac:dyDescent="0.25">
      <c r="A370">
        <v>67</v>
      </c>
      <c r="B370">
        <v>1999</v>
      </c>
      <c r="C370" s="8">
        <v>0</v>
      </c>
      <c r="D370">
        <v>-1.23149E-2</v>
      </c>
      <c r="E370">
        <v>7.3664900000000005E-2</v>
      </c>
      <c r="F370">
        <v>7.1138000000000007E-2</v>
      </c>
      <c r="G370">
        <v>2.0747330000000002</v>
      </c>
      <c r="H370">
        <v>0.25442219999999999</v>
      </c>
      <c r="Q370" s="10">
        <f t="shared" si="30"/>
        <v>1.7035452371598244E-3</v>
      </c>
      <c r="AI370">
        <v>-6.2114900000000001E-2</v>
      </c>
      <c r="AJ370">
        <f t="shared" si="29"/>
        <v>-6.2114900000000001E-2</v>
      </c>
      <c r="AO370">
        <v>-6.2114900000000001E-2</v>
      </c>
      <c r="AR370" s="8">
        <v>0</v>
      </c>
      <c r="AS370">
        <v>3.4625840000000001</v>
      </c>
    </row>
    <row r="371" spans="1:45" x14ac:dyDescent="0.25">
      <c r="A371">
        <v>68</v>
      </c>
      <c r="B371">
        <v>1999</v>
      </c>
      <c r="C371" s="8">
        <v>0</v>
      </c>
      <c r="D371">
        <v>3.1482900000000001E-2</v>
      </c>
      <c r="E371">
        <v>0.25143300000000002</v>
      </c>
      <c r="F371">
        <v>4.5379200000000001E-2</v>
      </c>
      <c r="G371">
        <v>4.4205290000000002</v>
      </c>
      <c r="H371">
        <v>0.15386459999999999</v>
      </c>
      <c r="Q371" s="10">
        <f t="shared" si="30"/>
        <v>3.6865922121237285E-5</v>
      </c>
      <c r="AI371">
        <v>-7.3574299999999995E-2</v>
      </c>
      <c r="AJ371">
        <f t="shared" si="29"/>
        <v>-7.3574299999999995E-2</v>
      </c>
      <c r="AO371">
        <v>-7.3574299999999995E-2</v>
      </c>
      <c r="AR371" s="8">
        <v>0</v>
      </c>
      <c r="AS371">
        <v>4.8542240000000003</v>
      </c>
    </row>
    <row r="372" spans="1:45" x14ac:dyDescent="0.25">
      <c r="A372">
        <v>68</v>
      </c>
      <c r="B372">
        <v>2000</v>
      </c>
      <c r="C372" s="8">
        <v>0</v>
      </c>
      <c r="D372">
        <v>-6.2114900000000001E-2</v>
      </c>
      <c r="E372">
        <v>5.8945299999999999E-2</v>
      </c>
      <c r="F372">
        <v>3.2893600000000002E-2</v>
      </c>
      <c r="G372">
        <v>1.088192</v>
      </c>
      <c r="H372">
        <v>0.12856899999999999</v>
      </c>
      <c r="Q372" s="10">
        <f t="shared" si="30"/>
        <v>1.0226420658076918E-2</v>
      </c>
      <c r="AI372">
        <v>-2.7499599999999999E-2</v>
      </c>
      <c r="AJ372">
        <f t="shared" si="29"/>
        <v>-2.7499599999999999E-2</v>
      </c>
      <c r="AO372">
        <v>-2.7499599999999999E-2</v>
      </c>
      <c r="AR372" s="8">
        <v>0</v>
      </c>
      <c r="AS372">
        <v>2.0747330000000002</v>
      </c>
    </row>
    <row r="373" spans="1:45" x14ac:dyDescent="0.25">
      <c r="A373">
        <v>68</v>
      </c>
      <c r="B373">
        <v>2001</v>
      </c>
      <c r="C373" s="8">
        <v>0</v>
      </c>
      <c r="D373">
        <v>-7.3574299999999995E-2</v>
      </c>
      <c r="E373">
        <v>5.9756499999999997E-2</v>
      </c>
      <c r="F373">
        <v>4.7843200000000002E-2</v>
      </c>
      <c r="G373">
        <v>0.82447269999999995</v>
      </c>
      <c r="H373">
        <v>0.1158838</v>
      </c>
      <c r="Q373" s="10">
        <f t="shared" si="30"/>
        <v>1.3578283415973665E-2</v>
      </c>
      <c r="AI373">
        <v>-1.06835E-2</v>
      </c>
      <c r="AJ373">
        <f t="shared" si="29"/>
        <v>-1.06835E-2</v>
      </c>
      <c r="AO373">
        <v>-1.06835E-2</v>
      </c>
      <c r="AR373" s="8">
        <v>0</v>
      </c>
      <c r="AS373">
        <v>4.4205290000000002</v>
      </c>
    </row>
    <row r="374" spans="1:45" x14ac:dyDescent="0.25">
      <c r="A374">
        <v>68</v>
      </c>
      <c r="B374">
        <v>2002</v>
      </c>
      <c r="C374" s="8">
        <v>0</v>
      </c>
      <c r="D374">
        <v>-2.7499599999999999E-2</v>
      </c>
      <c r="E374">
        <v>-0.1260385</v>
      </c>
      <c r="F374">
        <v>5.9821899999999997E-2</v>
      </c>
      <c r="G374">
        <v>1.013938</v>
      </c>
      <c r="H374">
        <v>0.1703923</v>
      </c>
      <c r="Q374" s="10">
        <f t="shared" si="30"/>
        <v>1.2612944379681239E-2</v>
      </c>
      <c r="AI374">
        <v>-8.5240000000000003E-3</v>
      </c>
      <c r="AJ374">
        <f t="shared" si="29"/>
        <v>-8.5240000000000003E-3</v>
      </c>
      <c r="AO374">
        <v>-8.5240000000000003E-3</v>
      </c>
      <c r="AR374" s="8">
        <v>0</v>
      </c>
      <c r="AS374">
        <v>1.088192</v>
      </c>
    </row>
    <row r="375" spans="1:45" x14ac:dyDescent="0.25">
      <c r="A375">
        <v>68</v>
      </c>
      <c r="B375">
        <v>2003</v>
      </c>
      <c r="C375" s="8">
        <v>0</v>
      </c>
      <c r="D375">
        <v>-1.06835E-2</v>
      </c>
      <c r="E375">
        <v>-0.1132094</v>
      </c>
      <c r="F375">
        <v>5.0565600000000002E-2</v>
      </c>
      <c r="G375">
        <v>1.0725629999999999</v>
      </c>
      <c r="H375">
        <v>0.16937630000000001</v>
      </c>
      <c r="Q375" s="10">
        <f t="shared" si="30"/>
        <v>1.2224223803837277E-2</v>
      </c>
      <c r="AI375">
        <v>-0.10833329999999999</v>
      </c>
      <c r="AJ375">
        <f t="shared" si="29"/>
        <v>-0.10833329999999999</v>
      </c>
      <c r="AO375">
        <v>-0.10833329999999999</v>
      </c>
      <c r="AR375" s="8">
        <v>0</v>
      </c>
      <c r="AS375">
        <v>0.82447269999999995</v>
      </c>
    </row>
    <row r="376" spans="1:45" x14ac:dyDescent="0.25">
      <c r="A376">
        <v>68</v>
      </c>
      <c r="B376">
        <v>2004</v>
      </c>
      <c r="C376" s="8">
        <v>0</v>
      </c>
      <c r="D376">
        <v>-8.5240000000000003E-3</v>
      </c>
      <c r="E376">
        <v>-0.1164335</v>
      </c>
      <c r="F376">
        <v>4.5437699999999998E-2</v>
      </c>
      <c r="G376">
        <v>1.1036570000000001</v>
      </c>
      <c r="H376">
        <v>0.18613370000000001</v>
      </c>
      <c r="Q376" s="10">
        <f t="shared" si="30"/>
        <v>1.2314324526543234E-2</v>
      </c>
      <c r="AI376">
        <v>-9.9961300000000003E-2</v>
      </c>
      <c r="AJ376">
        <f t="shared" si="29"/>
        <v>-9.9961300000000003E-2</v>
      </c>
      <c r="AO376">
        <v>-9.9961300000000003E-2</v>
      </c>
      <c r="AR376" s="8">
        <v>0</v>
      </c>
      <c r="AS376">
        <v>1.013938</v>
      </c>
    </row>
    <row r="377" spans="1:45" x14ac:dyDescent="0.25">
      <c r="A377">
        <v>69</v>
      </c>
      <c r="B377">
        <v>1999</v>
      </c>
      <c r="C377" s="8">
        <v>0</v>
      </c>
      <c r="D377">
        <v>-0.10833329999999999</v>
      </c>
      <c r="E377">
        <v>0.29032809999999998</v>
      </c>
      <c r="F377">
        <v>8.1907800000000003E-2</v>
      </c>
      <c r="G377">
        <v>3.1082689999999999</v>
      </c>
      <c r="H377">
        <v>0.18092949999999999</v>
      </c>
      <c r="Q377" s="10">
        <f t="shared" si="30"/>
        <v>2.0203022329298291E-4</v>
      </c>
      <c r="AI377">
        <v>-1.6562299999999999E-2</v>
      </c>
      <c r="AJ377">
        <f t="shared" si="29"/>
        <v>-1.6562299999999999E-2</v>
      </c>
      <c r="AO377">
        <v>-1.6562299999999999E-2</v>
      </c>
      <c r="AR377" s="8">
        <v>0</v>
      </c>
      <c r="AS377">
        <v>1.0725629999999999</v>
      </c>
    </row>
    <row r="378" spans="1:45" x14ac:dyDescent="0.25">
      <c r="A378">
        <v>69</v>
      </c>
      <c r="B378">
        <v>2000</v>
      </c>
      <c r="C378" s="8">
        <v>0</v>
      </c>
      <c r="D378">
        <v>-9.9961300000000003E-2</v>
      </c>
      <c r="E378">
        <v>0.29538189999999998</v>
      </c>
      <c r="F378">
        <v>6.4254900000000004E-2</v>
      </c>
      <c r="G378">
        <v>2.2728199999999998</v>
      </c>
      <c r="H378">
        <v>0.1336128</v>
      </c>
      <c r="Q378" s="10">
        <f t="shared" si="30"/>
        <v>8.5161836503548443E-4</v>
      </c>
      <c r="AI378">
        <v>4.3800000000000002E-3</v>
      </c>
      <c r="AJ378">
        <f t="shared" si="29"/>
        <v>4.3800000000000002E-3</v>
      </c>
      <c r="AO378">
        <v>4.3800000000000002E-3</v>
      </c>
      <c r="AR378" s="8">
        <v>0</v>
      </c>
      <c r="AS378">
        <v>1.1036570000000001</v>
      </c>
    </row>
    <row r="379" spans="1:45" x14ac:dyDescent="0.25">
      <c r="A379">
        <v>69</v>
      </c>
      <c r="B379">
        <v>2001</v>
      </c>
      <c r="C379" s="8">
        <v>0</v>
      </c>
      <c r="D379">
        <v>-1.6562299999999999E-2</v>
      </c>
      <c r="E379">
        <v>0.32004159999999998</v>
      </c>
      <c r="F379">
        <v>7.6657600000000006E-2</v>
      </c>
      <c r="G379">
        <v>2.1734330000000002</v>
      </c>
      <c r="H379">
        <v>0.1486973</v>
      </c>
      <c r="Q379" s="10">
        <f t="shared" si="30"/>
        <v>9.1078276634220081E-4</v>
      </c>
      <c r="AI379">
        <v>3.9497200000000003E-2</v>
      </c>
      <c r="AJ379">
        <f t="shared" si="29"/>
        <v>3.9497200000000003E-2</v>
      </c>
      <c r="AO379">
        <v>3.9497200000000003E-2</v>
      </c>
      <c r="AR379" s="8">
        <v>0</v>
      </c>
      <c r="AS379">
        <v>3.1082689999999999</v>
      </c>
    </row>
    <row r="380" spans="1:45" x14ac:dyDescent="0.25">
      <c r="A380">
        <v>69</v>
      </c>
      <c r="B380">
        <v>2002</v>
      </c>
      <c r="C380" s="8">
        <v>0</v>
      </c>
      <c r="D380">
        <v>4.3800000000000002E-3</v>
      </c>
      <c r="E380">
        <v>0.32967580000000002</v>
      </c>
      <c r="F380">
        <v>5.5579200000000002E-2</v>
      </c>
      <c r="G380">
        <v>1.536754</v>
      </c>
      <c r="H380">
        <v>0.14881269999999999</v>
      </c>
      <c r="Q380" s="10">
        <f t="shared" si="30"/>
        <v>2.9519351233258349E-3</v>
      </c>
      <c r="AI380">
        <v>-5.7111599999999998E-2</v>
      </c>
      <c r="AJ380">
        <f t="shared" si="29"/>
        <v>-5.7111599999999998E-2</v>
      </c>
      <c r="AO380">
        <v>-5.7111599999999998E-2</v>
      </c>
      <c r="AR380" s="8">
        <v>0</v>
      </c>
      <c r="AS380">
        <v>2.2728199999999998</v>
      </c>
    </row>
    <row r="381" spans="1:45" x14ac:dyDescent="0.25">
      <c r="A381">
        <v>69</v>
      </c>
      <c r="B381">
        <v>2003</v>
      </c>
      <c r="C381" s="8">
        <v>0</v>
      </c>
      <c r="D381">
        <v>3.9497200000000003E-2</v>
      </c>
      <c r="E381">
        <v>0.34403980000000001</v>
      </c>
      <c r="F381">
        <v>6.8530800000000003E-2</v>
      </c>
      <c r="G381">
        <v>1.7790109999999999</v>
      </c>
      <c r="H381">
        <v>0.1352333</v>
      </c>
      <c r="Q381" s="10">
        <f t="shared" si="30"/>
        <v>1.7846501222834751E-3</v>
      </c>
      <c r="AI381">
        <v>5.3413799999999997E-2</v>
      </c>
      <c r="AJ381">
        <f t="shared" si="29"/>
        <v>5.3413799999999997E-2</v>
      </c>
      <c r="AO381">
        <v>5.3413799999999997E-2</v>
      </c>
      <c r="AR381" s="8">
        <v>0</v>
      </c>
      <c r="AS381">
        <v>2.1734330000000002</v>
      </c>
    </row>
    <row r="382" spans="1:45" x14ac:dyDescent="0.25">
      <c r="A382">
        <v>69</v>
      </c>
      <c r="B382">
        <v>2004</v>
      </c>
      <c r="C382" s="8">
        <v>0</v>
      </c>
      <c r="D382">
        <v>-5.7111599999999998E-2</v>
      </c>
      <c r="E382">
        <v>0.33628940000000002</v>
      </c>
      <c r="F382">
        <v>5.8042900000000001E-2</v>
      </c>
      <c r="G382">
        <v>1.422177</v>
      </c>
      <c r="H382">
        <v>0.11590979999999999</v>
      </c>
      <c r="Q382" s="10">
        <f t="shared" si="30"/>
        <v>3.2855024784388199E-3</v>
      </c>
      <c r="AI382">
        <v>7.0123500000000005E-2</v>
      </c>
      <c r="AJ382">
        <f t="shared" si="29"/>
        <v>7.0123500000000005E-2</v>
      </c>
      <c r="AO382">
        <v>7.0123500000000005E-2</v>
      </c>
      <c r="AR382" s="8">
        <v>0</v>
      </c>
      <c r="AS382">
        <v>1.536754</v>
      </c>
    </row>
    <row r="383" spans="1:45" x14ac:dyDescent="0.25">
      <c r="A383">
        <v>70</v>
      </c>
      <c r="B383">
        <v>1999</v>
      </c>
      <c r="C383" s="8">
        <v>0</v>
      </c>
      <c r="D383">
        <v>5.3413799999999997E-2</v>
      </c>
      <c r="E383">
        <v>0.1121973</v>
      </c>
      <c r="F383">
        <v>5.08761E-2</v>
      </c>
      <c r="G383">
        <v>0.7646733</v>
      </c>
      <c r="H383">
        <v>0.1263842</v>
      </c>
      <c r="Q383" s="10">
        <f t="shared" si="30"/>
        <v>1.4319695083693957E-2</v>
      </c>
      <c r="AI383">
        <v>5.8799499999999998E-2</v>
      </c>
      <c r="AJ383">
        <f t="shared" si="29"/>
        <v>5.8799499999999998E-2</v>
      </c>
      <c r="AO383">
        <v>5.8799499999999998E-2</v>
      </c>
      <c r="AR383" s="8">
        <v>0</v>
      </c>
      <c r="AS383">
        <v>1.7790109999999999</v>
      </c>
    </row>
    <row r="384" spans="1:45" x14ac:dyDescent="0.25">
      <c r="A384">
        <v>70</v>
      </c>
      <c r="B384">
        <v>2000</v>
      </c>
      <c r="C384" s="8">
        <v>0</v>
      </c>
      <c r="D384">
        <v>7.0123500000000005E-2</v>
      </c>
      <c r="E384">
        <v>0.12937290000000001</v>
      </c>
      <c r="F384">
        <v>5.9364199999999999E-2</v>
      </c>
      <c r="G384">
        <v>0.62998620000000005</v>
      </c>
      <c r="H384">
        <v>0.1387535</v>
      </c>
      <c r="Q384" s="10">
        <f t="shared" si="30"/>
        <v>1.6377396031827935E-2</v>
      </c>
      <c r="AI384">
        <v>6.7398299999999994E-2</v>
      </c>
      <c r="AJ384">
        <f t="shared" si="29"/>
        <v>6.7398299999999994E-2</v>
      </c>
      <c r="AO384">
        <v>6.7398299999999994E-2</v>
      </c>
      <c r="AR384" s="8">
        <v>0</v>
      </c>
      <c r="AS384">
        <v>1.422177</v>
      </c>
    </row>
    <row r="385" spans="1:45" x14ac:dyDescent="0.25">
      <c r="A385">
        <v>70</v>
      </c>
      <c r="B385">
        <v>2001</v>
      </c>
      <c r="C385" s="8">
        <v>0</v>
      </c>
      <c r="D385">
        <v>5.8799499999999998E-2</v>
      </c>
      <c r="E385">
        <v>0.1054205</v>
      </c>
      <c r="F385">
        <v>4.8049500000000002E-2</v>
      </c>
      <c r="G385">
        <v>0.86998790000000004</v>
      </c>
      <c r="H385">
        <v>0.1188399</v>
      </c>
      <c r="Q385" s="10">
        <f t="shared" si="30"/>
        <v>1.2499297759171232E-2</v>
      </c>
      <c r="AI385">
        <v>4.79686E-2</v>
      </c>
      <c r="AJ385">
        <f t="shared" si="29"/>
        <v>4.79686E-2</v>
      </c>
      <c r="AO385">
        <v>4.79686E-2</v>
      </c>
      <c r="AR385" s="8">
        <v>0</v>
      </c>
      <c r="AS385">
        <v>0.7646733</v>
      </c>
    </row>
    <row r="386" spans="1:45" x14ac:dyDescent="0.25">
      <c r="A386">
        <v>70</v>
      </c>
      <c r="B386">
        <v>2002</v>
      </c>
      <c r="C386" s="8">
        <v>0</v>
      </c>
      <c r="D386">
        <v>6.7398299999999994E-2</v>
      </c>
      <c r="E386">
        <v>0.13252359999999999</v>
      </c>
      <c r="F386">
        <v>5.51935E-2</v>
      </c>
      <c r="G386">
        <v>1.1333709999999999</v>
      </c>
      <c r="H386">
        <v>0.1316109</v>
      </c>
      <c r="Q386" s="10">
        <f t="shared" si="30"/>
        <v>7.5824578260564957E-3</v>
      </c>
      <c r="AI386">
        <v>4.6171299999999998E-2</v>
      </c>
      <c r="AJ386">
        <f t="shared" si="29"/>
        <v>4.6171299999999998E-2</v>
      </c>
      <c r="AO386">
        <v>4.6171299999999998E-2</v>
      </c>
      <c r="AR386" s="8">
        <v>0</v>
      </c>
      <c r="AS386">
        <v>0.62998620000000005</v>
      </c>
    </row>
    <row r="387" spans="1:45" x14ac:dyDescent="0.25">
      <c r="A387">
        <v>70</v>
      </c>
      <c r="B387">
        <v>2003</v>
      </c>
      <c r="C387" s="8">
        <v>0</v>
      </c>
      <c r="D387">
        <v>4.79686E-2</v>
      </c>
      <c r="E387">
        <v>0.15467330000000001</v>
      </c>
      <c r="F387">
        <v>5.4837499999999997E-2</v>
      </c>
      <c r="G387">
        <v>1.6107849999999999</v>
      </c>
      <c r="H387">
        <v>0.14685819999999999</v>
      </c>
      <c r="Q387" s="10">
        <f t="shared" si="30"/>
        <v>3.4598242726639849E-3</v>
      </c>
      <c r="AI387">
        <v>0.24634909999999999</v>
      </c>
      <c r="AJ387">
        <f t="shared" si="29"/>
        <v>0.24634909999999999</v>
      </c>
      <c r="AO387">
        <v>0.24634909999999999</v>
      </c>
      <c r="AR387" s="8">
        <v>0</v>
      </c>
      <c r="AS387">
        <v>0.86998790000000004</v>
      </c>
    </row>
    <row r="388" spans="1:45" x14ac:dyDescent="0.25">
      <c r="A388">
        <v>70</v>
      </c>
      <c r="B388">
        <v>2004</v>
      </c>
      <c r="C388" s="8">
        <v>0</v>
      </c>
      <c r="D388">
        <v>4.6171299999999998E-2</v>
      </c>
      <c r="E388">
        <v>0.17526269999999999</v>
      </c>
      <c r="F388">
        <v>5.7063900000000001E-2</v>
      </c>
      <c r="G388">
        <v>1.526276</v>
      </c>
      <c r="H388">
        <v>0.1501371</v>
      </c>
      <c r="Q388" s="10">
        <f t="shared" si="30"/>
        <v>3.7776892989703418E-3</v>
      </c>
      <c r="AI388">
        <v>0.1062681</v>
      </c>
      <c r="AJ388">
        <f t="shared" si="29"/>
        <v>0.1062681</v>
      </c>
      <c r="AO388">
        <v>0.1062681</v>
      </c>
      <c r="AR388" s="8">
        <v>0</v>
      </c>
      <c r="AS388">
        <v>1.1333709999999999</v>
      </c>
    </row>
    <row r="389" spans="1:45" x14ac:dyDescent="0.25">
      <c r="A389">
        <v>71</v>
      </c>
      <c r="B389">
        <v>1999</v>
      </c>
      <c r="C389" s="8">
        <v>0</v>
      </c>
      <c r="D389">
        <v>0.24634909999999999</v>
      </c>
      <c r="E389">
        <v>0.51878150000000001</v>
      </c>
      <c r="F389">
        <v>7.3504399999999998E-2</v>
      </c>
      <c r="G389">
        <v>2.2878090000000002</v>
      </c>
      <c r="H389">
        <v>0.3501513</v>
      </c>
      <c r="Q389" s="10">
        <f t="shared" si="30"/>
        <v>7.367543519018185E-4</v>
      </c>
      <c r="AI389">
        <v>0.20755850000000001</v>
      </c>
      <c r="AJ389">
        <f t="shared" ref="AJ389:AJ452" si="31">MAX(MIN(AI389,AM$5),AM$4)</f>
        <v>0.20755850000000001</v>
      </c>
      <c r="AO389">
        <v>0.20755850000000001</v>
      </c>
      <c r="AR389" s="8">
        <v>0</v>
      </c>
      <c r="AS389">
        <v>1.6107849999999999</v>
      </c>
    </row>
    <row r="390" spans="1:45" x14ac:dyDescent="0.25">
      <c r="A390">
        <v>71</v>
      </c>
      <c r="B390">
        <v>2000</v>
      </c>
      <c r="C390" s="8">
        <v>0</v>
      </c>
      <c r="D390">
        <v>0.1062681</v>
      </c>
      <c r="E390">
        <v>0.442801</v>
      </c>
      <c r="F390">
        <v>6.4849199999999996E-2</v>
      </c>
      <c r="G390">
        <v>1.6775119999999999</v>
      </c>
      <c r="H390">
        <v>0.33176800000000001</v>
      </c>
      <c r="Q390" s="10">
        <f t="shared" si="30"/>
        <v>2.1725390679738126E-3</v>
      </c>
      <c r="AI390">
        <v>0.21110619999999999</v>
      </c>
      <c r="AJ390">
        <f t="shared" si="31"/>
        <v>0.21110619999999999</v>
      </c>
      <c r="AO390">
        <v>0.21110619999999999</v>
      </c>
      <c r="AR390" s="8">
        <v>0</v>
      </c>
      <c r="AS390">
        <v>1.526276</v>
      </c>
    </row>
    <row r="391" spans="1:45" x14ac:dyDescent="0.25">
      <c r="A391">
        <v>71</v>
      </c>
      <c r="B391">
        <v>2001</v>
      </c>
      <c r="C391" s="8">
        <v>0</v>
      </c>
      <c r="D391">
        <v>0.20755850000000001</v>
      </c>
      <c r="E391">
        <v>0.49016860000000001</v>
      </c>
      <c r="F391">
        <v>7.0566500000000004E-2</v>
      </c>
      <c r="G391">
        <v>2.528778</v>
      </c>
      <c r="H391">
        <v>0.31490699999999999</v>
      </c>
      <c r="Q391" s="10">
        <f t="shared" ref="Q391:Q454" si="32">1/(1+EXP(-(J$6+SUMPRODUCT(K$6:O$6,D391:H391))))</f>
        <v>5.1576787753232955E-4</v>
      </c>
      <c r="AI391">
        <v>0.22897419999999999</v>
      </c>
      <c r="AJ391">
        <f t="shared" si="31"/>
        <v>0.22897419999999999</v>
      </c>
      <c r="AO391">
        <v>0.22897419999999999</v>
      </c>
      <c r="AR391" s="8">
        <v>0</v>
      </c>
      <c r="AS391">
        <v>2.2878090000000002</v>
      </c>
    </row>
    <row r="392" spans="1:45" x14ac:dyDescent="0.25">
      <c r="A392">
        <v>71</v>
      </c>
      <c r="B392">
        <v>2002</v>
      </c>
      <c r="C392" s="8">
        <v>0</v>
      </c>
      <c r="D392">
        <v>0.21110619999999999</v>
      </c>
      <c r="E392">
        <v>0.44686369999999997</v>
      </c>
      <c r="F392">
        <v>6.4445600000000006E-2</v>
      </c>
      <c r="G392">
        <v>2.0454460000000001</v>
      </c>
      <c r="H392">
        <v>0.31090889999999999</v>
      </c>
      <c r="Q392" s="10">
        <f t="shared" si="32"/>
        <v>1.2439948395080124E-3</v>
      </c>
      <c r="AI392">
        <v>0.22542760000000001</v>
      </c>
      <c r="AJ392">
        <f t="shared" si="31"/>
        <v>0.22542760000000001</v>
      </c>
      <c r="AO392">
        <v>0.22542760000000001</v>
      </c>
      <c r="AR392" s="8">
        <v>0</v>
      </c>
      <c r="AS392">
        <v>1.6775119999999999</v>
      </c>
    </row>
    <row r="393" spans="1:45" x14ac:dyDescent="0.25">
      <c r="A393">
        <v>71</v>
      </c>
      <c r="B393">
        <v>2003</v>
      </c>
      <c r="C393" s="8">
        <v>0</v>
      </c>
      <c r="D393">
        <v>0.22897419999999999</v>
      </c>
      <c r="E393">
        <v>0.51673950000000002</v>
      </c>
      <c r="F393">
        <v>5.0957500000000003E-2</v>
      </c>
      <c r="G393">
        <v>2.3216519999999998</v>
      </c>
      <c r="H393">
        <v>0.31393900000000002</v>
      </c>
      <c r="Q393" s="10">
        <f t="shared" si="32"/>
        <v>8.1397265799751318E-4</v>
      </c>
      <c r="AI393">
        <v>0.15831609999999999</v>
      </c>
      <c r="AJ393">
        <f t="shared" si="31"/>
        <v>0.15831609999999999</v>
      </c>
      <c r="AO393">
        <v>0.15831609999999999</v>
      </c>
      <c r="AR393" s="8">
        <v>0</v>
      </c>
      <c r="AS393">
        <v>2.528778</v>
      </c>
    </row>
    <row r="394" spans="1:45" x14ac:dyDescent="0.25">
      <c r="A394">
        <v>71</v>
      </c>
      <c r="B394">
        <v>2004</v>
      </c>
      <c r="C394" s="8">
        <v>0</v>
      </c>
      <c r="D394">
        <v>0.22542760000000001</v>
      </c>
      <c r="E394">
        <v>0.55324669999999998</v>
      </c>
      <c r="F394">
        <v>5.7829499999999999E-2</v>
      </c>
      <c r="G394">
        <v>2.6885110000000001</v>
      </c>
      <c r="H394">
        <v>0.31501990000000002</v>
      </c>
      <c r="Q394" s="10">
        <f t="shared" si="32"/>
        <v>4.0701824292567517E-4</v>
      </c>
      <c r="AI394">
        <v>0.2718526</v>
      </c>
      <c r="AJ394">
        <f t="shared" si="31"/>
        <v>0.2718526</v>
      </c>
      <c r="AO394">
        <v>0.2718526</v>
      </c>
      <c r="AR394" s="8">
        <v>0</v>
      </c>
      <c r="AS394">
        <v>2.0454460000000001</v>
      </c>
    </row>
    <row r="395" spans="1:45" x14ac:dyDescent="0.25">
      <c r="A395">
        <v>72</v>
      </c>
      <c r="B395">
        <v>1999</v>
      </c>
      <c r="C395" s="8">
        <v>0</v>
      </c>
      <c r="D395">
        <v>0.15831609999999999</v>
      </c>
      <c r="E395">
        <v>0.111305</v>
      </c>
      <c r="F395">
        <v>4.4752599999999997E-2</v>
      </c>
      <c r="G395">
        <v>0.36114309999999999</v>
      </c>
      <c r="H395">
        <v>1.007002</v>
      </c>
      <c r="Q395" s="10">
        <f t="shared" si="32"/>
        <v>4.9776931210201082E-2</v>
      </c>
      <c r="AI395">
        <v>0.18901000000000001</v>
      </c>
      <c r="AJ395">
        <f t="shared" si="31"/>
        <v>0.18901000000000001</v>
      </c>
      <c r="AO395">
        <v>0.18901000000000001</v>
      </c>
      <c r="AR395" s="8">
        <v>0</v>
      </c>
      <c r="AS395">
        <v>2.3216519999999998</v>
      </c>
    </row>
    <row r="396" spans="1:45" x14ac:dyDescent="0.25">
      <c r="A396">
        <v>72</v>
      </c>
      <c r="B396">
        <v>2000</v>
      </c>
      <c r="C396" s="8">
        <v>0</v>
      </c>
      <c r="D396">
        <v>0.2718526</v>
      </c>
      <c r="E396">
        <v>-3.0235600000000001E-2</v>
      </c>
      <c r="F396">
        <v>5.2559599999999998E-2</v>
      </c>
      <c r="G396">
        <v>0.43611349999999999</v>
      </c>
      <c r="H396">
        <v>1.3193109999999999</v>
      </c>
      <c r="Q396" s="10">
        <f t="shared" si="32"/>
        <v>6.3884028286311775E-2</v>
      </c>
      <c r="AI396">
        <v>7.7470800000000006E-2</v>
      </c>
      <c r="AJ396">
        <f t="shared" si="31"/>
        <v>7.7470800000000006E-2</v>
      </c>
      <c r="AO396">
        <v>7.7470800000000006E-2</v>
      </c>
      <c r="AR396" s="8">
        <v>0</v>
      </c>
      <c r="AS396">
        <v>2.6885110000000001</v>
      </c>
    </row>
    <row r="397" spans="1:45" x14ac:dyDescent="0.25">
      <c r="A397">
        <v>73</v>
      </c>
      <c r="B397">
        <v>1999</v>
      </c>
      <c r="C397" s="8">
        <v>0</v>
      </c>
      <c r="D397">
        <v>0.18901000000000001</v>
      </c>
      <c r="E397">
        <v>0.30207089999999998</v>
      </c>
      <c r="F397">
        <v>0.119214</v>
      </c>
      <c r="G397">
        <v>5.9035149999999996</v>
      </c>
      <c r="H397">
        <v>1.47393</v>
      </c>
      <c r="Q397" s="10">
        <f t="shared" si="32"/>
        <v>4.3195661790006966E-6</v>
      </c>
      <c r="AI397">
        <v>0.15770980000000001</v>
      </c>
      <c r="AJ397">
        <f t="shared" si="31"/>
        <v>0.15770980000000001</v>
      </c>
      <c r="AO397">
        <v>0.15770980000000001</v>
      </c>
      <c r="AR397" s="8">
        <v>0</v>
      </c>
      <c r="AS397">
        <v>0.36114309999999999</v>
      </c>
    </row>
    <row r="398" spans="1:45" x14ac:dyDescent="0.25">
      <c r="A398">
        <v>73</v>
      </c>
      <c r="B398">
        <v>2000</v>
      </c>
      <c r="C398" s="8">
        <v>0</v>
      </c>
      <c r="D398">
        <v>7.7470800000000006E-2</v>
      </c>
      <c r="E398">
        <v>0.30065829999999999</v>
      </c>
      <c r="F398">
        <v>8.6640999999999996E-2</v>
      </c>
      <c r="G398">
        <v>2.8473069999999998</v>
      </c>
      <c r="H398">
        <v>1.163489</v>
      </c>
      <c r="Q398" s="10">
        <f t="shared" si="32"/>
        <v>5.7647813778236045E-4</v>
      </c>
      <c r="AI398">
        <v>0.1787986</v>
      </c>
      <c r="AJ398">
        <f t="shared" si="31"/>
        <v>0.1787986</v>
      </c>
      <c r="AO398">
        <v>0.1787986</v>
      </c>
      <c r="AR398" s="8">
        <v>0</v>
      </c>
      <c r="AS398">
        <v>0.43611349999999999</v>
      </c>
    </row>
    <row r="399" spans="1:45" x14ac:dyDescent="0.25">
      <c r="A399">
        <v>73</v>
      </c>
      <c r="B399">
        <v>2001</v>
      </c>
      <c r="C399" s="8">
        <v>0</v>
      </c>
      <c r="D399">
        <v>0.15770980000000001</v>
      </c>
      <c r="E399">
        <v>0.26578659999999998</v>
      </c>
      <c r="F399">
        <v>0.1213122</v>
      </c>
      <c r="G399">
        <v>2.9546739999999998</v>
      </c>
      <c r="H399">
        <v>0.9777806</v>
      </c>
      <c r="Q399" s="10">
        <f t="shared" si="32"/>
        <v>3.5694725240873729E-4</v>
      </c>
      <c r="AI399">
        <v>0.1688182</v>
      </c>
      <c r="AJ399">
        <f t="shared" si="31"/>
        <v>0.1688182</v>
      </c>
      <c r="AO399">
        <v>0.1688182</v>
      </c>
      <c r="AR399" s="8">
        <v>0</v>
      </c>
      <c r="AS399">
        <v>5.9035149999999996</v>
      </c>
    </row>
    <row r="400" spans="1:45" x14ac:dyDescent="0.25">
      <c r="A400">
        <v>73</v>
      </c>
      <c r="B400">
        <v>2002</v>
      </c>
      <c r="C400" s="8">
        <v>0</v>
      </c>
      <c r="D400">
        <v>0.1787986</v>
      </c>
      <c r="E400">
        <v>0.26532919999999999</v>
      </c>
      <c r="F400">
        <v>0.1017961</v>
      </c>
      <c r="G400">
        <v>1.928504</v>
      </c>
      <c r="H400">
        <v>0.9399824</v>
      </c>
      <c r="Q400" s="10">
        <f t="shared" si="32"/>
        <v>2.107429431584611E-3</v>
      </c>
      <c r="AI400">
        <v>0.2067447</v>
      </c>
      <c r="AJ400">
        <f t="shared" si="31"/>
        <v>0.2067447</v>
      </c>
      <c r="AO400">
        <v>0.2067447</v>
      </c>
      <c r="AR400" s="8">
        <v>0</v>
      </c>
      <c r="AS400">
        <v>2.8473069999999998</v>
      </c>
    </row>
    <row r="401" spans="1:45" x14ac:dyDescent="0.25">
      <c r="A401">
        <v>73</v>
      </c>
      <c r="B401">
        <v>2003</v>
      </c>
      <c r="C401" s="8">
        <v>0</v>
      </c>
      <c r="D401">
        <v>0.1688182</v>
      </c>
      <c r="E401">
        <v>0.31858789999999998</v>
      </c>
      <c r="F401">
        <v>0.12884660000000001</v>
      </c>
      <c r="G401">
        <v>3.3380239999999999</v>
      </c>
      <c r="H401">
        <v>1.0020560000000001</v>
      </c>
      <c r="Q401" s="10">
        <f t="shared" si="32"/>
        <v>1.7234068840917257E-4</v>
      </c>
      <c r="AI401">
        <v>6.4599500000000004E-2</v>
      </c>
      <c r="AJ401">
        <f t="shared" si="31"/>
        <v>6.4599500000000004E-2</v>
      </c>
      <c r="AO401">
        <v>6.4599500000000004E-2</v>
      </c>
      <c r="AR401" s="8">
        <v>0</v>
      </c>
      <c r="AS401">
        <v>2.9546739999999998</v>
      </c>
    </row>
    <row r="402" spans="1:45" x14ac:dyDescent="0.25">
      <c r="A402">
        <v>73</v>
      </c>
      <c r="B402">
        <v>2004</v>
      </c>
      <c r="C402" s="8">
        <v>0</v>
      </c>
      <c r="D402">
        <v>0.2067447</v>
      </c>
      <c r="E402">
        <v>0.38140049999999998</v>
      </c>
      <c r="F402">
        <v>0.1128574</v>
      </c>
      <c r="G402">
        <v>3.0627409999999999</v>
      </c>
      <c r="H402">
        <v>0.94271479999999996</v>
      </c>
      <c r="Q402" s="10">
        <f t="shared" si="32"/>
        <v>2.7139433448698346E-4</v>
      </c>
      <c r="AI402">
        <v>6.5496899999999997E-2</v>
      </c>
      <c r="AJ402">
        <f t="shared" si="31"/>
        <v>6.5496899999999997E-2</v>
      </c>
      <c r="AO402">
        <v>6.5496899999999997E-2</v>
      </c>
      <c r="AR402" s="8">
        <v>0</v>
      </c>
      <c r="AS402">
        <v>1.928504</v>
      </c>
    </row>
    <row r="403" spans="1:45" x14ac:dyDescent="0.25">
      <c r="A403">
        <v>74</v>
      </c>
      <c r="B403">
        <v>1999</v>
      </c>
      <c r="C403" s="8">
        <v>0</v>
      </c>
      <c r="D403">
        <v>6.4599500000000004E-2</v>
      </c>
      <c r="E403">
        <v>-0.11623459999999999</v>
      </c>
      <c r="F403">
        <v>1.8562499999999999E-2</v>
      </c>
      <c r="G403">
        <v>0.30531079999999999</v>
      </c>
      <c r="H403">
        <v>0.22483230000000001</v>
      </c>
      <c r="Q403" s="10">
        <f t="shared" si="32"/>
        <v>5.5024001308540682E-2</v>
      </c>
      <c r="AI403">
        <v>9.3111100000000002E-2</v>
      </c>
      <c r="AJ403">
        <f t="shared" si="31"/>
        <v>9.3111100000000002E-2</v>
      </c>
      <c r="AO403">
        <v>9.3111100000000002E-2</v>
      </c>
      <c r="AR403" s="8">
        <v>0</v>
      </c>
      <c r="AS403">
        <v>3.3380239999999999</v>
      </c>
    </row>
    <row r="404" spans="1:45" x14ac:dyDescent="0.25">
      <c r="A404">
        <v>74</v>
      </c>
      <c r="B404">
        <v>2000</v>
      </c>
      <c r="C404" s="8">
        <v>1</v>
      </c>
      <c r="D404">
        <v>6.5496899999999997E-2</v>
      </c>
      <c r="E404">
        <v>-0.1320064</v>
      </c>
      <c r="F404">
        <v>4.3704E-3</v>
      </c>
      <c r="G404">
        <v>8.4955199999999995E-2</v>
      </c>
      <c r="H404">
        <v>0.1891719</v>
      </c>
      <c r="Q404" s="10">
        <f t="shared" si="32"/>
        <v>8.4904271160428382E-2</v>
      </c>
      <c r="AI404">
        <v>-1.65801E-2</v>
      </c>
      <c r="AJ404">
        <f t="shared" si="31"/>
        <v>-1.65801E-2</v>
      </c>
      <c r="AO404">
        <v>-1.65801E-2</v>
      </c>
      <c r="AR404" s="8">
        <v>0</v>
      </c>
      <c r="AS404">
        <v>3.0627409999999999</v>
      </c>
    </row>
    <row r="405" spans="1:45" x14ac:dyDescent="0.25">
      <c r="A405">
        <v>75</v>
      </c>
      <c r="B405">
        <v>1999</v>
      </c>
      <c r="C405" s="8">
        <v>0</v>
      </c>
      <c r="D405">
        <v>9.3111100000000002E-2</v>
      </c>
      <c r="E405">
        <v>-4.1657800000000002E-2</v>
      </c>
      <c r="F405">
        <v>2.56142E-2</v>
      </c>
      <c r="G405">
        <v>0.3656778</v>
      </c>
      <c r="H405">
        <v>0.34493600000000002</v>
      </c>
      <c r="Q405" s="10">
        <f t="shared" si="32"/>
        <v>4.6610933671274335E-2</v>
      </c>
      <c r="AI405">
        <v>5.57799E-2</v>
      </c>
      <c r="AJ405">
        <f t="shared" si="31"/>
        <v>5.57799E-2</v>
      </c>
      <c r="AO405">
        <v>5.57799E-2</v>
      </c>
      <c r="AR405" s="8">
        <v>0</v>
      </c>
      <c r="AS405">
        <v>0.30531079999999999</v>
      </c>
    </row>
    <row r="406" spans="1:45" x14ac:dyDescent="0.25">
      <c r="A406">
        <v>75</v>
      </c>
      <c r="B406">
        <v>2000</v>
      </c>
      <c r="C406" s="8">
        <v>0</v>
      </c>
      <c r="D406">
        <v>-1.65801E-2</v>
      </c>
      <c r="E406">
        <v>-6.0391100000000003E-2</v>
      </c>
      <c r="F406">
        <v>3.00085E-2</v>
      </c>
      <c r="G406">
        <v>0.66758130000000004</v>
      </c>
      <c r="H406">
        <v>0.37610529999999998</v>
      </c>
      <c r="Q406" s="10">
        <f t="shared" si="32"/>
        <v>2.837806216724351E-2</v>
      </c>
      <c r="AI406">
        <v>0.1082404</v>
      </c>
      <c r="AJ406">
        <f t="shared" si="31"/>
        <v>0.1082404</v>
      </c>
      <c r="AO406">
        <v>0.1082404</v>
      </c>
      <c r="AR406" s="8">
        <v>1</v>
      </c>
      <c r="AS406">
        <v>8.4955199999999995E-2</v>
      </c>
    </row>
    <row r="407" spans="1:45" x14ac:dyDescent="0.25">
      <c r="A407">
        <v>75</v>
      </c>
      <c r="B407">
        <v>2001</v>
      </c>
      <c r="C407" s="8">
        <v>0</v>
      </c>
      <c r="D407">
        <v>5.57799E-2</v>
      </c>
      <c r="E407">
        <v>-0.26799780000000001</v>
      </c>
      <c r="F407">
        <v>6.0458999999999999E-2</v>
      </c>
      <c r="G407">
        <v>0.68437689999999995</v>
      </c>
      <c r="H407">
        <v>0.4339961</v>
      </c>
      <c r="Q407" s="10">
        <f t="shared" si="32"/>
        <v>3.1190180710684041E-2</v>
      </c>
      <c r="AI407">
        <v>0.15758520000000001</v>
      </c>
      <c r="AJ407">
        <f t="shared" si="31"/>
        <v>0.15758520000000001</v>
      </c>
      <c r="AO407">
        <v>0.15758520000000001</v>
      </c>
      <c r="AR407" s="8">
        <v>0</v>
      </c>
      <c r="AS407">
        <v>0.3656778</v>
      </c>
    </row>
    <row r="408" spans="1:45" x14ac:dyDescent="0.25">
      <c r="A408">
        <v>75</v>
      </c>
      <c r="B408">
        <v>2003</v>
      </c>
      <c r="C408" s="8">
        <v>0</v>
      </c>
      <c r="D408">
        <v>0.1082404</v>
      </c>
      <c r="E408">
        <v>-0.3946674</v>
      </c>
      <c r="F408">
        <v>5.5288400000000001E-2</v>
      </c>
      <c r="G408">
        <v>0.85279749999999999</v>
      </c>
      <c r="H408">
        <v>0.37346449999999998</v>
      </c>
      <c r="Q408" s="10">
        <f t="shared" si="32"/>
        <v>2.946648807450979E-2</v>
      </c>
      <c r="AI408">
        <v>3.0913699999999999E-2</v>
      </c>
      <c r="AJ408">
        <f t="shared" si="31"/>
        <v>3.0913699999999999E-2</v>
      </c>
      <c r="AO408">
        <v>3.0913699999999999E-2</v>
      </c>
      <c r="AR408" s="8">
        <v>0</v>
      </c>
      <c r="AS408">
        <v>0.66758130000000004</v>
      </c>
    </row>
    <row r="409" spans="1:45" x14ac:dyDescent="0.25">
      <c r="A409">
        <v>75</v>
      </c>
      <c r="B409">
        <v>2004</v>
      </c>
      <c r="C409" s="8">
        <v>0</v>
      </c>
      <c r="D409">
        <v>0.15758520000000001</v>
      </c>
      <c r="E409">
        <v>-0.36332959999999997</v>
      </c>
      <c r="F409">
        <v>5.5391999999999997E-2</v>
      </c>
      <c r="G409">
        <v>0.94156390000000001</v>
      </c>
      <c r="H409">
        <v>0.4141532</v>
      </c>
      <c r="Q409" s="10">
        <f t="shared" si="32"/>
        <v>2.5661158631592042E-2</v>
      </c>
      <c r="AI409">
        <v>6.5524899999999997E-2</v>
      </c>
      <c r="AJ409">
        <f t="shared" si="31"/>
        <v>6.5524899999999997E-2</v>
      </c>
      <c r="AO409">
        <v>6.5524899999999997E-2</v>
      </c>
      <c r="AR409" s="8">
        <v>0</v>
      </c>
      <c r="AS409">
        <v>0.68437689999999995</v>
      </c>
    </row>
    <row r="410" spans="1:45" x14ac:dyDescent="0.25">
      <c r="A410">
        <v>76</v>
      </c>
      <c r="B410">
        <v>1996</v>
      </c>
      <c r="C410" s="8">
        <v>0</v>
      </c>
      <c r="D410">
        <v>3.0913699999999999E-2</v>
      </c>
      <c r="E410">
        <v>-0.105063</v>
      </c>
      <c r="F410">
        <v>5.2774399999999999E-2</v>
      </c>
      <c r="G410">
        <v>0.97566589999999997</v>
      </c>
      <c r="H410">
        <v>8.4078100000000003E-2</v>
      </c>
      <c r="Q410" s="10">
        <f t="shared" si="32"/>
        <v>1.3350535676019331E-2</v>
      </c>
      <c r="AI410">
        <v>0.37698530000000002</v>
      </c>
      <c r="AJ410">
        <f t="shared" si="31"/>
        <v>0.37698530000000002</v>
      </c>
      <c r="AO410">
        <v>0.37698530000000002</v>
      </c>
      <c r="AR410" s="8">
        <v>0</v>
      </c>
      <c r="AS410">
        <v>0.85279749999999999</v>
      </c>
    </row>
    <row r="411" spans="1:45" x14ac:dyDescent="0.25">
      <c r="A411">
        <v>76</v>
      </c>
      <c r="B411">
        <v>1997</v>
      </c>
      <c r="C411" s="8">
        <v>1</v>
      </c>
      <c r="D411">
        <v>6.5524899999999997E-2</v>
      </c>
      <c r="E411">
        <v>-0.22874269999999999</v>
      </c>
      <c r="F411">
        <v>-0.13054180000000001</v>
      </c>
      <c r="G411">
        <v>0.83395680000000005</v>
      </c>
      <c r="H411">
        <v>9.4177800000000006E-2</v>
      </c>
      <c r="Q411" s="10">
        <f t="shared" si="32"/>
        <v>8.240274569917419E-2</v>
      </c>
      <c r="AI411">
        <v>0.29734569999999999</v>
      </c>
      <c r="AJ411">
        <f t="shared" si="31"/>
        <v>0.29734569999999999</v>
      </c>
      <c r="AO411">
        <v>0.29734569999999999</v>
      </c>
      <c r="AR411" s="8">
        <v>0</v>
      </c>
      <c r="AS411">
        <v>0.94156390000000001</v>
      </c>
    </row>
    <row r="412" spans="1:45" x14ac:dyDescent="0.25">
      <c r="A412">
        <v>77</v>
      </c>
      <c r="B412">
        <v>1996</v>
      </c>
      <c r="C412" s="8">
        <v>0</v>
      </c>
      <c r="D412">
        <v>0.37698530000000002</v>
      </c>
      <c r="E412">
        <v>4.7507899999999999E-2</v>
      </c>
      <c r="F412">
        <v>2.2253100000000001E-2</v>
      </c>
      <c r="G412">
        <v>0.26763209999999998</v>
      </c>
      <c r="H412">
        <v>0.21180479999999999</v>
      </c>
      <c r="Q412" s="10">
        <f t="shared" si="32"/>
        <v>5.0710810126609211E-2</v>
      </c>
      <c r="AI412">
        <v>0.23901249999999999</v>
      </c>
      <c r="AJ412">
        <f t="shared" si="31"/>
        <v>0.23901249999999999</v>
      </c>
      <c r="AO412">
        <v>0.23901249999999999</v>
      </c>
      <c r="AR412" s="8">
        <v>0</v>
      </c>
      <c r="AS412">
        <v>0.97566589999999997</v>
      </c>
    </row>
    <row r="413" spans="1:45" x14ac:dyDescent="0.25">
      <c r="A413">
        <v>77</v>
      </c>
      <c r="B413">
        <v>1997</v>
      </c>
      <c r="C413" s="8">
        <v>0</v>
      </c>
      <c r="D413">
        <v>0.29734569999999999</v>
      </c>
      <c r="E413">
        <v>-5.6424099999999998E-2</v>
      </c>
      <c r="F413">
        <v>3.6141800000000002E-2</v>
      </c>
      <c r="G413">
        <v>0.12599369999999999</v>
      </c>
      <c r="H413">
        <v>0.25267970000000001</v>
      </c>
      <c r="Q413" s="10">
        <f t="shared" si="32"/>
        <v>6.4675645506002966E-2</v>
      </c>
      <c r="AI413">
        <v>0.29040359999999998</v>
      </c>
      <c r="AJ413">
        <f t="shared" si="31"/>
        <v>0.29040359999999998</v>
      </c>
      <c r="AO413">
        <v>0.29040359999999998</v>
      </c>
      <c r="AR413" s="8">
        <v>1</v>
      </c>
      <c r="AS413">
        <v>0.83395680000000005</v>
      </c>
    </row>
    <row r="414" spans="1:45" x14ac:dyDescent="0.25">
      <c r="A414">
        <v>77</v>
      </c>
      <c r="B414">
        <v>1998</v>
      </c>
      <c r="C414" s="8">
        <v>1</v>
      </c>
      <c r="D414">
        <v>0.23901249999999999</v>
      </c>
      <c r="E414">
        <v>-0.20424970000000001</v>
      </c>
      <c r="F414">
        <v>2.2092199999999999E-2</v>
      </c>
      <c r="G414">
        <v>4.7139899999999998E-2</v>
      </c>
      <c r="H414">
        <v>0.23221439999999999</v>
      </c>
      <c r="Q414" s="10">
        <f t="shared" si="32"/>
        <v>9.4886548191444556E-2</v>
      </c>
      <c r="AI414">
        <v>0.31045729999999999</v>
      </c>
      <c r="AJ414">
        <f t="shared" si="31"/>
        <v>0.31045729999999999</v>
      </c>
      <c r="AO414">
        <v>0.31045729999999999</v>
      </c>
      <c r="AR414" s="8">
        <v>0</v>
      </c>
      <c r="AS414">
        <v>0.26763209999999998</v>
      </c>
    </row>
    <row r="415" spans="1:45" x14ac:dyDescent="0.25">
      <c r="A415">
        <v>78</v>
      </c>
      <c r="B415">
        <v>1999</v>
      </c>
      <c r="C415" s="8">
        <v>0</v>
      </c>
      <c r="D415">
        <v>0.29040359999999998</v>
      </c>
      <c r="E415">
        <v>0.32565929999999998</v>
      </c>
      <c r="F415">
        <v>5.64669E-2</v>
      </c>
      <c r="G415">
        <v>0.67444550000000003</v>
      </c>
      <c r="H415">
        <v>0.31983470000000003</v>
      </c>
      <c r="Q415" s="10">
        <f t="shared" si="32"/>
        <v>1.4415703431546138E-2</v>
      </c>
      <c r="AI415">
        <v>0.3817393</v>
      </c>
      <c r="AJ415">
        <f t="shared" si="31"/>
        <v>0.3817393</v>
      </c>
      <c r="AO415">
        <v>0.3817393</v>
      </c>
      <c r="AR415" s="8">
        <v>0</v>
      </c>
      <c r="AS415">
        <v>0.12599369999999999</v>
      </c>
    </row>
    <row r="416" spans="1:45" x14ac:dyDescent="0.25">
      <c r="A416">
        <v>78</v>
      </c>
      <c r="B416">
        <v>2000</v>
      </c>
      <c r="C416" s="8">
        <v>0</v>
      </c>
      <c r="D416">
        <v>0.31045729999999999</v>
      </c>
      <c r="E416">
        <v>0.37282910000000002</v>
      </c>
      <c r="F416">
        <v>6.3725699999999996E-2</v>
      </c>
      <c r="G416">
        <v>1.029431</v>
      </c>
      <c r="H416">
        <v>0.29714010000000002</v>
      </c>
      <c r="Q416" s="10">
        <f t="shared" si="32"/>
        <v>7.2245254181649834E-3</v>
      </c>
      <c r="AI416">
        <v>0.37947520000000001</v>
      </c>
      <c r="AJ416">
        <f t="shared" si="31"/>
        <v>0.37947520000000001</v>
      </c>
      <c r="AO416">
        <v>0.37947520000000001</v>
      </c>
      <c r="AR416" s="8">
        <v>1</v>
      </c>
      <c r="AS416">
        <v>4.7139899999999998E-2</v>
      </c>
    </row>
    <row r="417" spans="1:45" x14ac:dyDescent="0.25">
      <c r="A417">
        <v>78</v>
      </c>
      <c r="B417">
        <v>2001</v>
      </c>
      <c r="C417" s="8">
        <v>0</v>
      </c>
      <c r="D417">
        <v>0.3817393</v>
      </c>
      <c r="E417">
        <v>0.39153840000000001</v>
      </c>
      <c r="F417">
        <v>8.9960399999999996E-2</v>
      </c>
      <c r="G417">
        <v>2.005995</v>
      </c>
      <c r="H417">
        <v>0.3662996</v>
      </c>
      <c r="Q417" s="10">
        <f t="shared" si="32"/>
        <v>1.3002106454858761E-3</v>
      </c>
      <c r="AI417">
        <v>0.46635979999999999</v>
      </c>
      <c r="AJ417">
        <f t="shared" si="31"/>
        <v>0.46635979999999999</v>
      </c>
      <c r="AO417">
        <v>0.46635979999999999</v>
      </c>
      <c r="AR417" s="8">
        <v>0</v>
      </c>
      <c r="AS417">
        <v>0.67444550000000003</v>
      </c>
    </row>
    <row r="418" spans="1:45" x14ac:dyDescent="0.25">
      <c r="A418">
        <v>78</v>
      </c>
      <c r="B418">
        <v>2002</v>
      </c>
      <c r="C418" s="8">
        <v>0</v>
      </c>
      <c r="D418">
        <v>0.37947520000000001</v>
      </c>
      <c r="E418">
        <v>0.51727429999999996</v>
      </c>
      <c r="F418">
        <v>8.4913500000000003E-2</v>
      </c>
      <c r="G418">
        <v>2.9821</v>
      </c>
      <c r="H418">
        <v>0.37346259999999998</v>
      </c>
      <c r="Q418" s="10">
        <f t="shared" si="32"/>
        <v>2.3909881236759291E-4</v>
      </c>
      <c r="AI418">
        <v>0.46392129999999998</v>
      </c>
      <c r="AJ418">
        <f t="shared" si="31"/>
        <v>0.46392129999999998</v>
      </c>
      <c r="AO418">
        <v>0.46392129999999998</v>
      </c>
      <c r="AR418" s="8">
        <v>0</v>
      </c>
      <c r="AS418">
        <v>1.029431</v>
      </c>
    </row>
    <row r="419" spans="1:45" x14ac:dyDescent="0.25">
      <c r="A419">
        <v>78</v>
      </c>
      <c r="B419">
        <v>2003</v>
      </c>
      <c r="C419" s="8">
        <v>0</v>
      </c>
      <c r="D419">
        <v>0.46635979999999999</v>
      </c>
      <c r="E419">
        <v>0.48164610000000002</v>
      </c>
      <c r="F419">
        <v>6.1995700000000001E-2</v>
      </c>
      <c r="G419">
        <v>3.0220609999999999</v>
      </c>
      <c r="H419">
        <v>0.28947469999999997</v>
      </c>
      <c r="Q419" s="10">
        <f t="shared" si="32"/>
        <v>2.7928576256486037E-4</v>
      </c>
      <c r="AI419">
        <v>0.1171328</v>
      </c>
      <c r="AJ419">
        <f t="shared" si="31"/>
        <v>0.1171328</v>
      </c>
      <c r="AO419">
        <v>0.1171328</v>
      </c>
      <c r="AR419" s="8">
        <v>0</v>
      </c>
      <c r="AS419">
        <v>2.005995</v>
      </c>
    </row>
    <row r="420" spans="1:45" x14ac:dyDescent="0.25">
      <c r="A420">
        <v>78</v>
      </c>
      <c r="B420">
        <v>2004</v>
      </c>
      <c r="C420" s="8">
        <v>0</v>
      </c>
      <c r="D420">
        <v>0.46392129999999998</v>
      </c>
      <c r="E420">
        <v>0.43194169999999998</v>
      </c>
      <c r="F420">
        <v>5.3459100000000002E-2</v>
      </c>
      <c r="G420">
        <v>1.882919</v>
      </c>
      <c r="H420">
        <v>0.25929920000000001</v>
      </c>
      <c r="Q420" s="10">
        <f t="shared" si="32"/>
        <v>1.9328585461219651E-3</v>
      </c>
      <c r="AI420">
        <v>0.11541170000000001</v>
      </c>
      <c r="AJ420">
        <f t="shared" si="31"/>
        <v>0.11541170000000001</v>
      </c>
      <c r="AO420">
        <v>0.11541170000000001</v>
      </c>
      <c r="AR420" s="8">
        <v>0</v>
      </c>
      <c r="AS420">
        <v>2.9821</v>
      </c>
    </row>
    <row r="421" spans="1:45" x14ac:dyDescent="0.25">
      <c r="A421">
        <v>79</v>
      </c>
      <c r="B421">
        <v>1999</v>
      </c>
      <c r="C421" s="8">
        <v>0</v>
      </c>
      <c r="D421">
        <v>0.1171328</v>
      </c>
      <c r="E421">
        <v>3.2626999999999999E-3</v>
      </c>
      <c r="F421">
        <v>8.4226999999999996E-2</v>
      </c>
      <c r="G421">
        <v>1.4384729999999999</v>
      </c>
      <c r="H421">
        <v>0.3693533</v>
      </c>
      <c r="Q421" s="10">
        <f t="shared" si="32"/>
        <v>5.2887824578371828E-3</v>
      </c>
      <c r="AI421">
        <v>0.2362969</v>
      </c>
      <c r="AJ421">
        <f t="shared" si="31"/>
        <v>0.2362969</v>
      </c>
      <c r="AO421">
        <v>0.2362969</v>
      </c>
      <c r="AR421" s="8">
        <v>0</v>
      </c>
      <c r="AS421">
        <v>3.0220609999999999</v>
      </c>
    </row>
    <row r="422" spans="1:45" x14ac:dyDescent="0.25">
      <c r="A422">
        <v>79</v>
      </c>
      <c r="B422">
        <v>2000</v>
      </c>
      <c r="C422" s="8">
        <v>0</v>
      </c>
      <c r="D422">
        <v>0.11541170000000001</v>
      </c>
      <c r="E422">
        <v>5.3651499999999998E-2</v>
      </c>
      <c r="F422">
        <v>5.8967499999999999E-2</v>
      </c>
      <c r="G422">
        <v>0.98854569999999997</v>
      </c>
      <c r="H422">
        <v>0.33496930000000003</v>
      </c>
      <c r="Q422" s="10">
        <f t="shared" si="32"/>
        <v>1.1972494224650359E-2</v>
      </c>
      <c r="AI422">
        <v>0.21200379999999999</v>
      </c>
      <c r="AJ422">
        <f t="shared" si="31"/>
        <v>0.21200379999999999</v>
      </c>
      <c r="AO422">
        <v>0.21200379999999999</v>
      </c>
      <c r="AR422" s="8">
        <v>0</v>
      </c>
      <c r="AS422">
        <v>1.882919</v>
      </c>
    </row>
    <row r="423" spans="1:45" x14ac:dyDescent="0.25">
      <c r="A423">
        <v>79</v>
      </c>
      <c r="B423">
        <v>2001</v>
      </c>
      <c r="C423" s="8">
        <v>0</v>
      </c>
      <c r="D423">
        <v>0.2362969</v>
      </c>
      <c r="E423">
        <v>6.5634999999999999E-2</v>
      </c>
      <c r="F423">
        <v>5.4391200000000001E-2</v>
      </c>
      <c r="G423">
        <v>0.93740210000000002</v>
      </c>
      <c r="H423">
        <v>0.32539050000000003</v>
      </c>
      <c r="Q423" s="10">
        <f t="shared" si="32"/>
        <v>1.3812714816125914E-2</v>
      </c>
      <c r="AI423">
        <v>0.23748349999999999</v>
      </c>
      <c r="AJ423">
        <f t="shared" si="31"/>
        <v>0.23748349999999999</v>
      </c>
      <c r="AO423">
        <v>0.23748349999999999</v>
      </c>
      <c r="AR423" s="8">
        <v>0</v>
      </c>
      <c r="AS423">
        <v>1.4384729999999999</v>
      </c>
    </row>
    <row r="424" spans="1:45" x14ac:dyDescent="0.25">
      <c r="A424">
        <v>79</v>
      </c>
      <c r="B424">
        <v>2002</v>
      </c>
      <c r="C424" s="8">
        <v>0</v>
      </c>
      <c r="D424">
        <v>0.21200379999999999</v>
      </c>
      <c r="E424">
        <v>3.2812899999999999E-2</v>
      </c>
      <c r="F424">
        <v>6.5084299999999998E-2</v>
      </c>
      <c r="G424">
        <v>1.007641</v>
      </c>
      <c r="H424">
        <v>0.32111640000000002</v>
      </c>
      <c r="Q424" s="10">
        <f t="shared" si="32"/>
        <v>1.1765884235310008E-2</v>
      </c>
      <c r="AI424">
        <v>0.24546870000000001</v>
      </c>
      <c r="AJ424">
        <f t="shared" si="31"/>
        <v>0.24546870000000001</v>
      </c>
      <c r="AO424">
        <v>0.24546870000000001</v>
      </c>
      <c r="AR424" s="8">
        <v>0</v>
      </c>
      <c r="AS424">
        <v>0.98854569999999997</v>
      </c>
    </row>
    <row r="425" spans="1:45" x14ac:dyDescent="0.25">
      <c r="A425">
        <v>79</v>
      </c>
      <c r="B425">
        <v>2003</v>
      </c>
      <c r="C425" s="8">
        <v>0</v>
      </c>
      <c r="D425">
        <v>0.23748349999999999</v>
      </c>
      <c r="E425">
        <v>9.7600800000000001E-2</v>
      </c>
      <c r="F425">
        <v>6.2421299999999999E-2</v>
      </c>
      <c r="G425">
        <v>1.163937</v>
      </c>
      <c r="H425">
        <v>0.34595589999999998</v>
      </c>
      <c r="Q425" s="10">
        <f t="shared" si="32"/>
        <v>8.777589536106167E-3</v>
      </c>
      <c r="AI425">
        <v>-6.2080000000000002E-4</v>
      </c>
      <c r="AJ425">
        <f t="shared" si="31"/>
        <v>-6.2080000000000002E-4</v>
      </c>
      <c r="AO425">
        <v>-6.2080000000000002E-4</v>
      </c>
      <c r="AR425" s="8">
        <v>0</v>
      </c>
      <c r="AS425">
        <v>0.93740210000000002</v>
      </c>
    </row>
    <row r="426" spans="1:45" x14ac:dyDescent="0.25">
      <c r="A426">
        <v>79</v>
      </c>
      <c r="B426">
        <v>2004</v>
      </c>
      <c r="C426" s="8">
        <v>0</v>
      </c>
      <c r="D426">
        <v>0.24546870000000001</v>
      </c>
      <c r="E426">
        <v>0.17855770000000001</v>
      </c>
      <c r="F426">
        <v>6.6895899999999994E-2</v>
      </c>
      <c r="G426">
        <v>1.8326150000000001</v>
      </c>
      <c r="H426">
        <v>0.3335687</v>
      </c>
      <c r="Q426" s="10">
        <f t="shared" si="32"/>
        <v>2.5985190802429582E-3</v>
      </c>
      <c r="AI426">
        <v>-9.5508899999999994E-2</v>
      </c>
      <c r="AJ426">
        <f t="shared" si="31"/>
        <v>-9.5508899999999994E-2</v>
      </c>
      <c r="AO426">
        <v>-9.5508899999999994E-2</v>
      </c>
      <c r="AR426" s="8">
        <v>0</v>
      </c>
      <c r="AS426">
        <v>1.007641</v>
      </c>
    </row>
    <row r="427" spans="1:45" x14ac:dyDescent="0.25">
      <c r="A427">
        <v>80</v>
      </c>
      <c r="B427">
        <v>1999</v>
      </c>
      <c r="C427" s="8">
        <v>0</v>
      </c>
      <c r="D427">
        <v>-6.2080000000000002E-4</v>
      </c>
      <c r="E427">
        <v>0.27483669999999999</v>
      </c>
      <c r="F427">
        <v>3.5412100000000002E-2</v>
      </c>
      <c r="G427">
        <v>1.067496</v>
      </c>
      <c r="H427">
        <v>0.34915869999999999</v>
      </c>
      <c r="Q427" s="10">
        <f t="shared" si="32"/>
        <v>8.9121300063197233E-3</v>
      </c>
      <c r="AI427">
        <v>-0.19410859999999999</v>
      </c>
      <c r="AJ427">
        <f t="shared" si="31"/>
        <v>-0.113345184</v>
      </c>
      <c r="AO427">
        <v>-0.113345184</v>
      </c>
      <c r="AR427" s="8">
        <v>0</v>
      </c>
      <c r="AS427">
        <v>1.163937</v>
      </c>
    </row>
    <row r="428" spans="1:45" x14ac:dyDescent="0.25">
      <c r="A428">
        <v>80</v>
      </c>
      <c r="B428">
        <v>2000</v>
      </c>
      <c r="C428" s="8">
        <v>0</v>
      </c>
      <c r="D428">
        <v>-9.5508899999999994E-2</v>
      </c>
      <c r="E428">
        <v>0.1702128</v>
      </c>
      <c r="F428">
        <v>7.0114899999999994E-2</v>
      </c>
      <c r="G428">
        <v>1.0163610000000001</v>
      </c>
      <c r="H428">
        <v>0.47193299999999999</v>
      </c>
      <c r="Q428" s="10">
        <f t="shared" si="32"/>
        <v>8.8486598036948833E-3</v>
      </c>
      <c r="AI428">
        <v>-0.1041661</v>
      </c>
      <c r="AJ428">
        <f t="shared" si="31"/>
        <v>-0.1041661</v>
      </c>
      <c r="AO428">
        <v>-0.1041661</v>
      </c>
      <c r="AR428" s="8">
        <v>0</v>
      </c>
      <c r="AS428">
        <v>1.8326150000000001</v>
      </c>
    </row>
    <row r="429" spans="1:45" x14ac:dyDescent="0.25">
      <c r="A429">
        <v>80</v>
      </c>
      <c r="B429">
        <v>2001</v>
      </c>
      <c r="C429" s="8">
        <v>0</v>
      </c>
      <c r="D429">
        <v>-0.19410859999999999</v>
      </c>
      <c r="E429">
        <v>0.18918779999999999</v>
      </c>
      <c r="F429">
        <v>3.03732E-2</v>
      </c>
      <c r="G429">
        <v>0.80509750000000002</v>
      </c>
      <c r="H429">
        <v>8.6286399999999999E-2</v>
      </c>
      <c r="Q429" s="10">
        <f t="shared" si="32"/>
        <v>1.2474951696849965E-2</v>
      </c>
      <c r="AI429">
        <v>0.1374891</v>
      </c>
      <c r="AJ429">
        <f t="shared" si="31"/>
        <v>0.1374891</v>
      </c>
      <c r="AO429">
        <v>0.1374891</v>
      </c>
      <c r="AR429" s="8">
        <v>0</v>
      </c>
      <c r="AS429">
        <v>1.067496</v>
      </c>
    </row>
    <row r="430" spans="1:45" x14ac:dyDescent="0.25">
      <c r="A430">
        <v>80</v>
      </c>
      <c r="B430">
        <v>2002</v>
      </c>
      <c r="C430" s="8">
        <v>0</v>
      </c>
      <c r="D430">
        <v>-0.1041661</v>
      </c>
      <c r="E430">
        <v>0.18255199999999999</v>
      </c>
      <c r="F430">
        <v>4.6041400000000003E-2</v>
      </c>
      <c r="G430">
        <v>0.51964960000000004</v>
      </c>
      <c r="H430">
        <v>0.16585140000000001</v>
      </c>
      <c r="Q430" s="10">
        <f t="shared" si="32"/>
        <v>1.8970944202546913E-2</v>
      </c>
      <c r="AI430">
        <v>0.1035312</v>
      </c>
      <c r="AJ430">
        <f t="shared" si="31"/>
        <v>0.1035312</v>
      </c>
      <c r="AO430">
        <v>0.1035312</v>
      </c>
      <c r="AR430" s="8">
        <v>0</v>
      </c>
      <c r="AS430">
        <v>1.0163610000000001</v>
      </c>
    </row>
    <row r="431" spans="1:45" x14ac:dyDescent="0.25">
      <c r="A431">
        <v>80</v>
      </c>
      <c r="B431">
        <v>2003</v>
      </c>
      <c r="C431" s="8">
        <v>0</v>
      </c>
      <c r="D431">
        <v>0.1374891</v>
      </c>
      <c r="E431">
        <v>0.16866719999999999</v>
      </c>
      <c r="F431">
        <v>2.99455E-2</v>
      </c>
      <c r="G431">
        <v>0.74955329999999998</v>
      </c>
      <c r="H431">
        <v>0.17411670000000001</v>
      </c>
      <c r="Q431" s="10">
        <f t="shared" si="32"/>
        <v>1.69921904492411E-2</v>
      </c>
      <c r="AI431">
        <v>0.10808230000000001</v>
      </c>
      <c r="AJ431">
        <f t="shared" si="31"/>
        <v>0.10808230000000001</v>
      </c>
      <c r="AO431">
        <v>0.10808230000000001</v>
      </c>
      <c r="AR431" s="8">
        <v>0</v>
      </c>
      <c r="AS431">
        <v>0.80509750000000002</v>
      </c>
    </row>
    <row r="432" spans="1:45" x14ac:dyDescent="0.25">
      <c r="A432">
        <v>81</v>
      </c>
      <c r="B432">
        <v>1999</v>
      </c>
      <c r="C432" s="8">
        <v>0</v>
      </c>
      <c r="D432">
        <v>0.1035312</v>
      </c>
      <c r="E432">
        <v>0.29572320000000002</v>
      </c>
      <c r="F432">
        <v>2.8006099999999999E-2</v>
      </c>
      <c r="G432">
        <v>4.2895859999999999</v>
      </c>
      <c r="H432">
        <v>7.0791599999999996E-2</v>
      </c>
      <c r="Q432" s="10">
        <f t="shared" si="32"/>
        <v>4.7889223981908055E-5</v>
      </c>
      <c r="AI432">
        <v>0.1635143</v>
      </c>
      <c r="AJ432">
        <f t="shared" si="31"/>
        <v>0.1635143</v>
      </c>
      <c r="AO432">
        <v>0.1635143</v>
      </c>
      <c r="AR432" s="8">
        <v>0</v>
      </c>
      <c r="AS432">
        <v>0.51964960000000004</v>
      </c>
    </row>
    <row r="433" spans="1:45" x14ac:dyDescent="0.25">
      <c r="A433">
        <v>81</v>
      </c>
      <c r="B433">
        <v>2000</v>
      </c>
      <c r="C433" s="8">
        <v>0</v>
      </c>
      <c r="D433">
        <v>0.10808230000000001</v>
      </c>
      <c r="E433">
        <v>0.3098746</v>
      </c>
      <c r="F433">
        <v>5.2184000000000001E-2</v>
      </c>
      <c r="G433">
        <v>6.0768389999999997</v>
      </c>
      <c r="H433">
        <v>0.1118059</v>
      </c>
      <c r="Q433" s="10">
        <f t="shared" si="32"/>
        <v>2.3027557099060105E-6</v>
      </c>
      <c r="AI433">
        <v>9.1356699999999999E-2</v>
      </c>
      <c r="AJ433">
        <f t="shared" si="31"/>
        <v>9.1356699999999999E-2</v>
      </c>
      <c r="AO433">
        <v>9.1356699999999999E-2</v>
      </c>
      <c r="AR433" s="8">
        <v>0</v>
      </c>
      <c r="AS433">
        <v>0.74955329999999998</v>
      </c>
    </row>
    <row r="434" spans="1:45" x14ac:dyDescent="0.25">
      <c r="A434">
        <v>81</v>
      </c>
      <c r="B434">
        <v>2001</v>
      </c>
      <c r="C434" s="8">
        <v>0</v>
      </c>
      <c r="D434">
        <v>0.1635143</v>
      </c>
      <c r="E434">
        <v>0.36942740000000002</v>
      </c>
      <c r="F434">
        <v>4.6915900000000003E-2</v>
      </c>
      <c r="G434">
        <v>3.8101180000000001</v>
      </c>
      <c r="H434">
        <v>0.1034577</v>
      </c>
      <c r="Q434" s="10">
        <f t="shared" si="32"/>
        <v>8.3063487170150426E-5</v>
      </c>
      <c r="AI434">
        <v>0.14075670000000001</v>
      </c>
      <c r="AJ434">
        <f t="shared" si="31"/>
        <v>0.14075670000000001</v>
      </c>
      <c r="AO434">
        <v>0.14075670000000001</v>
      </c>
      <c r="AR434" s="8">
        <v>0</v>
      </c>
      <c r="AS434">
        <v>4.2895859999999999</v>
      </c>
    </row>
    <row r="435" spans="1:45" x14ac:dyDescent="0.25">
      <c r="A435">
        <v>81</v>
      </c>
      <c r="B435">
        <v>2002</v>
      </c>
      <c r="C435" s="8">
        <v>0</v>
      </c>
      <c r="D435">
        <v>9.1356699999999999E-2</v>
      </c>
      <c r="E435">
        <v>0.301257</v>
      </c>
      <c r="F435">
        <v>4.7917300000000003E-2</v>
      </c>
      <c r="G435">
        <v>4.0316809999999998</v>
      </c>
      <c r="H435">
        <v>7.9208399999999998E-2</v>
      </c>
      <c r="Q435" s="10">
        <f t="shared" si="32"/>
        <v>6.111315170796895E-5</v>
      </c>
      <c r="AI435">
        <v>0.1055653</v>
      </c>
      <c r="AJ435">
        <f t="shared" si="31"/>
        <v>0.1055653</v>
      </c>
      <c r="AO435">
        <v>0.1055653</v>
      </c>
      <c r="AR435" s="8">
        <v>0</v>
      </c>
      <c r="AS435">
        <v>6.0768389999999997</v>
      </c>
    </row>
    <row r="436" spans="1:45" x14ac:dyDescent="0.25">
      <c r="A436">
        <v>81</v>
      </c>
      <c r="B436">
        <v>2003</v>
      </c>
      <c r="C436" s="8">
        <v>0</v>
      </c>
      <c r="D436">
        <v>0.14075670000000001</v>
      </c>
      <c r="E436">
        <v>0.32405010000000001</v>
      </c>
      <c r="F436">
        <v>4.4675899999999998E-2</v>
      </c>
      <c r="G436">
        <v>3.7459570000000002</v>
      </c>
      <c r="H436">
        <v>8.2086000000000006E-2</v>
      </c>
      <c r="Q436" s="10">
        <f t="shared" si="32"/>
        <v>9.7813185713841434E-5</v>
      </c>
      <c r="AI436">
        <v>9.6011100000000002E-2</v>
      </c>
      <c r="AJ436">
        <f t="shared" si="31"/>
        <v>9.6011100000000002E-2</v>
      </c>
      <c r="AO436">
        <v>9.6011100000000002E-2</v>
      </c>
      <c r="AR436" s="8">
        <v>0</v>
      </c>
      <c r="AS436">
        <v>3.8101180000000001</v>
      </c>
    </row>
    <row r="437" spans="1:45" x14ac:dyDescent="0.25">
      <c r="A437">
        <v>81</v>
      </c>
      <c r="B437">
        <v>2004</v>
      </c>
      <c r="C437" s="8">
        <v>0</v>
      </c>
      <c r="D437">
        <v>0.1055653</v>
      </c>
      <c r="E437">
        <v>0.33246029999999999</v>
      </c>
      <c r="F437">
        <v>5.6804300000000002E-2</v>
      </c>
      <c r="G437">
        <v>4.2336980000000004</v>
      </c>
      <c r="H437">
        <v>7.7384900000000006E-2</v>
      </c>
      <c r="Q437" s="10">
        <f t="shared" si="32"/>
        <v>3.961134188361547E-5</v>
      </c>
      <c r="AI437">
        <v>-3.6956000000000003E-2</v>
      </c>
      <c r="AJ437">
        <f t="shared" si="31"/>
        <v>-3.6956000000000003E-2</v>
      </c>
      <c r="AO437">
        <v>-3.6956000000000003E-2</v>
      </c>
      <c r="AR437" s="8">
        <v>0</v>
      </c>
      <c r="AS437">
        <v>4.0316809999999998</v>
      </c>
    </row>
    <row r="438" spans="1:45" x14ac:dyDescent="0.25">
      <c r="A438">
        <v>82</v>
      </c>
      <c r="B438">
        <v>1999</v>
      </c>
      <c r="C438" s="8">
        <v>0</v>
      </c>
      <c r="D438">
        <v>9.6011100000000002E-2</v>
      </c>
      <c r="E438">
        <v>0.32393759999999999</v>
      </c>
      <c r="F438">
        <v>5.7811000000000001E-2</v>
      </c>
      <c r="G438">
        <v>1.602738</v>
      </c>
      <c r="H438">
        <v>0.44504260000000001</v>
      </c>
      <c r="Q438" s="10">
        <f t="shared" si="32"/>
        <v>3.2838569005535123E-3</v>
      </c>
      <c r="AI438">
        <v>-6.7698900000000006E-2</v>
      </c>
      <c r="AJ438">
        <f t="shared" si="31"/>
        <v>-6.7698900000000006E-2</v>
      </c>
      <c r="AO438">
        <v>-6.7698900000000006E-2</v>
      </c>
      <c r="AR438" s="8">
        <v>0</v>
      </c>
      <c r="AS438">
        <v>3.7459570000000002</v>
      </c>
    </row>
    <row r="439" spans="1:45" x14ac:dyDescent="0.25">
      <c r="A439">
        <v>82</v>
      </c>
      <c r="B439">
        <v>2000</v>
      </c>
      <c r="C439" s="8">
        <v>0</v>
      </c>
      <c r="D439">
        <v>-3.6956000000000003E-2</v>
      </c>
      <c r="E439">
        <v>0.31460549999999998</v>
      </c>
      <c r="F439">
        <v>6.7681199999999997E-2</v>
      </c>
      <c r="G439">
        <v>1.9203699999999999</v>
      </c>
      <c r="H439">
        <v>0.36185089999999998</v>
      </c>
      <c r="Q439" s="10">
        <f t="shared" si="32"/>
        <v>1.6693277185533008E-3</v>
      </c>
      <c r="AI439">
        <v>-3.0575600000000001E-2</v>
      </c>
      <c r="AJ439">
        <f t="shared" si="31"/>
        <v>-3.0575600000000001E-2</v>
      </c>
      <c r="AO439">
        <v>-3.0575600000000001E-2</v>
      </c>
      <c r="AR439" s="8">
        <v>0</v>
      </c>
      <c r="AS439">
        <v>4.2336980000000004</v>
      </c>
    </row>
    <row r="440" spans="1:45" x14ac:dyDescent="0.25">
      <c r="A440">
        <v>82</v>
      </c>
      <c r="B440">
        <v>2001</v>
      </c>
      <c r="C440" s="8">
        <v>0</v>
      </c>
      <c r="D440">
        <v>-6.7698900000000006E-2</v>
      </c>
      <c r="E440">
        <v>0.31651849999999998</v>
      </c>
      <c r="F440">
        <v>4.9693300000000003E-2</v>
      </c>
      <c r="G440">
        <v>0.84387659999999998</v>
      </c>
      <c r="H440">
        <v>0.34959420000000002</v>
      </c>
      <c r="Q440" s="10">
        <f t="shared" si="32"/>
        <v>1.0380406376593314E-2</v>
      </c>
      <c r="AI440">
        <v>5.9731999999999997E-3</v>
      </c>
      <c r="AJ440">
        <f t="shared" si="31"/>
        <v>5.9731999999999997E-3</v>
      </c>
      <c r="AO440">
        <v>5.9731999999999997E-3</v>
      </c>
      <c r="AR440" s="8">
        <v>0</v>
      </c>
      <c r="AS440">
        <v>1.602738</v>
      </c>
    </row>
    <row r="441" spans="1:45" x14ac:dyDescent="0.25">
      <c r="A441">
        <v>82</v>
      </c>
      <c r="B441">
        <v>2002</v>
      </c>
      <c r="C441" s="8">
        <v>0</v>
      </c>
      <c r="D441">
        <v>-3.0575600000000001E-2</v>
      </c>
      <c r="E441">
        <v>0.2391192</v>
      </c>
      <c r="F441">
        <v>4.3849899999999997E-2</v>
      </c>
      <c r="G441">
        <v>0.61160119999999996</v>
      </c>
      <c r="H441">
        <v>0.27943760000000001</v>
      </c>
      <c r="Q441" s="10">
        <f t="shared" si="32"/>
        <v>1.7022339884954718E-2</v>
      </c>
      <c r="AI441">
        <v>-9.71336E-2</v>
      </c>
      <c r="AJ441">
        <f t="shared" si="31"/>
        <v>-9.71336E-2</v>
      </c>
      <c r="AO441">
        <v>-9.71336E-2</v>
      </c>
      <c r="AR441" s="8">
        <v>0</v>
      </c>
      <c r="AS441">
        <v>1.9203699999999999</v>
      </c>
    </row>
    <row r="442" spans="1:45" x14ac:dyDescent="0.25">
      <c r="A442">
        <v>82</v>
      </c>
      <c r="B442">
        <v>2003</v>
      </c>
      <c r="C442" s="8">
        <v>0</v>
      </c>
      <c r="D442">
        <v>5.9731999999999997E-3</v>
      </c>
      <c r="E442">
        <v>0.22346079999999999</v>
      </c>
      <c r="F442">
        <v>5.8437099999999999E-2</v>
      </c>
      <c r="G442">
        <v>0.78707990000000005</v>
      </c>
      <c r="H442">
        <v>0.28408640000000002</v>
      </c>
      <c r="Q442" s="10">
        <f t="shared" si="32"/>
        <v>1.1990337977409978E-2</v>
      </c>
      <c r="AI442">
        <v>0.1136669</v>
      </c>
      <c r="AJ442">
        <f t="shared" si="31"/>
        <v>0.1136669</v>
      </c>
      <c r="AO442">
        <v>0.1136669</v>
      </c>
      <c r="AR442" s="8">
        <v>0</v>
      </c>
      <c r="AS442">
        <v>0.84387659999999998</v>
      </c>
    </row>
    <row r="443" spans="1:45" x14ac:dyDescent="0.25">
      <c r="A443">
        <v>82</v>
      </c>
      <c r="B443">
        <v>2004</v>
      </c>
      <c r="C443" s="8">
        <v>0</v>
      </c>
      <c r="D443">
        <v>-9.71336E-2</v>
      </c>
      <c r="E443">
        <v>0.28498810000000002</v>
      </c>
      <c r="F443">
        <v>2.1768599999999999E-2</v>
      </c>
      <c r="G443">
        <v>1.0409349999999999</v>
      </c>
      <c r="H443">
        <v>0.30221969999999998</v>
      </c>
      <c r="Q443" s="10">
        <f t="shared" si="32"/>
        <v>9.5296583414885595E-3</v>
      </c>
      <c r="AI443">
        <v>0.13656779999999999</v>
      </c>
      <c r="AJ443">
        <f t="shared" si="31"/>
        <v>0.13656779999999999</v>
      </c>
      <c r="AO443">
        <v>0.13656779999999999</v>
      </c>
      <c r="AR443" s="8">
        <v>0</v>
      </c>
      <c r="AS443">
        <v>0.61160119999999996</v>
      </c>
    </row>
    <row r="444" spans="1:45" x14ac:dyDescent="0.25">
      <c r="A444">
        <v>83</v>
      </c>
      <c r="B444">
        <v>1999</v>
      </c>
      <c r="C444" s="8">
        <v>0</v>
      </c>
      <c r="D444">
        <v>0.1136669</v>
      </c>
      <c r="E444">
        <v>0.21514449999999999</v>
      </c>
      <c r="F444">
        <v>5.0044999999999999E-2</v>
      </c>
      <c r="G444">
        <v>0.68787399999999999</v>
      </c>
      <c r="H444">
        <v>0.38222</v>
      </c>
      <c r="Q444" s="10">
        <f t="shared" si="32"/>
        <v>1.680991917920931E-2</v>
      </c>
      <c r="AI444">
        <v>3.2763199999999999E-2</v>
      </c>
      <c r="AJ444">
        <f t="shared" si="31"/>
        <v>3.2763199999999999E-2</v>
      </c>
      <c r="AO444">
        <v>3.2763199999999999E-2</v>
      </c>
      <c r="AR444" s="8">
        <v>0</v>
      </c>
      <c r="AS444">
        <v>0.78707990000000005</v>
      </c>
    </row>
    <row r="445" spans="1:45" x14ac:dyDescent="0.25">
      <c r="A445">
        <v>83</v>
      </c>
      <c r="B445">
        <v>2000</v>
      </c>
      <c r="C445" s="8">
        <v>0</v>
      </c>
      <c r="D445">
        <v>0.13656779999999999</v>
      </c>
      <c r="E445">
        <v>0.22917750000000001</v>
      </c>
      <c r="F445">
        <v>3.98214E-2</v>
      </c>
      <c r="G445">
        <v>0.58558429999999995</v>
      </c>
      <c r="H445">
        <v>0.37810719999999998</v>
      </c>
      <c r="Q445" s="10">
        <f t="shared" si="32"/>
        <v>2.1092720796513149E-2</v>
      </c>
      <c r="AI445">
        <v>8.8359099999999996E-2</v>
      </c>
      <c r="AJ445">
        <f t="shared" si="31"/>
        <v>8.8359099999999996E-2</v>
      </c>
      <c r="AO445">
        <v>8.8359099999999996E-2</v>
      </c>
      <c r="AR445" s="8">
        <v>0</v>
      </c>
      <c r="AS445">
        <v>1.0409349999999999</v>
      </c>
    </row>
    <row r="446" spans="1:45" x14ac:dyDescent="0.25">
      <c r="A446">
        <v>83</v>
      </c>
      <c r="B446">
        <v>2001</v>
      </c>
      <c r="C446" s="8">
        <v>0</v>
      </c>
      <c r="D446">
        <v>3.2763199999999999E-2</v>
      </c>
      <c r="E446">
        <v>0.19445200000000001</v>
      </c>
      <c r="F446">
        <v>4.5128599999999998E-2</v>
      </c>
      <c r="G446">
        <v>0.62502259999999998</v>
      </c>
      <c r="H446">
        <v>0.38662269999999999</v>
      </c>
      <c r="Q446" s="10">
        <f t="shared" si="32"/>
        <v>1.9264148593930084E-2</v>
      </c>
      <c r="AI446">
        <v>8.6490200000000003E-2</v>
      </c>
      <c r="AJ446">
        <f t="shared" si="31"/>
        <v>8.6490200000000003E-2</v>
      </c>
      <c r="AO446">
        <v>8.6490200000000003E-2</v>
      </c>
      <c r="AR446" s="8">
        <v>0</v>
      </c>
      <c r="AS446">
        <v>0.68787399999999999</v>
      </c>
    </row>
    <row r="447" spans="1:45" x14ac:dyDescent="0.25">
      <c r="A447">
        <v>83</v>
      </c>
      <c r="B447">
        <v>2002</v>
      </c>
      <c r="C447" s="8">
        <v>0</v>
      </c>
      <c r="D447">
        <v>8.8359099999999996E-2</v>
      </c>
      <c r="E447">
        <v>0.15026349999999999</v>
      </c>
      <c r="F447">
        <v>3.9216599999999997E-2</v>
      </c>
      <c r="G447">
        <v>0.47827409999999998</v>
      </c>
      <c r="H447">
        <v>0.38552619999999999</v>
      </c>
      <c r="Q447" s="10">
        <f t="shared" si="32"/>
        <v>2.7590666492939148E-2</v>
      </c>
      <c r="AI447">
        <v>0.20636090000000001</v>
      </c>
      <c r="AJ447">
        <f t="shared" si="31"/>
        <v>0.20636090000000001</v>
      </c>
      <c r="AO447">
        <v>0.20636090000000001</v>
      </c>
      <c r="AR447" s="8">
        <v>0</v>
      </c>
      <c r="AS447">
        <v>0.58558429999999995</v>
      </c>
    </row>
    <row r="448" spans="1:45" x14ac:dyDescent="0.25">
      <c r="A448">
        <v>83</v>
      </c>
      <c r="B448">
        <v>2003</v>
      </c>
      <c r="C448" s="8">
        <v>0</v>
      </c>
      <c r="D448">
        <v>8.6490200000000003E-2</v>
      </c>
      <c r="E448">
        <v>0.12854769999999999</v>
      </c>
      <c r="F448">
        <v>3.7525200000000002E-2</v>
      </c>
      <c r="G448">
        <v>0.733483</v>
      </c>
      <c r="H448">
        <v>0.36112339999999998</v>
      </c>
      <c r="Q448" s="10">
        <f t="shared" si="32"/>
        <v>1.9081103667833721E-2</v>
      </c>
      <c r="AI448">
        <v>1.93067E-2</v>
      </c>
      <c r="AJ448">
        <f t="shared" si="31"/>
        <v>1.93067E-2</v>
      </c>
      <c r="AO448">
        <v>1.93067E-2</v>
      </c>
      <c r="AR448" s="8">
        <v>0</v>
      </c>
      <c r="AS448">
        <v>0.62502259999999998</v>
      </c>
    </row>
    <row r="449" spans="1:45" x14ac:dyDescent="0.25">
      <c r="A449">
        <v>83</v>
      </c>
      <c r="B449">
        <v>2004</v>
      </c>
      <c r="C449" s="8">
        <v>0</v>
      </c>
      <c r="D449">
        <v>0.20636090000000001</v>
      </c>
      <c r="E449">
        <v>0.15727949999999999</v>
      </c>
      <c r="F449">
        <v>2.8453300000000001E-2</v>
      </c>
      <c r="G449">
        <v>0.61910750000000003</v>
      </c>
      <c r="H449">
        <v>0.40197870000000002</v>
      </c>
      <c r="Q449" s="10">
        <f t="shared" si="32"/>
        <v>2.5289763786325276E-2</v>
      </c>
      <c r="AI449">
        <v>3.17582E-2</v>
      </c>
      <c r="AJ449">
        <f t="shared" si="31"/>
        <v>3.17582E-2</v>
      </c>
      <c r="AO449">
        <v>3.17582E-2</v>
      </c>
      <c r="AR449" s="8">
        <v>0</v>
      </c>
      <c r="AS449">
        <v>0.47827409999999998</v>
      </c>
    </row>
    <row r="450" spans="1:45" x14ac:dyDescent="0.25">
      <c r="A450">
        <v>84</v>
      </c>
      <c r="B450">
        <v>1995</v>
      </c>
      <c r="C450" s="8">
        <v>0</v>
      </c>
      <c r="D450">
        <v>1.93067E-2</v>
      </c>
      <c r="E450">
        <v>6.3464300000000001E-2</v>
      </c>
      <c r="F450">
        <v>6.7076700000000003E-2</v>
      </c>
      <c r="G450">
        <v>0.38837319999999997</v>
      </c>
      <c r="H450">
        <v>0.53096969999999999</v>
      </c>
      <c r="Q450" s="10">
        <f t="shared" si="32"/>
        <v>3.0645009626670178E-2</v>
      </c>
      <c r="AI450">
        <v>2.6746099999999998E-2</v>
      </c>
      <c r="AJ450">
        <f t="shared" si="31"/>
        <v>2.6746099999999998E-2</v>
      </c>
      <c r="AO450">
        <v>2.6746099999999998E-2</v>
      </c>
      <c r="AR450" s="8">
        <v>0</v>
      </c>
      <c r="AS450">
        <v>0.733483</v>
      </c>
    </row>
    <row r="451" spans="1:45" x14ac:dyDescent="0.25">
      <c r="A451">
        <v>84</v>
      </c>
      <c r="B451">
        <v>1996</v>
      </c>
      <c r="C451" s="8">
        <v>0</v>
      </c>
      <c r="D451">
        <v>3.17582E-2</v>
      </c>
      <c r="E451">
        <v>6.9364499999999996E-2</v>
      </c>
      <c r="F451">
        <v>6.4205300000000007E-2</v>
      </c>
      <c r="G451">
        <v>0.3644869</v>
      </c>
      <c r="H451">
        <v>0.60920790000000002</v>
      </c>
      <c r="Q451" s="10">
        <f t="shared" si="32"/>
        <v>3.3958721875512195E-2</v>
      </c>
      <c r="AI451">
        <v>0.25147989999999998</v>
      </c>
      <c r="AJ451">
        <f t="shared" si="31"/>
        <v>0.25147989999999998</v>
      </c>
      <c r="AO451">
        <v>0.25147989999999998</v>
      </c>
      <c r="AR451" s="8">
        <v>0</v>
      </c>
      <c r="AS451">
        <v>0.61910750000000003</v>
      </c>
    </row>
    <row r="452" spans="1:45" x14ac:dyDescent="0.25">
      <c r="A452">
        <v>84</v>
      </c>
      <c r="B452">
        <v>1997</v>
      </c>
      <c r="C452" s="8">
        <v>0</v>
      </c>
      <c r="D452">
        <v>2.6746099999999998E-2</v>
      </c>
      <c r="E452">
        <v>8.85209E-2</v>
      </c>
      <c r="F452">
        <v>5.1093300000000001E-2</v>
      </c>
      <c r="G452">
        <v>0.7282421</v>
      </c>
      <c r="H452">
        <v>0.53140710000000002</v>
      </c>
      <c r="Q452" s="10">
        <f t="shared" si="32"/>
        <v>1.9820850742926398E-2</v>
      </c>
      <c r="AI452">
        <v>0.16829169999999999</v>
      </c>
      <c r="AJ452">
        <f t="shared" si="31"/>
        <v>0.16829169999999999</v>
      </c>
      <c r="AO452">
        <v>0.16829169999999999</v>
      </c>
      <c r="AR452" s="8">
        <v>0</v>
      </c>
      <c r="AS452">
        <v>0.38837319999999997</v>
      </c>
    </row>
    <row r="453" spans="1:45" x14ac:dyDescent="0.25">
      <c r="A453">
        <v>84</v>
      </c>
      <c r="B453">
        <v>1998</v>
      </c>
      <c r="C453" s="8">
        <v>0</v>
      </c>
      <c r="D453">
        <v>0.25147989999999998</v>
      </c>
      <c r="E453">
        <v>0.20030100000000001</v>
      </c>
      <c r="F453">
        <v>6.8533700000000003E-2</v>
      </c>
      <c r="G453">
        <v>1.3476159999999999</v>
      </c>
      <c r="H453">
        <v>0.82750380000000001</v>
      </c>
      <c r="Q453" s="10">
        <f t="shared" si="32"/>
        <v>7.2935594013834645E-3</v>
      </c>
      <c r="AI453">
        <v>6.7600000000000003E-5</v>
      </c>
      <c r="AJ453">
        <f t="shared" ref="AJ453:AJ516" si="33">MAX(MIN(AI453,AM$5),AM$4)</f>
        <v>6.7600000000000003E-5</v>
      </c>
      <c r="AO453">
        <v>6.7600000000000003E-5</v>
      </c>
      <c r="AR453" s="8">
        <v>0</v>
      </c>
      <c r="AS453">
        <v>0.3644869</v>
      </c>
    </row>
    <row r="454" spans="1:45" x14ac:dyDescent="0.25">
      <c r="A454">
        <v>84</v>
      </c>
      <c r="B454">
        <v>1999</v>
      </c>
      <c r="C454" s="8">
        <v>0</v>
      </c>
      <c r="D454">
        <v>0.16829169999999999</v>
      </c>
      <c r="E454">
        <v>0.25955440000000002</v>
      </c>
      <c r="F454">
        <v>6.4390600000000006E-2</v>
      </c>
      <c r="G454">
        <v>0.7089337</v>
      </c>
      <c r="H454">
        <v>1.084889</v>
      </c>
      <c r="Q454" s="10">
        <f t="shared" si="32"/>
        <v>2.1381341355527213E-2</v>
      </c>
      <c r="AI454">
        <v>-6.7105999999999997E-3</v>
      </c>
      <c r="AJ454">
        <f t="shared" si="33"/>
        <v>-6.7105999999999997E-3</v>
      </c>
      <c r="AO454">
        <v>-6.7105999999999997E-3</v>
      </c>
      <c r="AR454" s="8">
        <v>0</v>
      </c>
      <c r="AS454">
        <v>0.7282421</v>
      </c>
    </row>
    <row r="455" spans="1:45" x14ac:dyDescent="0.25">
      <c r="A455">
        <v>85</v>
      </c>
      <c r="B455">
        <v>1999</v>
      </c>
      <c r="C455" s="8">
        <v>0</v>
      </c>
      <c r="D455">
        <v>6.7600000000000003E-5</v>
      </c>
      <c r="E455">
        <v>9.6732200000000004E-2</v>
      </c>
      <c r="F455">
        <v>5.9409299999999998E-2</v>
      </c>
      <c r="G455">
        <v>0.70080129999999996</v>
      </c>
      <c r="H455">
        <v>0.14464589999999999</v>
      </c>
      <c r="Q455" s="10">
        <f t="shared" ref="Q455:Q518" si="34">1/(1+EXP(-(J$6+SUMPRODUCT(K$6:O$6,D455:H455))))</f>
        <v>1.4972264452081049E-2</v>
      </c>
      <c r="AI455">
        <v>-8.8469099999999995E-2</v>
      </c>
      <c r="AJ455">
        <f t="shared" si="33"/>
        <v>-8.8469099999999995E-2</v>
      </c>
      <c r="AO455">
        <v>-8.8469099999999995E-2</v>
      </c>
      <c r="AR455" s="8">
        <v>0</v>
      </c>
      <c r="AS455">
        <v>1.3476159999999999</v>
      </c>
    </row>
    <row r="456" spans="1:45" x14ac:dyDescent="0.25">
      <c r="A456">
        <v>85</v>
      </c>
      <c r="B456">
        <v>2000</v>
      </c>
      <c r="C456" s="8">
        <v>0</v>
      </c>
      <c r="D456">
        <v>-6.7105999999999997E-3</v>
      </c>
      <c r="E456">
        <v>8.7346800000000002E-2</v>
      </c>
      <c r="F456">
        <v>6.2200499999999999E-2</v>
      </c>
      <c r="G456">
        <v>0.57624070000000005</v>
      </c>
      <c r="H456">
        <v>0.1562598</v>
      </c>
      <c r="Q456" s="10">
        <f t="shared" si="34"/>
        <v>1.8123374057580868E-2</v>
      </c>
      <c r="AI456">
        <v>-2.86246E-2</v>
      </c>
      <c r="AJ456">
        <f t="shared" si="33"/>
        <v>-2.86246E-2</v>
      </c>
      <c r="AO456">
        <v>-2.86246E-2</v>
      </c>
      <c r="AR456" s="8">
        <v>0</v>
      </c>
      <c r="AS456">
        <v>0.7089337</v>
      </c>
    </row>
    <row r="457" spans="1:45" x14ac:dyDescent="0.25">
      <c r="A457">
        <v>85</v>
      </c>
      <c r="B457">
        <v>2001</v>
      </c>
      <c r="C457" s="8">
        <v>0</v>
      </c>
      <c r="D457">
        <v>-8.8469099999999995E-2</v>
      </c>
      <c r="E457">
        <v>8.7244500000000003E-2</v>
      </c>
      <c r="F457">
        <v>4.0687599999999997E-2</v>
      </c>
      <c r="G457">
        <v>0.62451100000000004</v>
      </c>
      <c r="H457">
        <v>0.1688047</v>
      </c>
      <c r="Q457" s="10">
        <f t="shared" si="34"/>
        <v>1.9396783842531441E-2</v>
      </c>
      <c r="AI457">
        <v>-5.1817200000000001E-2</v>
      </c>
      <c r="AJ457">
        <f t="shared" si="33"/>
        <v>-5.1817200000000001E-2</v>
      </c>
      <c r="AO457">
        <v>-5.1817200000000001E-2</v>
      </c>
      <c r="AR457" s="8">
        <v>0</v>
      </c>
      <c r="AS457">
        <v>0.70080129999999996</v>
      </c>
    </row>
    <row r="458" spans="1:45" x14ac:dyDescent="0.25">
      <c r="A458">
        <v>85</v>
      </c>
      <c r="B458">
        <v>2002</v>
      </c>
      <c r="C458" s="8">
        <v>0</v>
      </c>
      <c r="D458">
        <v>-2.86246E-2</v>
      </c>
      <c r="E458">
        <v>9.1046199999999994E-2</v>
      </c>
      <c r="F458">
        <v>3.5402000000000003E-2</v>
      </c>
      <c r="G458">
        <v>0.52684779999999998</v>
      </c>
      <c r="H458">
        <v>0.12828239999999999</v>
      </c>
      <c r="Q458" s="10">
        <f t="shared" si="34"/>
        <v>2.3408108890173553E-2</v>
      </c>
      <c r="AI458">
        <v>-9.7320000000000002E-4</v>
      </c>
      <c r="AJ458">
        <f t="shared" si="33"/>
        <v>-9.7320000000000002E-4</v>
      </c>
      <c r="AO458">
        <v>-9.7320000000000002E-4</v>
      </c>
      <c r="AR458" s="8">
        <v>0</v>
      </c>
      <c r="AS458">
        <v>0.57624070000000005</v>
      </c>
    </row>
    <row r="459" spans="1:45" x14ac:dyDescent="0.25">
      <c r="A459">
        <v>85</v>
      </c>
      <c r="B459">
        <v>2003</v>
      </c>
      <c r="C459" s="8">
        <v>0</v>
      </c>
      <c r="D459">
        <v>-5.1817200000000001E-2</v>
      </c>
      <c r="E459">
        <v>8.8195099999999998E-2</v>
      </c>
      <c r="F459">
        <v>6.2407799999999999E-2</v>
      </c>
      <c r="G459">
        <v>0.53844820000000004</v>
      </c>
      <c r="H459">
        <v>0.14478859999999999</v>
      </c>
      <c r="Q459" s="10">
        <f t="shared" si="34"/>
        <v>1.8693118638732145E-2</v>
      </c>
      <c r="AI459">
        <v>5.4964199999999998E-2</v>
      </c>
      <c r="AJ459">
        <f t="shared" si="33"/>
        <v>5.4964199999999998E-2</v>
      </c>
      <c r="AO459">
        <v>5.4964199999999998E-2</v>
      </c>
      <c r="AR459" s="8">
        <v>0</v>
      </c>
      <c r="AS459">
        <v>0.62451100000000004</v>
      </c>
    </row>
    <row r="460" spans="1:45" x14ac:dyDescent="0.25">
      <c r="A460">
        <v>85</v>
      </c>
      <c r="B460">
        <v>2004</v>
      </c>
      <c r="C460" s="8">
        <v>0</v>
      </c>
      <c r="D460">
        <v>-9.7320000000000002E-4</v>
      </c>
      <c r="E460">
        <v>9.7767000000000007E-2</v>
      </c>
      <c r="F460">
        <v>4.4006799999999999E-2</v>
      </c>
      <c r="G460">
        <v>0.54048759999999996</v>
      </c>
      <c r="H460">
        <v>0.1331891</v>
      </c>
      <c r="Q460" s="10">
        <f t="shared" si="34"/>
        <v>2.1524039611572829E-2</v>
      </c>
      <c r="AI460">
        <v>-4.3019799999999997E-2</v>
      </c>
      <c r="AJ460">
        <f t="shared" si="33"/>
        <v>-4.3019799999999997E-2</v>
      </c>
      <c r="AO460">
        <v>-4.3019799999999997E-2</v>
      </c>
      <c r="AR460" s="8">
        <v>0</v>
      </c>
      <c r="AS460">
        <v>0.52684779999999998</v>
      </c>
    </row>
    <row r="461" spans="1:45" x14ac:dyDescent="0.25">
      <c r="A461">
        <v>86</v>
      </c>
      <c r="B461">
        <v>1999</v>
      </c>
      <c r="C461" s="8">
        <v>0</v>
      </c>
      <c r="D461">
        <v>5.4964199999999998E-2</v>
      </c>
      <c r="E461">
        <v>0.18100669999999999</v>
      </c>
      <c r="F461">
        <v>4.6203099999999997E-2</v>
      </c>
      <c r="G461">
        <v>1.0390820000000001</v>
      </c>
      <c r="H461">
        <v>0.15033679999999999</v>
      </c>
      <c r="Q461" s="10">
        <f t="shared" si="34"/>
        <v>8.8699499944824203E-3</v>
      </c>
      <c r="AI461">
        <v>6.7632999999999999E-3</v>
      </c>
      <c r="AJ461">
        <f t="shared" si="33"/>
        <v>6.7632999999999999E-3</v>
      </c>
      <c r="AO461">
        <v>6.7632999999999999E-3</v>
      </c>
      <c r="AR461" s="8">
        <v>0</v>
      </c>
      <c r="AS461">
        <v>0.53844820000000004</v>
      </c>
    </row>
    <row r="462" spans="1:45" x14ac:dyDescent="0.25">
      <c r="A462">
        <v>86</v>
      </c>
      <c r="B462">
        <v>2000</v>
      </c>
      <c r="C462" s="8">
        <v>0</v>
      </c>
      <c r="D462">
        <v>-4.3019799999999997E-2</v>
      </c>
      <c r="E462">
        <v>0.18426609999999999</v>
      </c>
      <c r="F462">
        <v>4.1070500000000003E-2</v>
      </c>
      <c r="G462">
        <v>0.90271040000000002</v>
      </c>
      <c r="H462">
        <v>0.1618695</v>
      </c>
      <c r="Q462" s="10">
        <f t="shared" si="34"/>
        <v>1.1030538426842873E-2</v>
      </c>
      <c r="AI462">
        <v>4.1383700000000002E-2</v>
      </c>
      <c r="AJ462">
        <f t="shared" si="33"/>
        <v>4.1383700000000002E-2</v>
      </c>
      <c r="AO462">
        <v>4.1383700000000002E-2</v>
      </c>
      <c r="AR462" s="8">
        <v>0</v>
      </c>
      <c r="AS462">
        <v>0.54048759999999996</v>
      </c>
    </row>
    <row r="463" spans="1:45" x14ac:dyDescent="0.25">
      <c r="A463">
        <v>86</v>
      </c>
      <c r="B463">
        <v>2001</v>
      </c>
      <c r="C463" s="8">
        <v>0</v>
      </c>
      <c r="D463">
        <v>6.7632999999999999E-3</v>
      </c>
      <c r="E463">
        <v>0.1703732</v>
      </c>
      <c r="F463">
        <v>2.9986100000000002E-2</v>
      </c>
      <c r="G463">
        <v>0.72243760000000001</v>
      </c>
      <c r="H463">
        <v>0.14515359999999999</v>
      </c>
      <c r="Q463" s="10">
        <f t="shared" si="34"/>
        <v>1.6470477085401801E-2</v>
      </c>
      <c r="AI463">
        <v>5.8766699999999998E-2</v>
      </c>
      <c r="AJ463">
        <f t="shared" si="33"/>
        <v>5.8766699999999998E-2</v>
      </c>
      <c r="AO463">
        <v>5.8766699999999998E-2</v>
      </c>
      <c r="AR463" s="8">
        <v>0</v>
      </c>
      <c r="AS463">
        <v>1.0390820000000001</v>
      </c>
    </row>
    <row r="464" spans="1:45" x14ac:dyDescent="0.25">
      <c r="A464">
        <v>86</v>
      </c>
      <c r="B464">
        <v>2002</v>
      </c>
      <c r="C464" s="8">
        <v>0</v>
      </c>
      <c r="D464">
        <v>4.1383700000000002E-2</v>
      </c>
      <c r="E464">
        <v>0.1290453</v>
      </c>
      <c r="F464">
        <v>2.1452599999999999E-2</v>
      </c>
      <c r="G464">
        <v>0.61984070000000002</v>
      </c>
      <c r="H464">
        <v>0.1486508</v>
      </c>
      <c r="Q464" s="10">
        <f t="shared" si="34"/>
        <v>2.2286949317604988E-2</v>
      </c>
      <c r="AI464">
        <v>8.6581500000000006E-2</v>
      </c>
      <c r="AJ464">
        <f t="shared" si="33"/>
        <v>8.6581500000000006E-2</v>
      </c>
      <c r="AO464">
        <v>8.6581500000000006E-2</v>
      </c>
      <c r="AR464" s="8">
        <v>0</v>
      </c>
      <c r="AS464">
        <v>0.90271040000000002</v>
      </c>
    </row>
    <row r="465" spans="1:45" x14ac:dyDescent="0.25">
      <c r="A465">
        <v>86</v>
      </c>
      <c r="B465">
        <v>2003</v>
      </c>
      <c r="C465" s="8">
        <v>0</v>
      </c>
      <c r="D465">
        <v>5.8766699999999998E-2</v>
      </c>
      <c r="E465">
        <v>8.5604899999999998E-2</v>
      </c>
      <c r="F465">
        <v>1.39487E-2</v>
      </c>
      <c r="G465">
        <v>0.67437239999999998</v>
      </c>
      <c r="H465">
        <v>0.16619149999999999</v>
      </c>
      <c r="Q465" s="10">
        <f t="shared" si="34"/>
        <v>2.3502733451709015E-2</v>
      </c>
      <c r="AI465">
        <v>0.37119950000000002</v>
      </c>
      <c r="AJ465">
        <f t="shared" si="33"/>
        <v>0.37119950000000002</v>
      </c>
      <c r="AO465">
        <v>0.37119950000000002</v>
      </c>
      <c r="AR465" s="8">
        <v>0</v>
      </c>
      <c r="AS465">
        <v>0.72243760000000001</v>
      </c>
    </row>
    <row r="466" spans="1:45" x14ac:dyDescent="0.25">
      <c r="A466">
        <v>86</v>
      </c>
      <c r="B466">
        <v>2004</v>
      </c>
      <c r="C466" s="8">
        <v>0</v>
      </c>
      <c r="D466">
        <v>8.6581500000000006E-2</v>
      </c>
      <c r="E466">
        <v>6.8356200000000006E-2</v>
      </c>
      <c r="F466">
        <v>2.9008900000000001E-2</v>
      </c>
      <c r="G466">
        <v>0.64447960000000004</v>
      </c>
      <c r="H466">
        <v>0.1758123</v>
      </c>
      <c r="Q466" s="10">
        <f t="shared" si="34"/>
        <v>2.2818134303970443E-2</v>
      </c>
      <c r="AI466">
        <v>0.32827139999999999</v>
      </c>
      <c r="AJ466">
        <f t="shared" si="33"/>
        <v>0.32827139999999999</v>
      </c>
      <c r="AO466">
        <v>0.32827139999999999</v>
      </c>
      <c r="AR466" s="8">
        <v>0</v>
      </c>
      <c r="AS466">
        <v>0.61984070000000002</v>
      </c>
    </row>
    <row r="467" spans="1:45" x14ac:dyDescent="0.25">
      <c r="A467">
        <v>87</v>
      </c>
      <c r="B467">
        <v>1996</v>
      </c>
      <c r="C467" s="8">
        <v>0</v>
      </c>
      <c r="D467">
        <v>0.37119950000000002</v>
      </c>
      <c r="E467">
        <v>0.1415479</v>
      </c>
      <c r="F467">
        <v>7.6069700000000004E-2</v>
      </c>
      <c r="G467">
        <v>1.1959960000000001</v>
      </c>
      <c r="H467">
        <v>0.48530649999999997</v>
      </c>
      <c r="Q467" s="10">
        <f t="shared" si="34"/>
        <v>8.088978753951202E-3</v>
      </c>
      <c r="AI467">
        <v>0.27094000000000001</v>
      </c>
      <c r="AJ467">
        <f t="shared" si="33"/>
        <v>0.27094000000000001</v>
      </c>
      <c r="AO467">
        <v>0.27094000000000001</v>
      </c>
      <c r="AR467" s="8">
        <v>0</v>
      </c>
      <c r="AS467">
        <v>0.67437239999999998</v>
      </c>
    </row>
    <row r="468" spans="1:45" x14ac:dyDescent="0.25">
      <c r="A468">
        <v>87</v>
      </c>
      <c r="B468">
        <v>1997</v>
      </c>
      <c r="C468" s="8">
        <v>0</v>
      </c>
      <c r="D468">
        <v>0.32827139999999999</v>
      </c>
      <c r="E468">
        <v>0.1599506</v>
      </c>
      <c r="F468">
        <v>3.5979499999999998E-2</v>
      </c>
      <c r="G468">
        <v>0.87521850000000001</v>
      </c>
      <c r="H468">
        <v>0.4811358</v>
      </c>
      <c r="Q468" s="10">
        <f t="shared" si="34"/>
        <v>1.7560450273350754E-2</v>
      </c>
      <c r="AI468">
        <v>0.22520219999999999</v>
      </c>
      <c r="AJ468">
        <f t="shared" si="33"/>
        <v>0.22520219999999999</v>
      </c>
      <c r="AO468">
        <v>0.22520219999999999</v>
      </c>
      <c r="AR468" s="8">
        <v>0</v>
      </c>
      <c r="AS468">
        <v>0.64447960000000004</v>
      </c>
    </row>
    <row r="469" spans="1:45" x14ac:dyDescent="0.25">
      <c r="A469">
        <v>88</v>
      </c>
      <c r="B469">
        <v>1997</v>
      </c>
      <c r="C469" s="8">
        <v>0</v>
      </c>
      <c r="D469">
        <v>0.27094000000000001</v>
      </c>
      <c r="E469">
        <v>0.61660440000000005</v>
      </c>
      <c r="F469">
        <v>9.0095300000000003E-2</v>
      </c>
      <c r="G469">
        <v>2.6126330000000002</v>
      </c>
      <c r="H469">
        <v>0.4879619</v>
      </c>
      <c r="Q469" s="10">
        <f t="shared" si="34"/>
        <v>3.670995421070163E-4</v>
      </c>
      <c r="AI469">
        <v>0.23166539999999999</v>
      </c>
      <c r="AJ469">
        <f t="shared" si="33"/>
        <v>0.23166539999999999</v>
      </c>
      <c r="AO469">
        <v>0.23166539999999999</v>
      </c>
      <c r="AR469" s="8">
        <v>0</v>
      </c>
      <c r="AS469">
        <v>1.1959960000000001</v>
      </c>
    </row>
    <row r="470" spans="1:45" x14ac:dyDescent="0.25">
      <c r="A470">
        <v>88</v>
      </c>
      <c r="B470">
        <v>1998</v>
      </c>
      <c r="C470" s="8">
        <v>0</v>
      </c>
      <c r="D470">
        <v>0.22520219999999999</v>
      </c>
      <c r="E470">
        <v>0.69173510000000005</v>
      </c>
      <c r="F470">
        <v>8.1264400000000001E-2</v>
      </c>
      <c r="G470">
        <v>1.9291290000000001</v>
      </c>
      <c r="H470">
        <v>0.51082930000000004</v>
      </c>
      <c r="Q470" s="10">
        <f t="shared" si="34"/>
        <v>1.0439834656921902E-3</v>
      </c>
      <c r="AI470">
        <v>0.206925</v>
      </c>
      <c r="AJ470">
        <f t="shared" si="33"/>
        <v>0.206925</v>
      </c>
      <c r="AO470">
        <v>0.206925</v>
      </c>
      <c r="AR470" s="8">
        <v>0</v>
      </c>
      <c r="AS470">
        <v>0.87521850000000001</v>
      </c>
    </row>
    <row r="471" spans="1:45" x14ac:dyDescent="0.25">
      <c r="A471">
        <v>88</v>
      </c>
      <c r="B471">
        <v>1999</v>
      </c>
      <c r="C471" s="8">
        <v>0</v>
      </c>
      <c r="D471">
        <v>0.23166539999999999</v>
      </c>
      <c r="E471">
        <v>0.72595240000000005</v>
      </c>
      <c r="F471">
        <v>9.7898600000000002E-2</v>
      </c>
      <c r="G471">
        <v>2.6712669999999998</v>
      </c>
      <c r="H471">
        <v>0.53870700000000005</v>
      </c>
      <c r="Q471" s="10">
        <f t="shared" si="34"/>
        <v>2.7206707132310581E-4</v>
      </c>
      <c r="AI471">
        <v>0.31985219999999998</v>
      </c>
      <c r="AJ471">
        <f t="shared" si="33"/>
        <v>0.31985219999999998</v>
      </c>
      <c r="AO471">
        <v>0.31985219999999998</v>
      </c>
      <c r="AR471" s="8">
        <v>0</v>
      </c>
      <c r="AS471">
        <v>2.6126330000000002</v>
      </c>
    </row>
    <row r="472" spans="1:45" x14ac:dyDescent="0.25">
      <c r="A472">
        <v>88</v>
      </c>
      <c r="B472">
        <v>2000</v>
      </c>
      <c r="C472" s="8">
        <v>0</v>
      </c>
      <c r="D472">
        <v>0.206925</v>
      </c>
      <c r="E472">
        <v>0.79433359999999997</v>
      </c>
      <c r="F472">
        <v>8.2627400000000004E-2</v>
      </c>
      <c r="G472">
        <v>1.49342</v>
      </c>
      <c r="H472">
        <v>0.45266669999999998</v>
      </c>
      <c r="Q472" s="10">
        <f t="shared" si="34"/>
        <v>1.7040783334142475E-3</v>
      </c>
      <c r="AI472">
        <v>0.32906849999999999</v>
      </c>
      <c r="AJ472">
        <f t="shared" si="33"/>
        <v>0.32906849999999999</v>
      </c>
      <c r="AO472">
        <v>0.32906849999999999</v>
      </c>
      <c r="AR472" s="8">
        <v>0</v>
      </c>
      <c r="AS472">
        <v>1.9291290000000001</v>
      </c>
    </row>
    <row r="473" spans="1:45" x14ac:dyDescent="0.25">
      <c r="A473">
        <v>88</v>
      </c>
      <c r="B473">
        <v>2001</v>
      </c>
      <c r="C473" s="8">
        <v>0</v>
      </c>
      <c r="D473">
        <v>0.31985219999999998</v>
      </c>
      <c r="E473">
        <v>0.60822549999999997</v>
      </c>
      <c r="F473">
        <v>4.6973099999999997E-2</v>
      </c>
      <c r="G473">
        <v>1.0783</v>
      </c>
      <c r="H473">
        <v>0.29461569999999998</v>
      </c>
      <c r="Q473" s="10">
        <f t="shared" si="34"/>
        <v>5.4491166188257315E-3</v>
      </c>
      <c r="AI473">
        <v>0.37407580000000001</v>
      </c>
      <c r="AJ473">
        <f t="shared" si="33"/>
        <v>0.37407580000000001</v>
      </c>
      <c r="AO473">
        <v>0.37407580000000001</v>
      </c>
      <c r="AR473" s="8">
        <v>0</v>
      </c>
      <c r="AS473">
        <v>2.6712669999999998</v>
      </c>
    </row>
    <row r="474" spans="1:45" x14ac:dyDescent="0.25">
      <c r="A474">
        <v>88</v>
      </c>
      <c r="B474">
        <v>2002</v>
      </c>
      <c r="C474" s="8">
        <v>0</v>
      </c>
      <c r="D474">
        <v>0.32906849999999999</v>
      </c>
      <c r="E474">
        <v>0.60201729999999998</v>
      </c>
      <c r="F474">
        <v>7.5750899999999996E-2</v>
      </c>
      <c r="G474">
        <v>0.94691069999999999</v>
      </c>
      <c r="H474">
        <v>0.36610749999999997</v>
      </c>
      <c r="Q474" s="10">
        <f t="shared" si="34"/>
        <v>5.6496226759917183E-3</v>
      </c>
      <c r="AI474">
        <v>0.43658370000000002</v>
      </c>
      <c r="AJ474">
        <f t="shared" si="33"/>
        <v>0.43658370000000002</v>
      </c>
      <c r="AO474">
        <v>0.43658370000000002</v>
      </c>
      <c r="AR474" s="8">
        <v>0</v>
      </c>
      <c r="AS474">
        <v>1.49342</v>
      </c>
    </row>
    <row r="475" spans="1:45" x14ac:dyDescent="0.25">
      <c r="A475">
        <v>88</v>
      </c>
      <c r="B475">
        <v>2003</v>
      </c>
      <c r="C475" s="8">
        <v>0</v>
      </c>
      <c r="D475">
        <v>0.37407580000000001</v>
      </c>
      <c r="E475">
        <v>0.60010589999999997</v>
      </c>
      <c r="F475">
        <v>7.3679300000000003E-2</v>
      </c>
      <c r="G475">
        <v>1.169071</v>
      </c>
      <c r="H475">
        <v>0.37037300000000001</v>
      </c>
      <c r="Q475" s="10">
        <f t="shared" si="34"/>
        <v>4.1359652598056901E-3</v>
      </c>
      <c r="AI475">
        <v>0.26097629999999999</v>
      </c>
      <c r="AJ475">
        <f t="shared" si="33"/>
        <v>0.26097629999999999</v>
      </c>
      <c r="AO475">
        <v>0.26097629999999999</v>
      </c>
      <c r="AR475" s="8">
        <v>0</v>
      </c>
      <c r="AS475">
        <v>1.0783</v>
      </c>
    </row>
    <row r="476" spans="1:45" x14ac:dyDescent="0.25">
      <c r="A476">
        <v>88</v>
      </c>
      <c r="B476">
        <v>2004</v>
      </c>
      <c r="C476" s="8">
        <v>0</v>
      </c>
      <c r="D476">
        <v>0.43658370000000002</v>
      </c>
      <c r="E476">
        <v>0.61464149999999995</v>
      </c>
      <c r="F476">
        <v>7.5201599999999993E-2</v>
      </c>
      <c r="G476">
        <v>2.4379300000000002</v>
      </c>
      <c r="H476">
        <v>0.35225479999999998</v>
      </c>
      <c r="Q476" s="10">
        <f t="shared" si="34"/>
        <v>5.3936759906006925E-4</v>
      </c>
      <c r="AI476">
        <v>0.2729702</v>
      </c>
      <c r="AJ476">
        <f t="shared" si="33"/>
        <v>0.2729702</v>
      </c>
      <c r="AO476">
        <v>0.2729702</v>
      </c>
      <c r="AR476" s="8">
        <v>0</v>
      </c>
      <c r="AS476">
        <v>0.94691069999999999</v>
      </c>
    </row>
    <row r="477" spans="1:45" x14ac:dyDescent="0.25">
      <c r="A477">
        <v>89</v>
      </c>
      <c r="B477">
        <v>1999</v>
      </c>
      <c r="C477" s="8">
        <v>0</v>
      </c>
      <c r="D477">
        <v>0.26097629999999999</v>
      </c>
      <c r="E477">
        <v>0.86495449999999996</v>
      </c>
      <c r="F477">
        <v>9.8012600000000005E-2</v>
      </c>
      <c r="G477">
        <v>15.06826</v>
      </c>
      <c r="H477">
        <v>0.30023840000000002</v>
      </c>
      <c r="Q477" s="10">
        <f t="shared" si="34"/>
        <v>5.103765626308948E-13</v>
      </c>
      <c r="AI477">
        <v>0.1123714</v>
      </c>
      <c r="AJ477">
        <f t="shared" si="33"/>
        <v>0.1123714</v>
      </c>
      <c r="AO477">
        <v>0.1123714</v>
      </c>
      <c r="AR477" s="8">
        <v>0</v>
      </c>
      <c r="AS477">
        <v>1.169071</v>
      </c>
    </row>
    <row r="478" spans="1:45" x14ac:dyDescent="0.25">
      <c r="A478">
        <v>89</v>
      </c>
      <c r="B478">
        <v>2000</v>
      </c>
      <c r="C478" s="8">
        <v>0</v>
      </c>
      <c r="D478">
        <v>0.2729702</v>
      </c>
      <c r="E478">
        <v>0.98310770000000003</v>
      </c>
      <c r="F478">
        <v>9.3898599999999999E-2</v>
      </c>
      <c r="G478">
        <v>17.248380000000001</v>
      </c>
      <c r="H478">
        <v>0.30862440000000002</v>
      </c>
      <c r="Q478" s="10">
        <f t="shared" si="34"/>
        <v>1.3904330268544357E-14</v>
      </c>
      <c r="AI478">
        <v>0.1023858</v>
      </c>
      <c r="AJ478">
        <f t="shared" si="33"/>
        <v>0.1023858</v>
      </c>
      <c r="AO478">
        <v>0.1023858</v>
      </c>
      <c r="AR478" s="8">
        <v>0</v>
      </c>
      <c r="AS478">
        <v>2.4379300000000002</v>
      </c>
    </row>
    <row r="479" spans="1:45" x14ac:dyDescent="0.25">
      <c r="A479">
        <v>89</v>
      </c>
      <c r="B479">
        <v>2001</v>
      </c>
      <c r="C479" s="8">
        <v>0</v>
      </c>
      <c r="D479">
        <v>0.1123714</v>
      </c>
      <c r="E479">
        <v>0.66622809999999999</v>
      </c>
      <c r="F479">
        <v>6.5260299999999993E-2</v>
      </c>
      <c r="G479">
        <v>5.3045960000000001</v>
      </c>
      <c r="H479">
        <v>0.20479610000000001</v>
      </c>
      <c r="Q479" s="10">
        <f t="shared" si="34"/>
        <v>4.488004693739021E-6</v>
      </c>
      <c r="AI479">
        <v>0.18812480000000001</v>
      </c>
      <c r="AJ479">
        <f t="shared" si="33"/>
        <v>0.18812480000000001</v>
      </c>
      <c r="AO479">
        <v>0.18812480000000001</v>
      </c>
      <c r="AR479" s="8">
        <v>0</v>
      </c>
      <c r="AS479">
        <v>15.06826</v>
      </c>
    </row>
    <row r="480" spans="1:45" x14ac:dyDescent="0.25">
      <c r="A480">
        <v>89</v>
      </c>
      <c r="B480">
        <v>2002</v>
      </c>
      <c r="C480" s="8">
        <v>0</v>
      </c>
      <c r="D480">
        <v>0.1023858</v>
      </c>
      <c r="E480">
        <v>0.74365630000000005</v>
      </c>
      <c r="F480">
        <v>6.5008399999999994E-2</v>
      </c>
      <c r="G480">
        <v>2.8468</v>
      </c>
      <c r="H480">
        <v>0.22792119999999999</v>
      </c>
      <c r="Q480" s="10">
        <f t="shared" si="34"/>
        <v>2.0388664137920332E-4</v>
      </c>
      <c r="AI480">
        <v>0.18419469999999999</v>
      </c>
      <c r="AJ480">
        <f t="shared" si="33"/>
        <v>0.18419469999999999</v>
      </c>
      <c r="AO480">
        <v>0.18419469999999999</v>
      </c>
      <c r="AR480" s="8">
        <v>0</v>
      </c>
      <c r="AS480">
        <v>17.248380000000001</v>
      </c>
    </row>
    <row r="481" spans="1:45" x14ac:dyDescent="0.25">
      <c r="A481">
        <v>89</v>
      </c>
      <c r="B481">
        <v>2003</v>
      </c>
      <c r="C481" s="8">
        <v>0</v>
      </c>
      <c r="D481">
        <v>0.18812480000000001</v>
      </c>
      <c r="E481">
        <v>0.69563419999999998</v>
      </c>
      <c r="F481">
        <v>6.6763799999999998E-2</v>
      </c>
      <c r="G481">
        <v>3.161152</v>
      </c>
      <c r="H481">
        <v>0.230378</v>
      </c>
      <c r="Q481" s="10">
        <f t="shared" si="34"/>
        <v>1.3557416028379057E-4</v>
      </c>
      <c r="AI481">
        <v>-2.6840000000000002E-4</v>
      </c>
      <c r="AJ481">
        <f t="shared" si="33"/>
        <v>-2.6840000000000002E-4</v>
      </c>
      <c r="AO481">
        <v>-2.6840000000000002E-4</v>
      </c>
      <c r="AR481" s="8">
        <v>0</v>
      </c>
      <c r="AS481">
        <v>5.3045960000000001</v>
      </c>
    </row>
    <row r="482" spans="1:45" x14ac:dyDescent="0.25">
      <c r="A482">
        <v>89</v>
      </c>
      <c r="B482">
        <v>2004</v>
      </c>
      <c r="C482" s="8">
        <v>0</v>
      </c>
      <c r="D482">
        <v>0.18419469999999999</v>
      </c>
      <c r="E482">
        <v>0.65549429999999997</v>
      </c>
      <c r="F482">
        <v>5.6307200000000002E-2</v>
      </c>
      <c r="G482">
        <v>2.4882610000000001</v>
      </c>
      <c r="H482">
        <v>0.19764280000000001</v>
      </c>
      <c r="Q482" s="10">
        <f t="shared" si="34"/>
        <v>4.4657833214989943E-4</v>
      </c>
      <c r="AI482">
        <v>-2.3466600000000001E-2</v>
      </c>
      <c r="AJ482">
        <f t="shared" si="33"/>
        <v>-2.3466600000000001E-2</v>
      </c>
      <c r="AO482">
        <v>-2.3466600000000001E-2</v>
      </c>
      <c r="AR482" s="8">
        <v>0</v>
      </c>
      <c r="AS482">
        <v>2.8468</v>
      </c>
    </row>
    <row r="483" spans="1:45" x14ac:dyDescent="0.25">
      <c r="A483">
        <v>90</v>
      </c>
      <c r="B483">
        <v>2001</v>
      </c>
      <c r="C483" s="8">
        <v>0</v>
      </c>
      <c r="D483">
        <v>-2.6840000000000002E-4</v>
      </c>
      <c r="E483">
        <v>0.13287950000000001</v>
      </c>
      <c r="F483">
        <v>3.6577699999999998E-2</v>
      </c>
      <c r="G483">
        <v>0.2401083</v>
      </c>
      <c r="H483">
        <v>0.12383810000000001</v>
      </c>
      <c r="Q483" s="10">
        <f t="shared" si="34"/>
        <v>3.4380693091686808E-2</v>
      </c>
      <c r="AI483">
        <v>-2.7586800000000002E-2</v>
      </c>
      <c r="AJ483">
        <f t="shared" si="33"/>
        <v>-2.7586800000000002E-2</v>
      </c>
      <c r="AO483">
        <v>-2.7586800000000002E-2</v>
      </c>
      <c r="AR483" s="8">
        <v>0</v>
      </c>
      <c r="AS483">
        <v>3.161152</v>
      </c>
    </row>
    <row r="484" spans="1:45" x14ac:dyDescent="0.25">
      <c r="A484">
        <v>90</v>
      </c>
      <c r="B484">
        <v>2002</v>
      </c>
      <c r="C484" s="8">
        <v>0</v>
      </c>
      <c r="D484">
        <v>-2.3466600000000001E-2</v>
      </c>
      <c r="E484">
        <v>8.0314700000000003E-2</v>
      </c>
      <c r="F484">
        <v>3.5131799999999998E-2</v>
      </c>
      <c r="G484">
        <v>0.2462289</v>
      </c>
      <c r="H484">
        <v>0.13566929999999999</v>
      </c>
      <c r="Q484" s="10">
        <f t="shared" si="34"/>
        <v>3.6993666378173494E-2</v>
      </c>
      <c r="AI484">
        <v>7.8616900000000003E-2</v>
      </c>
      <c r="AJ484">
        <f t="shared" si="33"/>
        <v>7.8616900000000003E-2</v>
      </c>
      <c r="AO484">
        <v>7.8616900000000003E-2</v>
      </c>
      <c r="AR484" s="8">
        <v>0</v>
      </c>
      <c r="AS484">
        <v>2.4882610000000001</v>
      </c>
    </row>
    <row r="485" spans="1:45" x14ac:dyDescent="0.25">
      <c r="A485">
        <v>90</v>
      </c>
      <c r="B485">
        <v>2003</v>
      </c>
      <c r="C485" s="8">
        <v>0</v>
      </c>
      <c r="D485">
        <v>-2.7586800000000002E-2</v>
      </c>
      <c r="E485">
        <v>6.5229800000000004E-2</v>
      </c>
      <c r="F485">
        <v>4.6713200000000003E-2</v>
      </c>
      <c r="G485">
        <v>0.37440849999999998</v>
      </c>
      <c r="H485">
        <v>0.1462956</v>
      </c>
      <c r="Q485" s="10">
        <f t="shared" si="34"/>
        <v>2.8486963189781851E-2</v>
      </c>
      <c r="AI485">
        <v>0.44619419999999999</v>
      </c>
      <c r="AJ485">
        <f t="shared" si="33"/>
        <v>0.44619419999999999</v>
      </c>
      <c r="AO485">
        <v>0.44619419999999999</v>
      </c>
      <c r="AR485" s="8">
        <v>0</v>
      </c>
      <c r="AS485">
        <v>0.2401083</v>
      </c>
    </row>
    <row r="486" spans="1:45" x14ac:dyDescent="0.25">
      <c r="A486">
        <v>90</v>
      </c>
      <c r="B486">
        <v>2004</v>
      </c>
      <c r="C486" s="8">
        <v>0</v>
      </c>
      <c r="D486">
        <v>7.8616900000000003E-2</v>
      </c>
      <c r="E486">
        <v>9.1855199999999998E-2</v>
      </c>
      <c r="F486">
        <v>5.4779300000000003E-2</v>
      </c>
      <c r="G486">
        <v>0.56112740000000005</v>
      </c>
      <c r="H486">
        <v>0.1555357</v>
      </c>
      <c r="Q486" s="10">
        <f t="shared" si="34"/>
        <v>2.0223861979687365E-2</v>
      </c>
      <c r="AI486">
        <v>0.38710030000000001</v>
      </c>
      <c r="AJ486">
        <f t="shared" si="33"/>
        <v>0.38710030000000001</v>
      </c>
      <c r="AO486">
        <v>0.38710030000000001</v>
      </c>
      <c r="AR486" s="8">
        <v>0</v>
      </c>
      <c r="AS486">
        <v>0.2462289</v>
      </c>
    </row>
    <row r="487" spans="1:45" x14ac:dyDescent="0.25">
      <c r="A487">
        <v>91</v>
      </c>
      <c r="B487">
        <v>1999</v>
      </c>
      <c r="C487" s="8">
        <v>0</v>
      </c>
      <c r="D487">
        <v>0.44619419999999999</v>
      </c>
      <c r="E487">
        <v>0.22536629999999999</v>
      </c>
      <c r="F487">
        <v>4.2703199999999997E-2</v>
      </c>
      <c r="G487">
        <v>0.49404290000000001</v>
      </c>
      <c r="H487">
        <v>0.59521210000000002</v>
      </c>
      <c r="Q487" s="10">
        <f t="shared" si="34"/>
        <v>3.0879768706413981E-2</v>
      </c>
      <c r="AI487">
        <v>0.35527910000000001</v>
      </c>
      <c r="AJ487">
        <f t="shared" si="33"/>
        <v>0.35527910000000001</v>
      </c>
      <c r="AO487">
        <v>0.35527910000000001</v>
      </c>
      <c r="AR487" s="8">
        <v>0</v>
      </c>
      <c r="AS487">
        <v>0.37440849999999998</v>
      </c>
    </row>
    <row r="488" spans="1:45" x14ac:dyDescent="0.25">
      <c r="A488">
        <v>91</v>
      </c>
      <c r="B488">
        <v>2000</v>
      </c>
      <c r="C488" s="8">
        <v>0</v>
      </c>
      <c r="D488">
        <v>0.38710030000000001</v>
      </c>
      <c r="E488">
        <v>0.23378640000000001</v>
      </c>
      <c r="F488">
        <v>4.9061E-2</v>
      </c>
      <c r="G488">
        <v>0.63543139999999998</v>
      </c>
      <c r="H488">
        <v>0.57197180000000003</v>
      </c>
      <c r="Q488" s="10">
        <f t="shared" si="34"/>
        <v>2.2453630284062685E-2</v>
      </c>
      <c r="AI488">
        <v>0.3796292</v>
      </c>
      <c r="AJ488">
        <f t="shared" si="33"/>
        <v>0.3796292</v>
      </c>
      <c r="AO488">
        <v>0.3796292</v>
      </c>
      <c r="AR488" s="8">
        <v>0</v>
      </c>
      <c r="AS488">
        <v>0.56112740000000005</v>
      </c>
    </row>
    <row r="489" spans="1:45" x14ac:dyDescent="0.25">
      <c r="A489">
        <v>91</v>
      </c>
      <c r="B489">
        <v>2001</v>
      </c>
      <c r="C489" s="8">
        <v>0</v>
      </c>
      <c r="D489">
        <v>0.35527910000000001</v>
      </c>
      <c r="E489">
        <v>0.23651539999999999</v>
      </c>
      <c r="F489">
        <v>3.7075299999999999E-2</v>
      </c>
      <c r="G489">
        <v>0.65202680000000002</v>
      </c>
      <c r="H489">
        <v>0.62699320000000003</v>
      </c>
      <c r="Q489" s="10">
        <f t="shared" si="34"/>
        <v>2.4429713213235775E-2</v>
      </c>
      <c r="AI489">
        <v>0.44305</v>
      </c>
      <c r="AJ489">
        <f t="shared" si="33"/>
        <v>0.44305</v>
      </c>
      <c r="AO489">
        <v>0.44305</v>
      </c>
      <c r="AR489" s="8">
        <v>0</v>
      </c>
      <c r="AS489">
        <v>0.49404290000000001</v>
      </c>
    </row>
    <row r="490" spans="1:45" x14ac:dyDescent="0.25">
      <c r="A490">
        <v>91</v>
      </c>
      <c r="B490">
        <v>2002</v>
      </c>
      <c r="C490" s="8">
        <v>0</v>
      </c>
      <c r="D490">
        <v>0.3796292</v>
      </c>
      <c r="E490">
        <v>0.28567999999999999</v>
      </c>
      <c r="F490">
        <v>4.9646200000000001E-2</v>
      </c>
      <c r="G490">
        <v>1.151699</v>
      </c>
      <c r="H490">
        <v>0.66000570000000003</v>
      </c>
      <c r="Q490" s="10">
        <f t="shared" si="34"/>
        <v>9.708578017817741E-3</v>
      </c>
      <c r="AI490">
        <v>0.35712379999999999</v>
      </c>
      <c r="AJ490">
        <f t="shared" si="33"/>
        <v>0.35712379999999999</v>
      </c>
      <c r="AO490">
        <v>0.35712379999999999</v>
      </c>
      <c r="AR490" s="8">
        <v>0</v>
      </c>
      <c r="AS490">
        <v>0.63543139999999998</v>
      </c>
    </row>
    <row r="491" spans="1:45" x14ac:dyDescent="0.25">
      <c r="A491">
        <v>91</v>
      </c>
      <c r="B491">
        <v>2003</v>
      </c>
      <c r="C491" s="8">
        <v>0</v>
      </c>
      <c r="D491">
        <v>0.44305</v>
      </c>
      <c r="E491">
        <v>0.35084890000000002</v>
      </c>
      <c r="F491">
        <v>5.0590099999999999E-2</v>
      </c>
      <c r="G491">
        <v>1.8480570000000001</v>
      </c>
      <c r="H491">
        <v>0.62647580000000003</v>
      </c>
      <c r="Q491" s="10">
        <f t="shared" si="34"/>
        <v>2.9250722950320191E-3</v>
      </c>
      <c r="AI491">
        <v>3.2454700000000003E-2</v>
      </c>
      <c r="AJ491">
        <f t="shared" si="33"/>
        <v>3.2454700000000003E-2</v>
      </c>
      <c r="AO491">
        <v>3.2454700000000003E-2</v>
      </c>
      <c r="AR491" s="8">
        <v>0</v>
      </c>
      <c r="AS491">
        <v>0.65202680000000002</v>
      </c>
    </row>
    <row r="492" spans="1:45" x14ac:dyDescent="0.25">
      <c r="A492">
        <v>91</v>
      </c>
      <c r="B492">
        <v>2004</v>
      </c>
      <c r="C492" s="8">
        <v>0</v>
      </c>
      <c r="D492">
        <v>0.35712379999999999</v>
      </c>
      <c r="E492">
        <v>0.34255439999999998</v>
      </c>
      <c r="F492">
        <v>5.3746299999999997E-2</v>
      </c>
      <c r="G492">
        <v>1.1887669999999999</v>
      </c>
      <c r="H492">
        <v>0.60078319999999996</v>
      </c>
      <c r="Q492" s="10">
        <f t="shared" si="34"/>
        <v>7.8016963233128889E-3</v>
      </c>
      <c r="AI492">
        <v>0.172378</v>
      </c>
      <c r="AJ492">
        <f t="shared" si="33"/>
        <v>0.172378</v>
      </c>
      <c r="AO492">
        <v>0.172378</v>
      </c>
      <c r="AR492" s="8">
        <v>0</v>
      </c>
      <c r="AS492">
        <v>1.151699</v>
      </c>
    </row>
    <row r="493" spans="1:45" x14ac:dyDescent="0.25">
      <c r="A493">
        <v>92</v>
      </c>
      <c r="B493">
        <v>2003</v>
      </c>
      <c r="C493" s="8">
        <v>0</v>
      </c>
      <c r="D493">
        <v>3.2454700000000003E-2</v>
      </c>
      <c r="E493">
        <v>9.9009E-2</v>
      </c>
      <c r="F493">
        <v>4.85265E-2</v>
      </c>
      <c r="G493">
        <v>1.986993</v>
      </c>
      <c r="H493">
        <v>0.1113547</v>
      </c>
      <c r="Q493" s="10">
        <f t="shared" si="34"/>
        <v>2.1086287589193085E-3</v>
      </c>
      <c r="AI493">
        <v>2.9645500000000002E-2</v>
      </c>
      <c r="AJ493">
        <f t="shared" si="33"/>
        <v>2.9645500000000002E-2</v>
      </c>
      <c r="AO493">
        <v>2.9645500000000002E-2</v>
      </c>
      <c r="AR493" s="8">
        <v>0</v>
      </c>
      <c r="AS493">
        <v>1.8480570000000001</v>
      </c>
    </row>
    <row r="494" spans="1:45" x14ac:dyDescent="0.25">
      <c r="A494">
        <v>93</v>
      </c>
      <c r="B494">
        <v>1995</v>
      </c>
      <c r="C494" s="8">
        <v>0</v>
      </c>
      <c r="D494">
        <v>0.172378</v>
      </c>
      <c r="E494">
        <v>0.45965349999999999</v>
      </c>
      <c r="F494">
        <v>5.3371000000000002E-2</v>
      </c>
      <c r="G494">
        <v>1.96702</v>
      </c>
      <c r="H494">
        <v>0.76872890000000005</v>
      </c>
      <c r="Q494" s="10">
        <f t="shared" si="34"/>
        <v>1.9743458128312292E-3</v>
      </c>
      <c r="AI494">
        <v>4.3173700000000002E-2</v>
      </c>
      <c r="AJ494">
        <f t="shared" si="33"/>
        <v>4.3173700000000002E-2</v>
      </c>
      <c r="AO494">
        <v>4.3173700000000002E-2</v>
      </c>
      <c r="AR494" s="8">
        <v>0</v>
      </c>
      <c r="AS494">
        <v>1.1887669999999999</v>
      </c>
    </row>
    <row r="495" spans="1:45" x14ac:dyDescent="0.25">
      <c r="A495">
        <v>93</v>
      </c>
      <c r="B495">
        <v>1996</v>
      </c>
      <c r="C495" s="8">
        <v>0</v>
      </c>
      <c r="D495">
        <v>2.9645500000000002E-2</v>
      </c>
      <c r="E495">
        <v>0.35654400000000003</v>
      </c>
      <c r="F495">
        <v>6.5884899999999996E-2</v>
      </c>
      <c r="G495">
        <v>0.38149359999999999</v>
      </c>
      <c r="H495">
        <v>0.97301199999999999</v>
      </c>
      <c r="Q495" s="10">
        <f t="shared" si="34"/>
        <v>2.7078027026115163E-2</v>
      </c>
      <c r="AI495">
        <v>0.1750785</v>
      </c>
      <c r="AJ495">
        <f t="shared" si="33"/>
        <v>0.1750785</v>
      </c>
      <c r="AO495">
        <v>0.1750785</v>
      </c>
      <c r="AR495" s="8">
        <v>0</v>
      </c>
      <c r="AS495">
        <v>1.986993</v>
      </c>
    </row>
    <row r="496" spans="1:45" x14ac:dyDescent="0.25">
      <c r="A496">
        <v>93</v>
      </c>
      <c r="B496">
        <v>1997</v>
      </c>
      <c r="C496" s="8">
        <v>1</v>
      </c>
      <c r="D496">
        <v>4.3173700000000002E-2</v>
      </c>
      <c r="E496">
        <v>0.2086286</v>
      </c>
      <c r="F496">
        <v>3.4858899999999998E-2</v>
      </c>
      <c r="G496">
        <v>9.0540099999999998E-2</v>
      </c>
      <c r="H496">
        <v>1.016006</v>
      </c>
      <c r="Q496" s="10">
        <f t="shared" si="34"/>
        <v>6.7709476449515721E-2</v>
      </c>
      <c r="AI496">
        <v>0.20037840000000001</v>
      </c>
      <c r="AJ496">
        <f t="shared" si="33"/>
        <v>0.20037840000000001</v>
      </c>
      <c r="AO496">
        <v>0.20037840000000001</v>
      </c>
      <c r="AR496" s="8">
        <v>0</v>
      </c>
      <c r="AS496">
        <v>1.96702</v>
      </c>
    </row>
    <row r="497" spans="1:45" x14ac:dyDescent="0.25">
      <c r="A497">
        <v>94</v>
      </c>
      <c r="B497">
        <v>1999</v>
      </c>
      <c r="C497" s="8">
        <v>0</v>
      </c>
      <c r="D497">
        <v>0.1750785</v>
      </c>
      <c r="E497">
        <v>0.38961990000000002</v>
      </c>
      <c r="F497">
        <v>5.0903999999999998E-2</v>
      </c>
      <c r="G497">
        <v>1.0082139999999999</v>
      </c>
      <c r="H497">
        <v>0.28486349999999999</v>
      </c>
      <c r="Q497" s="10">
        <f t="shared" si="34"/>
        <v>7.5789517299566667E-3</v>
      </c>
      <c r="AI497">
        <v>0.20451259999999999</v>
      </c>
      <c r="AJ497">
        <f t="shared" si="33"/>
        <v>0.20451259999999999</v>
      </c>
      <c r="AO497">
        <v>0.20451259999999999</v>
      </c>
      <c r="AR497" s="8">
        <v>0</v>
      </c>
      <c r="AS497">
        <v>0.38149359999999999</v>
      </c>
    </row>
    <row r="498" spans="1:45" x14ac:dyDescent="0.25">
      <c r="A498">
        <v>94</v>
      </c>
      <c r="B498">
        <v>2000</v>
      </c>
      <c r="C498" s="8">
        <v>0</v>
      </c>
      <c r="D498">
        <v>0.20037840000000001</v>
      </c>
      <c r="E498">
        <v>0.3170095</v>
      </c>
      <c r="F498">
        <v>5.2392800000000003E-2</v>
      </c>
      <c r="G498">
        <v>0.65649440000000003</v>
      </c>
      <c r="H498">
        <v>0.2906377</v>
      </c>
      <c r="Q498" s="10">
        <f t="shared" si="34"/>
        <v>1.4679084905402312E-2</v>
      </c>
      <c r="AI498">
        <v>0.22077749999999999</v>
      </c>
      <c r="AJ498">
        <f t="shared" si="33"/>
        <v>0.22077749999999999</v>
      </c>
      <c r="AO498">
        <v>0.22077749999999999</v>
      </c>
      <c r="AR498" s="8">
        <v>1</v>
      </c>
      <c r="AS498">
        <v>9.0540099999999998E-2</v>
      </c>
    </row>
    <row r="499" spans="1:45" x14ac:dyDescent="0.25">
      <c r="A499">
        <v>94</v>
      </c>
      <c r="B499">
        <v>2001</v>
      </c>
      <c r="C499" s="8">
        <v>0</v>
      </c>
      <c r="D499">
        <v>0.20451259999999999</v>
      </c>
      <c r="E499">
        <v>0.36942839999999999</v>
      </c>
      <c r="F499">
        <v>1.7382000000000002E-2</v>
      </c>
      <c r="G499">
        <v>0.96325099999999997</v>
      </c>
      <c r="H499">
        <v>0.25611060000000002</v>
      </c>
      <c r="Q499" s="10">
        <f t="shared" si="34"/>
        <v>1.0865497592839576E-2</v>
      </c>
      <c r="AI499">
        <v>0.20716380000000001</v>
      </c>
      <c r="AJ499">
        <f t="shared" si="33"/>
        <v>0.20716380000000001</v>
      </c>
      <c r="AO499">
        <v>0.20716380000000001</v>
      </c>
      <c r="AR499" s="8">
        <v>0</v>
      </c>
      <c r="AS499">
        <v>1.0082139999999999</v>
      </c>
    </row>
    <row r="500" spans="1:45" x14ac:dyDescent="0.25">
      <c r="A500">
        <v>94</v>
      </c>
      <c r="B500">
        <v>2002</v>
      </c>
      <c r="C500" s="8">
        <v>0</v>
      </c>
      <c r="D500">
        <v>0.22077749999999999</v>
      </c>
      <c r="E500">
        <v>0.32398139999999997</v>
      </c>
      <c r="F500">
        <v>3.60568E-2</v>
      </c>
      <c r="G500">
        <v>0.80291080000000004</v>
      </c>
      <c r="H500">
        <v>0.29562260000000001</v>
      </c>
      <c r="Q500" s="10">
        <f t="shared" si="34"/>
        <v>1.328436417826377E-2</v>
      </c>
      <c r="AI500">
        <v>0.2186004</v>
      </c>
      <c r="AJ500">
        <f t="shared" si="33"/>
        <v>0.2186004</v>
      </c>
      <c r="AO500">
        <v>0.2186004</v>
      </c>
      <c r="AR500" s="8">
        <v>0</v>
      </c>
      <c r="AS500">
        <v>0.65649440000000003</v>
      </c>
    </row>
    <row r="501" spans="1:45" x14ac:dyDescent="0.25">
      <c r="A501">
        <v>94</v>
      </c>
      <c r="B501">
        <v>2003</v>
      </c>
      <c r="C501" s="8">
        <v>0</v>
      </c>
      <c r="D501">
        <v>0.20716380000000001</v>
      </c>
      <c r="E501">
        <v>0.3397599</v>
      </c>
      <c r="F501">
        <v>3.8941400000000001E-2</v>
      </c>
      <c r="G501">
        <v>1.306189</v>
      </c>
      <c r="H501">
        <v>0.32955109999999999</v>
      </c>
      <c r="Q501" s="10">
        <f t="shared" si="34"/>
        <v>5.8209896651899139E-3</v>
      </c>
      <c r="AI501">
        <v>0.41006860000000001</v>
      </c>
      <c r="AJ501">
        <f t="shared" si="33"/>
        <v>0.41006860000000001</v>
      </c>
      <c r="AO501">
        <v>0.41006860000000001</v>
      </c>
      <c r="AR501" s="8">
        <v>0</v>
      </c>
      <c r="AS501">
        <v>0.96325099999999997</v>
      </c>
    </row>
    <row r="502" spans="1:45" x14ac:dyDescent="0.25">
      <c r="A502">
        <v>94</v>
      </c>
      <c r="B502">
        <v>2004</v>
      </c>
      <c r="C502" s="8">
        <v>0</v>
      </c>
      <c r="D502">
        <v>0.2186004</v>
      </c>
      <c r="E502">
        <v>0.33965810000000002</v>
      </c>
      <c r="F502">
        <v>3.9348000000000001E-2</v>
      </c>
      <c r="G502">
        <v>1.84459</v>
      </c>
      <c r="H502">
        <v>0.3426188</v>
      </c>
      <c r="Q502" s="10">
        <f t="shared" si="34"/>
        <v>2.5006357346789394E-3</v>
      </c>
      <c r="AI502">
        <v>0.39650999999999997</v>
      </c>
      <c r="AJ502">
        <f t="shared" si="33"/>
        <v>0.39650999999999997</v>
      </c>
      <c r="AO502">
        <v>0.39650999999999997</v>
      </c>
      <c r="AR502" s="8">
        <v>0</v>
      </c>
      <c r="AS502">
        <v>0.80291080000000004</v>
      </c>
    </row>
    <row r="503" spans="1:45" x14ac:dyDescent="0.25">
      <c r="A503">
        <v>95</v>
      </c>
      <c r="B503">
        <v>1995</v>
      </c>
      <c r="C503" s="8">
        <v>0</v>
      </c>
      <c r="D503">
        <v>0.41006860000000001</v>
      </c>
      <c r="E503">
        <v>0.68542000000000003</v>
      </c>
      <c r="F503">
        <v>4.0095800000000001E-2</v>
      </c>
      <c r="G503">
        <v>2.144336</v>
      </c>
      <c r="H503">
        <v>0.27576610000000001</v>
      </c>
      <c r="Q503" s="10">
        <f t="shared" si="34"/>
        <v>9.7004908896520419E-4</v>
      </c>
      <c r="AI503">
        <v>0.28294130000000001</v>
      </c>
      <c r="AJ503">
        <f t="shared" si="33"/>
        <v>0.28294130000000001</v>
      </c>
      <c r="AO503">
        <v>0.28294130000000001</v>
      </c>
      <c r="AR503" s="8">
        <v>0</v>
      </c>
      <c r="AS503">
        <v>1.306189</v>
      </c>
    </row>
    <row r="504" spans="1:45" x14ac:dyDescent="0.25">
      <c r="A504">
        <v>95</v>
      </c>
      <c r="B504">
        <v>1996</v>
      </c>
      <c r="C504" s="8">
        <v>0</v>
      </c>
      <c r="D504">
        <v>0.39650999999999997</v>
      </c>
      <c r="E504">
        <v>0.68807240000000003</v>
      </c>
      <c r="F504">
        <v>5.2547299999999998E-2</v>
      </c>
      <c r="G504">
        <v>1.970215</v>
      </c>
      <c r="H504">
        <v>0.28429589999999999</v>
      </c>
      <c r="Q504" s="10">
        <f t="shared" si="34"/>
        <v>1.1538407789209481E-3</v>
      </c>
      <c r="AI504">
        <v>0.28669620000000001</v>
      </c>
      <c r="AJ504">
        <f t="shared" si="33"/>
        <v>0.28669620000000001</v>
      </c>
      <c r="AO504">
        <v>0.28669620000000001</v>
      </c>
      <c r="AR504" s="8">
        <v>0</v>
      </c>
      <c r="AS504">
        <v>1.84459</v>
      </c>
    </row>
    <row r="505" spans="1:45" x14ac:dyDescent="0.25">
      <c r="A505">
        <v>95</v>
      </c>
      <c r="B505">
        <v>1997</v>
      </c>
      <c r="C505" s="8">
        <v>0</v>
      </c>
      <c r="D505">
        <v>0.28294130000000001</v>
      </c>
      <c r="E505">
        <v>0.68697759999999997</v>
      </c>
      <c r="F505">
        <v>5.7850199999999997E-2</v>
      </c>
      <c r="G505">
        <v>2.7603689999999999</v>
      </c>
      <c r="H505">
        <v>0.32171889999999997</v>
      </c>
      <c r="Q505" s="10">
        <f t="shared" si="34"/>
        <v>3.0729771934416528E-4</v>
      </c>
      <c r="AI505">
        <v>0.31839790000000001</v>
      </c>
      <c r="AJ505">
        <f t="shared" si="33"/>
        <v>0.31839790000000001</v>
      </c>
      <c r="AO505">
        <v>0.31839790000000001</v>
      </c>
      <c r="AR505" s="8">
        <v>0</v>
      </c>
      <c r="AS505">
        <v>2.144336</v>
      </c>
    </row>
    <row r="506" spans="1:45" x14ac:dyDescent="0.25">
      <c r="A506">
        <v>95</v>
      </c>
      <c r="B506">
        <v>1998</v>
      </c>
      <c r="C506" s="8">
        <v>0</v>
      </c>
      <c r="D506">
        <v>0.28669620000000001</v>
      </c>
      <c r="E506">
        <v>0.60933320000000002</v>
      </c>
      <c r="F506">
        <v>2.99752E-2</v>
      </c>
      <c r="G506">
        <v>1.610633</v>
      </c>
      <c r="H506">
        <v>0.27317219999999998</v>
      </c>
      <c r="Q506" s="10">
        <f t="shared" si="34"/>
        <v>2.6046924565279769E-3</v>
      </c>
      <c r="AI506">
        <v>0.36133710000000002</v>
      </c>
      <c r="AJ506">
        <f t="shared" si="33"/>
        <v>0.36133710000000002</v>
      </c>
      <c r="AO506">
        <v>0.36133710000000002</v>
      </c>
      <c r="AR506" s="8">
        <v>0</v>
      </c>
      <c r="AS506">
        <v>1.970215</v>
      </c>
    </row>
    <row r="507" spans="1:45" x14ac:dyDescent="0.25">
      <c r="A507">
        <v>95</v>
      </c>
      <c r="B507">
        <v>1999</v>
      </c>
      <c r="C507" s="8">
        <v>0</v>
      </c>
      <c r="D507">
        <v>0.31839790000000001</v>
      </c>
      <c r="E507">
        <v>0.59143089999999998</v>
      </c>
      <c r="F507">
        <v>4.75837E-2</v>
      </c>
      <c r="G507">
        <v>1.375942</v>
      </c>
      <c r="H507">
        <v>0.30820350000000002</v>
      </c>
      <c r="Q507" s="10">
        <f t="shared" si="34"/>
        <v>3.4919222811646915E-3</v>
      </c>
      <c r="AI507">
        <v>0.34661039999999999</v>
      </c>
      <c r="AJ507">
        <f t="shared" si="33"/>
        <v>0.34661039999999999</v>
      </c>
      <c r="AO507">
        <v>0.34661039999999999</v>
      </c>
      <c r="AR507" s="8">
        <v>0</v>
      </c>
      <c r="AS507">
        <v>2.7603689999999999</v>
      </c>
    </row>
    <row r="508" spans="1:45" x14ac:dyDescent="0.25">
      <c r="A508">
        <v>95</v>
      </c>
      <c r="B508">
        <v>2000</v>
      </c>
      <c r="C508" s="8">
        <v>0</v>
      </c>
      <c r="D508">
        <v>0.36133710000000002</v>
      </c>
      <c r="E508">
        <v>0.56338440000000001</v>
      </c>
      <c r="F508">
        <v>5.3625199999999998E-2</v>
      </c>
      <c r="G508">
        <v>1.5040450000000001</v>
      </c>
      <c r="H508">
        <v>0.35594540000000002</v>
      </c>
      <c r="Q508" s="10">
        <f t="shared" si="34"/>
        <v>2.9643912284081572E-3</v>
      </c>
      <c r="AI508">
        <v>0.26226709999999998</v>
      </c>
      <c r="AJ508">
        <f t="shared" si="33"/>
        <v>0.26226709999999998</v>
      </c>
      <c r="AO508">
        <v>0.26226709999999998</v>
      </c>
      <c r="AR508" s="8">
        <v>0</v>
      </c>
      <c r="AS508">
        <v>1.610633</v>
      </c>
    </row>
    <row r="509" spans="1:45" x14ac:dyDescent="0.25">
      <c r="A509">
        <v>95</v>
      </c>
      <c r="B509">
        <v>2001</v>
      </c>
      <c r="C509" s="8">
        <v>0</v>
      </c>
      <c r="D509">
        <v>0.34661039999999999</v>
      </c>
      <c r="E509">
        <v>0.56445599999999996</v>
      </c>
      <c r="F509">
        <v>-5.6334999999999996E-3</v>
      </c>
      <c r="G509">
        <v>1.174382</v>
      </c>
      <c r="H509">
        <v>0.25221120000000002</v>
      </c>
      <c r="Q509" s="10">
        <f t="shared" si="34"/>
        <v>7.4600962373159666E-3</v>
      </c>
      <c r="AI509">
        <v>0.32369520000000002</v>
      </c>
      <c r="AJ509">
        <f t="shared" si="33"/>
        <v>0.32369520000000002</v>
      </c>
      <c r="AO509">
        <v>0.32369520000000002</v>
      </c>
      <c r="AR509" s="8">
        <v>0</v>
      </c>
      <c r="AS509">
        <v>1.375942</v>
      </c>
    </row>
    <row r="510" spans="1:45" x14ac:dyDescent="0.25">
      <c r="A510">
        <v>96</v>
      </c>
      <c r="B510">
        <v>1999</v>
      </c>
      <c r="C510" s="8">
        <v>0</v>
      </c>
      <c r="D510">
        <v>0.26226709999999998</v>
      </c>
      <c r="E510">
        <v>-1.8054600000000001E-2</v>
      </c>
      <c r="F510">
        <v>4.0525199999999997E-2</v>
      </c>
      <c r="G510">
        <v>0.22205240000000001</v>
      </c>
      <c r="H510">
        <v>0.2534322</v>
      </c>
      <c r="Q510" s="10">
        <f t="shared" si="34"/>
        <v>5.0713890097361991E-2</v>
      </c>
      <c r="AI510">
        <v>-1.54103E-2</v>
      </c>
      <c r="AJ510">
        <f t="shared" si="33"/>
        <v>-1.54103E-2</v>
      </c>
      <c r="AO510">
        <v>-1.54103E-2</v>
      </c>
      <c r="AR510" s="8">
        <v>0</v>
      </c>
      <c r="AS510">
        <v>1.5040450000000001</v>
      </c>
    </row>
    <row r="511" spans="1:45" x14ac:dyDescent="0.25">
      <c r="A511">
        <v>96</v>
      </c>
      <c r="B511">
        <v>2000</v>
      </c>
      <c r="C511" s="8">
        <v>0</v>
      </c>
      <c r="D511">
        <v>0.32369520000000002</v>
      </c>
      <c r="E511">
        <v>-0.44429950000000001</v>
      </c>
      <c r="F511">
        <v>1.5600299999999999E-2</v>
      </c>
      <c r="G511">
        <v>8.7162699999999996E-2</v>
      </c>
      <c r="H511">
        <v>0.35022910000000002</v>
      </c>
      <c r="Q511" s="10">
        <f t="shared" si="34"/>
        <v>0.14064249856267813</v>
      </c>
      <c r="AI511">
        <v>-1.0821300000000001E-2</v>
      </c>
      <c r="AJ511">
        <f t="shared" si="33"/>
        <v>-1.0821300000000001E-2</v>
      </c>
      <c r="AO511">
        <v>-1.0821300000000001E-2</v>
      </c>
      <c r="AR511" s="8">
        <v>0</v>
      </c>
      <c r="AS511">
        <v>1.174382</v>
      </c>
    </row>
    <row r="512" spans="1:45" x14ac:dyDescent="0.25">
      <c r="A512">
        <v>97</v>
      </c>
      <c r="B512">
        <v>1996</v>
      </c>
      <c r="C512" s="8">
        <v>0</v>
      </c>
      <c r="D512">
        <v>-1.54103E-2</v>
      </c>
      <c r="E512">
        <v>8.22798E-2</v>
      </c>
      <c r="F512">
        <v>5.1805799999999999E-2</v>
      </c>
      <c r="G512">
        <v>0.98100229999999999</v>
      </c>
      <c r="H512">
        <v>0.14244860000000001</v>
      </c>
      <c r="Q512" s="10">
        <f t="shared" si="34"/>
        <v>1.0364627448122596E-2</v>
      </c>
      <c r="AI512">
        <v>-2.0054499999999999E-2</v>
      </c>
      <c r="AJ512">
        <f t="shared" si="33"/>
        <v>-2.0054499999999999E-2</v>
      </c>
      <c r="AO512">
        <v>-2.0054499999999999E-2</v>
      </c>
      <c r="AR512" s="8">
        <v>0</v>
      </c>
      <c r="AS512">
        <v>0.22205240000000001</v>
      </c>
    </row>
    <row r="513" spans="1:45" x14ac:dyDescent="0.25">
      <c r="A513">
        <v>97</v>
      </c>
      <c r="B513">
        <v>1997</v>
      </c>
      <c r="C513" s="8">
        <v>0</v>
      </c>
      <c r="D513">
        <v>-1.0821300000000001E-2</v>
      </c>
      <c r="E513">
        <v>0.1295145</v>
      </c>
      <c r="F513">
        <v>4.1383400000000001E-2</v>
      </c>
      <c r="G513">
        <v>1.0259149999999999</v>
      </c>
      <c r="H513">
        <v>0.1202348</v>
      </c>
      <c r="Q513" s="10">
        <f t="shared" si="34"/>
        <v>9.6826875084129998E-3</v>
      </c>
      <c r="AI513">
        <v>-1.5798E-2</v>
      </c>
      <c r="AJ513">
        <f t="shared" si="33"/>
        <v>-1.5798E-2</v>
      </c>
      <c r="AO513">
        <v>-1.5798E-2</v>
      </c>
      <c r="AR513" s="8">
        <v>0</v>
      </c>
      <c r="AS513">
        <v>8.7162699999999996E-2</v>
      </c>
    </row>
    <row r="514" spans="1:45" x14ac:dyDescent="0.25">
      <c r="A514">
        <v>97</v>
      </c>
      <c r="B514">
        <v>1998</v>
      </c>
      <c r="C514" s="8">
        <v>0</v>
      </c>
      <c r="D514">
        <v>-2.0054499999999999E-2</v>
      </c>
      <c r="E514">
        <v>0.1584981</v>
      </c>
      <c r="F514">
        <v>6.7872100000000005E-2</v>
      </c>
      <c r="G514">
        <v>1.1171960000000001</v>
      </c>
      <c r="H514">
        <v>0.14444760000000001</v>
      </c>
      <c r="Q514" s="10">
        <f t="shared" si="34"/>
        <v>6.5873222549168754E-3</v>
      </c>
      <c r="AI514">
        <v>-1.03362E-2</v>
      </c>
      <c r="AJ514">
        <f t="shared" si="33"/>
        <v>-1.03362E-2</v>
      </c>
      <c r="AO514">
        <v>-1.03362E-2</v>
      </c>
      <c r="AR514" s="8">
        <v>0</v>
      </c>
      <c r="AS514">
        <v>0.98100229999999999</v>
      </c>
    </row>
    <row r="515" spans="1:45" x14ac:dyDescent="0.25">
      <c r="A515">
        <v>97</v>
      </c>
      <c r="B515">
        <v>1999</v>
      </c>
      <c r="C515" s="8">
        <v>0</v>
      </c>
      <c r="D515">
        <v>-1.5798E-2</v>
      </c>
      <c r="E515">
        <v>0.1969841</v>
      </c>
      <c r="F515">
        <v>6.0072199999999999E-2</v>
      </c>
      <c r="G515">
        <v>0.74392899999999995</v>
      </c>
      <c r="H515">
        <v>0.13828090000000001</v>
      </c>
      <c r="Q515" s="10">
        <f t="shared" si="34"/>
        <v>1.1928925808654546E-2</v>
      </c>
      <c r="AI515">
        <v>-1.5941500000000001E-2</v>
      </c>
      <c r="AJ515">
        <f t="shared" si="33"/>
        <v>-1.5941500000000001E-2</v>
      </c>
      <c r="AO515">
        <v>-1.5941500000000001E-2</v>
      </c>
      <c r="AR515" s="8">
        <v>0</v>
      </c>
      <c r="AS515">
        <v>1.0259149999999999</v>
      </c>
    </row>
    <row r="516" spans="1:45" x14ac:dyDescent="0.25">
      <c r="A516">
        <v>97</v>
      </c>
      <c r="B516">
        <v>2000</v>
      </c>
      <c r="C516" s="8">
        <v>0</v>
      </c>
      <c r="D516">
        <v>-1.03362E-2</v>
      </c>
      <c r="E516">
        <v>0.2077146</v>
      </c>
      <c r="F516">
        <v>5.5138899999999998E-2</v>
      </c>
      <c r="G516">
        <v>0.70026029999999995</v>
      </c>
      <c r="H516">
        <v>0.12964890000000001</v>
      </c>
      <c r="Q516" s="10">
        <f t="shared" si="34"/>
        <v>1.3042355420597189E-2</v>
      </c>
      <c r="AI516">
        <v>-2.1429699999999999E-2</v>
      </c>
      <c r="AJ516">
        <f t="shared" si="33"/>
        <v>-2.1429699999999999E-2</v>
      </c>
      <c r="AO516">
        <v>-2.1429699999999999E-2</v>
      </c>
      <c r="AR516" s="8">
        <v>0</v>
      </c>
      <c r="AS516">
        <v>1.1171960000000001</v>
      </c>
    </row>
    <row r="517" spans="1:45" x14ac:dyDescent="0.25">
      <c r="A517">
        <v>97</v>
      </c>
      <c r="B517">
        <v>2001</v>
      </c>
      <c r="C517" s="8">
        <v>0</v>
      </c>
      <c r="D517">
        <v>-1.5941500000000001E-2</v>
      </c>
      <c r="E517">
        <v>0.21948329999999999</v>
      </c>
      <c r="F517">
        <v>4.1434100000000001E-2</v>
      </c>
      <c r="G517">
        <v>0.67511810000000005</v>
      </c>
      <c r="H517">
        <v>0.113374</v>
      </c>
      <c r="Q517" s="10">
        <f t="shared" si="34"/>
        <v>1.4683281328470505E-2</v>
      </c>
      <c r="AI517">
        <v>-3.3267699999999997E-2</v>
      </c>
      <c r="AJ517">
        <f t="shared" ref="AJ517:AJ580" si="35">MAX(MIN(AI517,AM$5),AM$4)</f>
        <v>-3.3267699999999997E-2</v>
      </c>
      <c r="AO517">
        <v>-3.3267699999999997E-2</v>
      </c>
      <c r="AR517" s="8">
        <v>0</v>
      </c>
      <c r="AS517">
        <v>0.74392899999999995</v>
      </c>
    </row>
    <row r="518" spans="1:45" x14ac:dyDescent="0.25">
      <c r="A518">
        <v>97</v>
      </c>
      <c r="B518">
        <v>2002</v>
      </c>
      <c r="C518" s="8">
        <v>0</v>
      </c>
      <c r="D518">
        <v>-2.1429699999999999E-2</v>
      </c>
      <c r="E518">
        <v>0.23927789999999999</v>
      </c>
      <c r="F518">
        <v>5.3120500000000001E-2</v>
      </c>
      <c r="G518">
        <v>0.58233109999999999</v>
      </c>
      <c r="H518">
        <v>0.11835850000000001</v>
      </c>
      <c r="Q518" s="10">
        <f t="shared" si="34"/>
        <v>1.5070423489227231E-2</v>
      </c>
      <c r="AI518">
        <v>6.7133000000000002E-3</v>
      </c>
      <c r="AJ518">
        <f t="shared" si="35"/>
        <v>6.7133000000000002E-3</v>
      </c>
      <c r="AO518">
        <v>6.7133000000000002E-3</v>
      </c>
      <c r="AR518" s="8">
        <v>0</v>
      </c>
      <c r="AS518">
        <v>0.70026029999999995</v>
      </c>
    </row>
    <row r="519" spans="1:45" x14ac:dyDescent="0.25">
      <c r="A519">
        <v>97</v>
      </c>
      <c r="B519">
        <v>2003</v>
      </c>
      <c r="C519" s="8">
        <v>0</v>
      </c>
      <c r="D519">
        <v>-3.3267699999999997E-2</v>
      </c>
      <c r="E519">
        <v>0.26230769999999998</v>
      </c>
      <c r="F519">
        <v>5.8218399999999997E-2</v>
      </c>
      <c r="G519">
        <v>0.68298979999999998</v>
      </c>
      <c r="H519">
        <v>0.1258986</v>
      </c>
      <c r="Q519" s="10">
        <f t="shared" ref="Q519:Q582" si="36">1/(1+EXP(-(J$6+SUMPRODUCT(K$6:O$6,D519:H519))))</f>
        <v>1.1953068182273334E-2</v>
      </c>
      <c r="AI519">
        <v>0.34895379999999998</v>
      </c>
      <c r="AJ519">
        <f t="shared" si="35"/>
        <v>0.34895379999999998</v>
      </c>
      <c r="AO519">
        <v>0.34895379999999998</v>
      </c>
      <c r="AR519" s="8">
        <v>0</v>
      </c>
      <c r="AS519">
        <v>0.67511810000000005</v>
      </c>
    </row>
    <row r="520" spans="1:45" x14ac:dyDescent="0.25">
      <c r="A520">
        <v>97</v>
      </c>
      <c r="B520">
        <v>2004</v>
      </c>
      <c r="C520" s="8">
        <v>0</v>
      </c>
      <c r="D520">
        <v>6.7133000000000002E-3</v>
      </c>
      <c r="E520">
        <v>0.25180130000000001</v>
      </c>
      <c r="F520">
        <v>5.5992599999999997E-2</v>
      </c>
      <c r="G520">
        <v>0.93210040000000005</v>
      </c>
      <c r="H520">
        <v>0.12850300000000001</v>
      </c>
      <c r="Q520" s="10">
        <f t="shared" si="36"/>
        <v>8.488984377569125E-3</v>
      </c>
      <c r="AI520">
        <v>0.2581774</v>
      </c>
      <c r="AJ520">
        <f t="shared" si="35"/>
        <v>0.2581774</v>
      </c>
      <c r="AO520">
        <v>0.2581774</v>
      </c>
      <c r="AR520" s="8">
        <v>0</v>
      </c>
      <c r="AS520">
        <v>0.58233109999999999</v>
      </c>
    </row>
    <row r="521" spans="1:45" x14ac:dyDescent="0.25">
      <c r="A521">
        <v>98</v>
      </c>
      <c r="B521">
        <v>1999</v>
      </c>
      <c r="C521" s="8">
        <v>0</v>
      </c>
      <c r="D521">
        <v>0.34895379999999998</v>
      </c>
      <c r="E521">
        <v>0.14743039999999999</v>
      </c>
      <c r="F521">
        <v>8.2982100000000003E-2</v>
      </c>
      <c r="G521">
        <v>2.6811720000000001</v>
      </c>
      <c r="H521">
        <v>0.45960129999999999</v>
      </c>
      <c r="Q521" s="10">
        <f t="shared" si="36"/>
        <v>6.991867163184275E-4</v>
      </c>
      <c r="AI521">
        <v>0.3277716</v>
      </c>
      <c r="AJ521">
        <f t="shared" si="35"/>
        <v>0.3277716</v>
      </c>
      <c r="AO521">
        <v>0.3277716</v>
      </c>
      <c r="AR521" s="8">
        <v>0</v>
      </c>
      <c r="AS521">
        <v>0.68298979999999998</v>
      </c>
    </row>
    <row r="522" spans="1:45" x14ac:dyDescent="0.25">
      <c r="A522">
        <v>98</v>
      </c>
      <c r="B522">
        <v>2000</v>
      </c>
      <c r="C522" s="8">
        <v>0</v>
      </c>
      <c r="D522">
        <v>0.2581774</v>
      </c>
      <c r="E522">
        <v>0.176894</v>
      </c>
      <c r="F522">
        <v>7.7107999999999996E-2</v>
      </c>
      <c r="G522">
        <v>2.0799620000000001</v>
      </c>
      <c r="H522">
        <v>0.41053580000000001</v>
      </c>
      <c r="Q522" s="10">
        <f t="shared" si="36"/>
        <v>1.7080625362268494E-3</v>
      </c>
      <c r="AI522">
        <v>0.25932640000000001</v>
      </c>
      <c r="AJ522">
        <f t="shared" si="35"/>
        <v>0.25932640000000001</v>
      </c>
      <c r="AO522">
        <v>0.25932640000000001</v>
      </c>
      <c r="AR522" s="8">
        <v>0</v>
      </c>
      <c r="AS522">
        <v>0.93210040000000005</v>
      </c>
    </row>
    <row r="523" spans="1:45" x14ac:dyDescent="0.25">
      <c r="A523">
        <v>98</v>
      </c>
      <c r="B523">
        <v>2001</v>
      </c>
      <c r="C523" s="8">
        <v>0</v>
      </c>
      <c r="D523">
        <v>0.3277716</v>
      </c>
      <c r="E523">
        <v>9.3226100000000006E-2</v>
      </c>
      <c r="F523">
        <v>3.7770600000000001E-2</v>
      </c>
      <c r="G523">
        <v>0.77938980000000002</v>
      </c>
      <c r="H523">
        <v>0.32861050000000003</v>
      </c>
      <c r="Q523" s="10">
        <f t="shared" si="36"/>
        <v>2.0159462758432469E-2</v>
      </c>
      <c r="AI523">
        <v>0.2143562</v>
      </c>
      <c r="AJ523">
        <f t="shared" si="35"/>
        <v>0.2143562</v>
      </c>
      <c r="AO523">
        <v>0.2143562</v>
      </c>
      <c r="AR523" s="8">
        <v>0</v>
      </c>
      <c r="AS523">
        <v>2.6811720000000001</v>
      </c>
    </row>
    <row r="524" spans="1:45" x14ac:dyDescent="0.25">
      <c r="A524">
        <v>98</v>
      </c>
      <c r="B524">
        <v>2002</v>
      </c>
      <c r="C524" s="8">
        <v>0</v>
      </c>
      <c r="D524">
        <v>0.25932640000000001</v>
      </c>
      <c r="E524">
        <v>-9.8641599999999996E-2</v>
      </c>
      <c r="F524">
        <v>6.4026899999999998E-2</v>
      </c>
      <c r="G524">
        <v>0.43745659999999997</v>
      </c>
      <c r="H524">
        <v>0.32948959999999999</v>
      </c>
      <c r="Q524" s="10">
        <f t="shared" si="36"/>
        <v>3.5650937673219814E-2</v>
      </c>
      <c r="AI524">
        <v>0.26066549999999999</v>
      </c>
      <c r="AJ524">
        <f t="shared" si="35"/>
        <v>0.26066549999999999</v>
      </c>
      <c r="AO524">
        <v>0.26066549999999999</v>
      </c>
      <c r="AR524" s="8">
        <v>0</v>
      </c>
      <c r="AS524">
        <v>2.0799620000000001</v>
      </c>
    </row>
    <row r="525" spans="1:45" x14ac:dyDescent="0.25">
      <c r="A525">
        <v>98</v>
      </c>
      <c r="B525">
        <v>2003</v>
      </c>
      <c r="C525" s="8">
        <v>0</v>
      </c>
      <c r="D525">
        <v>0.2143562</v>
      </c>
      <c r="E525">
        <v>-0.19132250000000001</v>
      </c>
      <c r="F525">
        <v>-3.2952200000000001E-2</v>
      </c>
      <c r="G525">
        <v>1.847629</v>
      </c>
      <c r="H525">
        <v>0.41461290000000001</v>
      </c>
      <c r="Q525" s="10">
        <f t="shared" si="36"/>
        <v>9.948830458084635E-3</v>
      </c>
      <c r="AI525">
        <v>2.9438499999999999E-2</v>
      </c>
      <c r="AJ525">
        <f t="shared" si="35"/>
        <v>2.9438499999999999E-2</v>
      </c>
      <c r="AO525">
        <v>2.9438499999999999E-2</v>
      </c>
      <c r="AR525" s="8">
        <v>0</v>
      </c>
      <c r="AS525">
        <v>0.77938980000000002</v>
      </c>
    </row>
    <row r="526" spans="1:45" x14ac:dyDescent="0.25">
      <c r="A526">
        <v>98</v>
      </c>
      <c r="B526">
        <v>2004</v>
      </c>
      <c r="C526" s="8">
        <v>0</v>
      </c>
      <c r="D526">
        <v>0.26066549999999999</v>
      </c>
      <c r="E526">
        <v>-0.25067660000000003</v>
      </c>
      <c r="F526">
        <v>3.2603699999999999E-2</v>
      </c>
      <c r="G526">
        <v>1.219206</v>
      </c>
      <c r="H526">
        <v>0.4341238</v>
      </c>
      <c r="Q526" s="10">
        <f t="shared" si="36"/>
        <v>1.7886648007763385E-2</v>
      </c>
      <c r="AI526">
        <v>0.117676</v>
      </c>
      <c r="AJ526">
        <f t="shared" si="35"/>
        <v>0.117676</v>
      </c>
      <c r="AO526">
        <v>0.117676</v>
      </c>
      <c r="AR526" s="8">
        <v>0</v>
      </c>
      <c r="AS526">
        <v>0.43745659999999997</v>
      </c>
    </row>
    <row r="527" spans="1:45" x14ac:dyDescent="0.25">
      <c r="A527">
        <v>99</v>
      </c>
      <c r="B527">
        <v>1995</v>
      </c>
      <c r="C527" s="8">
        <v>0</v>
      </c>
      <c r="D527">
        <v>2.9438499999999999E-2</v>
      </c>
      <c r="E527">
        <v>-0.1205022</v>
      </c>
      <c r="F527">
        <v>4.49161E-2</v>
      </c>
      <c r="G527">
        <v>0.20011899999999999</v>
      </c>
      <c r="H527">
        <v>0.28405979999999997</v>
      </c>
      <c r="Q527" s="10">
        <f t="shared" si="36"/>
        <v>5.4257872447661379E-2</v>
      </c>
      <c r="AI527">
        <v>9.0322700000000006E-2</v>
      </c>
      <c r="AJ527">
        <f t="shared" si="35"/>
        <v>9.0322700000000006E-2</v>
      </c>
      <c r="AO527">
        <v>9.0322700000000006E-2</v>
      </c>
      <c r="AR527" s="8">
        <v>0</v>
      </c>
      <c r="AS527">
        <v>1.847629</v>
      </c>
    </row>
    <row r="528" spans="1:45" x14ac:dyDescent="0.25">
      <c r="A528">
        <v>99</v>
      </c>
      <c r="B528">
        <v>1996</v>
      </c>
      <c r="C528" s="8">
        <v>0</v>
      </c>
      <c r="D528">
        <v>0.117676</v>
      </c>
      <c r="E528">
        <v>-0.14446519999999999</v>
      </c>
      <c r="F528">
        <v>5.3694899999999997E-2</v>
      </c>
      <c r="G528">
        <v>0.26385059999999999</v>
      </c>
      <c r="H528">
        <v>0.2797866</v>
      </c>
      <c r="Q528" s="10">
        <f t="shared" si="36"/>
        <v>4.920764534646465E-2</v>
      </c>
      <c r="AI528">
        <v>7.2840199999999994E-2</v>
      </c>
      <c r="AJ528">
        <f t="shared" si="35"/>
        <v>7.2840199999999994E-2</v>
      </c>
      <c r="AO528">
        <v>7.2840199999999994E-2</v>
      </c>
      <c r="AR528" s="8">
        <v>0</v>
      </c>
      <c r="AS528">
        <v>1.219206</v>
      </c>
    </row>
    <row r="529" spans="1:45" x14ac:dyDescent="0.25">
      <c r="A529">
        <v>99</v>
      </c>
      <c r="B529">
        <v>1997</v>
      </c>
      <c r="C529" s="8">
        <v>0</v>
      </c>
      <c r="D529">
        <v>9.0322700000000006E-2</v>
      </c>
      <c r="E529">
        <v>-0.36406349999999998</v>
      </c>
      <c r="F529">
        <v>6.7310499999999995E-2</v>
      </c>
      <c r="G529">
        <v>0.81001339999999999</v>
      </c>
      <c r="H529">
        <v>0.36251369999999999</v>
      </c>
      <c r="Q529" s="10">
        <f t="shared" si="36"/>
        <v>2.7085769713932114E-2</v>
      </c>
      <c r="AI529">
        <v>6.4070600000000005E-2</v>
      </c>
      <c r="AJ529">
        <f t="shared" si="35"/>
        <v>6.4070600000000005E-2</v>
      </c>
      <c r="AO529">
        <v>6.4070600000000005E-2</v>
      </c>
      <c r="AR529" s="8">
        <v>0</v>
      </c>
      <c r="AS529">
        <v>0.20011899999999999</v>
      </c>
    </row>
    <row r="530" spans="1:45" x14ac:dyDescent="0.25">
      <c r="A530">
        <v>99</v>
      </c>
      <c r="B530">
        <v>1998</v>
      </c>
      <c r="C530" s="8">
        <v>0</v>
      </c>
      <c r="D530">
        <v>7.2840199999999994E-2</v>
      </c>
      <c r="E530">
        <v>-0.32417600000000002</v>
      </c>
      <c r="F530">
        <v>7.6975600000000005E-2</v>
      </c>
      <c r="G530">
        <v>2.1917930000000001</v>
      </c>
      <c r="H530">
        <v>0.40092139999999998</v>
      </c>
      <c r="Q530" s="10">
        <f t="shared" si="36"/>
        <v>2.7264221141635042E-3</v>
      </c>
      <c r="AI530">
        <v>1.09268E-2</v>
      </c>
      <c r="AJ530">
        <f t="shared" si="35"/>
        <v>1.09268E-2</v>
      </c>
      <c r="AO530">
        <v>1.09268E-2</v>
      </c>
      <c r="AR530" s="8">
        <v>0</v>
      </c>
      <c r="AS530">
        <v>0.26385059999999999</v>
      </c>
    </row>
    <row r="531" spans="1:45" x14ac:dyDescent="0.25">
      <c r="A531">
        <v>99</v>
      </c>
      <c r="B531">
        <v>1999</v>
      </c>
      <c r="C531" s="8">
        <v>0</v>
      </c>
      <c r="D531">
        <v>6.4070600000000005E-2</v>
      </c>
      <c r="E531">
        <v>-0.2390409</v>
      </c>
      <c r="F531">
        <v>8.1966999999999998E-2</v>
      </c>
      <c r="G531">
        <v>2.548594</v>
      </c>
      <c r="H531">
        <v>0.36178300000000002</v>
      </c>
      <c r="Q531" s="10">
        <f t="shared" si="36"/>
        <v>1.276654759808697E-3</v>
      </c>
      <c r="AI531">
        <v>7.6895000000000002E-3</v>
      </c>
      <c r="AJ531">
        <f t="shared" si="35"/>
        <v>7.6895000000000002E-3</v>
      </c>
      <c r="AO531">
        <v>7.6895000000000002E-3</v>
      </c>
      <c r="AR531" s="8">
        <v>0</v>
      </c>
      <c r="AS531">
        <v>0.81001339999999999</v>
      </c>
    </row>
    <row r="532" spans="1:45" x14ac:dyDescent="0.25">
      <c r="A532">
        <v>99</v>
      </c>
      <c r="B532">
        <v>2000</v>
      </c>
      <c r="C532" s="8">
        <v>0</v>
      </c>
      <c r="D532">
        <v>1.09268E-2</v>
      </c>
      <c r="E532">
        <v>-0.2080167</v>
      </c>
      <c r="F532">
        <v>6.0987199999999998E-2</v>
      </c>
      <c r="G532">
        <v>1.3201940000000001</v>
      </c>
      <c r="H532">
        <v>0.36061009999999999</v>
      </c>
      <c r="Q532" s="10">
        <f t="shared" si="36"/>
        <v>9.9055611362202541E-3</v>
      </c>
      <c r="AI532">
        <v>-1.49126E-2</v>
      </c>
      <c r="AJ532">
        <f t="shared" si="35"/>
        <v>-1.49126E-2</v>
      </c>
      <c r="AO532">
        <v>-1.49126E-2</v>
      </c>
      <c r="AR532" s="8">
        <v>0</v>
      </c>
      <c r="AS532">
        <v>2.1917930000000001</v>
      </c>
    </row>
    <row r="533" spans="1:45" x14ac:dyDescent="0.25">
      <c r="A533">
        <v>99</v>
      </c>
      <c r="B533">
        <v>2001</v>
      </c>
      <c r="C533" s="8">
        <v>0</v>
      </c>
      <c r="D533">
        <v>7.6895000000000002E-3</v>
      </c>
      <c r="E533">
        <v>-0.23767260000000001</v>
      </c>
      <c r="F533">
        <v>2.13847E-2</v>
      </c>
      <c r="G533">
        <v>1.105961</v>
      </c>
      <c r="H533">
        <v>0.2910837</v>
      </c>
      <c r="Q533" s="10">
        <f t="shared" si="36"/>
        <v>1.8931242252018414E-2</v>
      </c>
      <c r="AI533">
        <v>6.6430500000000003E-2</v>
      </c>
      <c r="AJ533">
        <f t="shared" si="35"/>
        <v>6.6430500000000003E-2</v>
      </c>
      <c r="AO533">
        <v>6.6430500000000003E-2</v>
      </c>
      <c r="AR533" s="8">
        <v>0</v>
      </c>
      <c r="AS533">
        <v>2.548594</v>
      </c>
    </row>
    <row r="534" spans="1:45" x14ac:dyDescent="0.25">
      <c r="A534">
        <v>99</v>
      </c>
      <c r="B534">
        <v>2002</v>
      </c>
      <c r="C534" s="8">
        <v>0</v>
      </c>
      <c r="D534">
        <v>-1.49126E-2</v>
      </c>
      <c r="E534">
        <v>-0.55121109999999995</v>
      </c>
      <c r="F534">
        <v>5.3376899999999998E-2</v>
      </c>
      <c r="G534">
        <v>0.81683600000000001</v>
      </c>
      <c r="H534">
        <v>0.34311730000000001</v>
      </c>
      <c r="Q534" s="10">
        <f t="shared" si="36"/>
        <v>3.6819367611240987E-2</v>
      </c>
      <c r="AI534">
        <v>9.63918E-2</v>
      </c>
      <c r="AJ534">
        <f t="shared" si="35"/>
        <v>9.63918E-2</v>
      </c>
      <c r="AO534">
        <v>9.63918E-2</v>
      </c>
      <c r="AR534" s="8">
        <v>0</v>
      </c>
      <c r="AS534">
        <v>1.3201940000000001</v>
      </c>
    </row>
    <row r="535" spans="1:45" x14ac:dyDescent="0.25">
      <c r="A535">
        <v>99</v>
      </c>
      <c r="B535">
        <v>2003</v>
      </c>
      <c r="C535" s="8">
        <v>0</v>
      </c>
      <c r="D535">
        <v>6.6430500000000003E-2</v>
      </c>
      <c r="E535">
        <v>-0.40847129999999998</v>
      </c>
      <c r="F535">
        <v>5.3925000000000001E-2</v>
      </c>
      <c r="G535">
        <v>1.230386</v>
      </c>
      <c r="H535">
        <v>0.32248670000000002</v>
      </c>
      <c r="Q535" s="10">
        <f t="shared" si="36"/>
        <v>1.6075451433842487E-2</v>
      </c>
      <c r="AI535">
        <v>0.17367640000000001</v>
      </c>
      <c r="AJ535">
        <f t="shared" si="35"/>
        <v>0.17367640000000001</v>
      </c>
      <c r="AO535">
        <v>0.17367640000000001</v>
      </c>
      <c r="AR535" s="8">
        <v>0</v>
      </c>
      <c r="AS535">
        <v>1.105961</v>
      </c>
    </row>
    <row r="536" spans="1:45" x14ac:dyDescent="0.25">
      <c r="A536">
        <v>99</v>
      </c>
      <c r="B536">
        <v>2004</v>
      </c>
      <c r="C536" s="8">
        <v>0</v>
      </c>
      <c r="D536">
        <v>9.63918E-2</v>
      </c>
      <c r="E536">
        <v>-0.39722030000000003</v>
      </c>
      <c r="F536">
        <v>4.1813900000000001E-2</v>
      </c>
      <c r="G536">
        <v>0.84801789999999999</v>
      </c>
      <c r="H536">
        <v>0.28654289999999999</v>
      </c>
      <c r="Q536" s="10">
        <f t="shared" si="36"/>
        <v>3.1241821795103517E-2</v>
      </c>
      <c r="AI536">
        <v>0.1411664</v>
      </c>
      <c r="AJ536">
        <f t="shared" si="35"/>
        <v>0.1411664</v>
      </c>
      <c r="AO536">
        <v>0.1411664</v>
      </c>
      <c r="AR536" s="8">
        <v>0</v>
      </c>
      <c r="AS536">
        <v>0.81683600000000001</v>
      </c>
    </row>
    <row r="537" spans="1:45" x14ac:dyDescent="0.25">
      <c r="A537">
        <v>100</v>
      </c>
      <c r="B537">
        <v>1999</v>
      </c>
      <c r="C537" s="8">
        <v>0</v>
      </c>
      <c r="D537">
        <v>0.17367640000000001</v>
      </c>
      <c r="E537">
        <v>0.24301929999999999</v>
      </c>
      <c r="F537">
        <v>8.4577200000000005E-2</v>
      </c>
      <c r="G537">
        <v>5.5894500000000003</v>
      </c>
      <c r="H537">
        <v>0.27193889999999998</v>
      </c>
      <c r="Q537" s="10">
        <f t="shared" si="36"/>
        <v>4.8322766117067036E-6</v>
      </c>
      <c r="AI537">
        <v>0.19121630000000001</v>
      </c>
      <c r="AJ537">
        <f t="shared" si="35"/>
        <v>0.19121630000000001</v>
      </c>
      <c r="AO537">
        <v>0.19121630000000001</v>
      </c>
      <c r="AR537" s="8">
        <v>0</v>
      </c>
      <c r="AS537">
        <v>1.230386</v>
      </c>
    </row>
    <row r="538" spans="1:45" x14ac:dyDescent="0.25">
      <c r="A538">
        <v>100</v>
      </c>
      <c r="B538">
        <v>2000</v>
      </c>
      <c r="C538" s="8">
        <v>0</v>
      </c>
      <c r="D538">
        <v>0.1411664</v>
      </c>
      <c r="E538">
        <v>0.22650390000000001</v>
      </c>
      <c r="F538">
        <v>4.4581799999999998E-2</v>
      </c>
      <c r="G538">
        <v>3.0657100000000002</v>
      </c>
      <c r="H538">
        <v>0.23767959999999999</v>
      </c>
      <c r="Q538" s="10">
        <f t="shared" si="36"/>
        <v>3.6723752521989575E-4</v>
      </c>
      <c r="AI538">
        <v>0.1354245</v>
      </c>
      <c r="AJ538">
        <f t="shared" si="35"/>
        <v>0.1354245</v>
      </c>
      <c r="AO538">
        <v>0.1354245</v>
      </c>
      <c r="AR538" s="8">
        <v>0</v>
      </c>
      <c r="AS538">
        <v>0.84801789999999999</v>
      </c>
    </row>
    <row r="539" spans="1:45" x14ac:dyDescent="0.25">
      <c r="A539">
        <v>100</v>
      </c>
      <c r="B539">
        <v>2001</v>
      </c>
      <c r="C539" s="8">
        <v>0</v>
      </c>
      <c r="D539">
        <v>0.19121630000000001</v>
      </c>
      <c r="E539">
        <v>0.23533129999999999</v>
      </c>
      <c r="F539">
        <v>5.82306E-2</v>
      </c>
      <c r="G539">
        <v>2.3514750000000002</v>
      </c>
      <c r="H539">
        <v>0.22386229999999999</v>
      </c>
      <c r="Q539" s="10">
        <f t="shared" si="36"/>
        <v>1.0262994200876654E-3</v>
      </c>
      <c r="AI539">
        <v>2.6060900000000001E-2</v>
      </c>
      <c r="AJ539">
        <f t="shared" si="35"/>
        <v>2.6060900000000001E-2</v>
      </c>
      <c r="AO539">
        <v>2.6060900000000001E-2</v>
      </c>
      <c r="AR539" s="8">
        <v>0</v>
      </c>
      <c r="AS539">
        <v>5.5894500000000003</v>
      </c>
    </row>
    <row r="540" spans="1:45" x14ac:dyDescent="0.25">
      <c r="A540">
        <v>100</v>
      </c>
      <c r="B540">
        <v>2002</v>
      </c>
      <c r="C540" s="8">
        <v>0</v>
      </c>
      <c r="D540">
        <v>0.1354245</v>
      </c>
      <c r="E540">
        <v>0.25584610000000002</v>
      </c>
      <c r="F540">
        <v>1.9572300000000001E-2</v>
      </c>
      <c r="G540">
        <v>2.855982</v>
      </c>
      <c r="H540">
        <v>0.25526880000000002</v>
      </c>
      <c r="Q540" s="10">
        <f t="shared" si="36"/>
        <v>6.0540713591977302E-4</v>
      </c>
      <c r="AI540">
        <v>1.022E-2</v>
      </c>
      <c r="AJ540">
        <f t="shared" si="35"/>
        <v>1.022E-2</v>
      </c>
      <c r="AO540">
        <v>1.022E-2</v>
      </c>
      <c r="AR540" s="8">
        <v>0</v>
      </c>
      <c r="AS540">
        <v>3.0657100000000002</v>
      </c>
    </row>
    <row r="541" spans="1:45" x14ac:dyDescent="0.25">
      <c r="A541">
        <v>100</v>
      </c>
      <c r="B541">
        <v>2003</v>
      </c>
      <c r="C541" s="8">
        <v>0</v>
      </c>
      <c r="D541">
        <v>2.6060900000000001E-2</v>
      </c>
      <c r="E541">
        <v>0.28777419999999998</v>
      </c>
      <c r="F541">
        <v>5.3037899999999999E-2</v>
      </c>
      <c r="G541">
        <v>3.0221469999999999</v>
      </c>
      <c r="H541">
        <v>0.25141419999999998</v>
      </c>
      <c r="Q541" s="10">
        <f t="shared" si="36"/>
        <v>3.2361601552090399E-4</v>
      </c>
      <c r="AI541">
        <v>0.61588449999999995</v>
      </c>
      <c r="AJ541">
        <f t="shared" si="35"/>
        <v>0.52051970800000003</v>
      </c>
      <c r="AO541">
        <v>0.52051970800000003</v>
      </c>
      <c r="AR541" s="8">
        <v>0</v>
      </c>
      <c r="AS541">
        <v>2.3514750000000002</v>
      </c>
    </row>
    <row r="542" spans="1:45" x14ac:dyDescent="0.25">
      <c r="A542">
        <v>100</v>
      </c>
      <c r="B542">
        <v>2004</v>
      </c>
      <c r="C542" s="8">
        <v>0</v>
      </c>
      <c r="D542">
        <v>1.022E-2</v>
      </c>
      <c r="E542">
        <v>0.31305300000000003</v>
      </c>
      <c r="F542">
        <v>4.5284999999999999E-2</v>
      </c>
      <c r="G542">
        <v>3.452213</v>
      </c>
      <c r="H542">
        <v>0.26087700000000003</v>
      </c>
      <c r="Q542" s="10">
        <f t="shared" si="36"/>
        <v>1.6715531610963673E-4</v>
      </c>
      <c r="AI542">
        <v>0.69148330000000002</v>
      </c>
      <c r="AJ542">
        <f t="shared" si="35"/>
        <v>0.52051970800000003</v>
      </c>
      <c r="AO542">
        <v>0.52051970800000003</v>
      </c>
      <c r="AR542" s="8">
        <v>0</v>
      </c>
      <c r="AS542">
        <v>2.855982</v>
      </c>
    </row>
    <row r="543" spans="1:45" x14ac:dyDescent="0.25">
      <c r="A543">
        <v>101</v>
      </c>
      <c r="B543">
        <v>1995</v>
      </c>
      <c r="C543" s="8">
        <v>0</v>
      </c>
      <c r="D543">
        <v>0.61588449999999995</v>
      </c>
      <c r="E543">
        <v>0.13211980000000001</v>
      </c>
      <c r="F543">
        <v>4.2569799999999998E-2</v>
      </c>
      <c r="G543">
        <v>2.3436710000000001</v>
      </c>
      <c r="H543">
        <v>0.22486980000000001</v>
      </c>
      <c r="Q543" s="10">
        <f t="shared" si="36"/>
        <v>1.6318873702003205E-3</v>
      </c>
      <c r="AI543">
        <v>0.60812600000000006</v>
      </c>
      <c r="AJ543">
        <f t="shared" si="35"/>
        <v>0.52051970800000003</v>
      </c>
      <c r="AO543">
        <v>0.52051970800000003</v>
      </c>
      <c r="AR543" s="8">
        <v>0</v>
      </c>
      <c r="AS543">
        <v>3.0221469999999999</v>
      </c>
    </row>
    <row r="544" spans="1:45" x14ac:dyDescent="0.25">
      <c r="A544">
        <v>101</v>
      </c>
      <c r="B544">
        <v>1996</v>
      </c>
      <c r="C544" s="8">
        <v>0</v>
      </c>
      <c r="D544">
        <v>0.69148330000000002</v>
      </c>
      <c r="E544">
        <v>0.1657083</v>
      </c>
      <c r="F544">
        <v>3.8167399999999997E-2</v>
      </c>
      <c r="G544">
        <v>1.8522099999999999</v>
      </c>
      <c r="H544">
        <v>0.2744703</v>
      </c>
      <c r="Q544" s="10">
        <f t="shared" si="36"/>
        <v>3.7406337936889272E-3</v>
      </c>
      <c r="AI544">
        <v>0.64158649999999995</v>
      </c>
      <c r="AJ544">
        <f t="shared" si="35"/>
        <v>0.52051970800000003</v>
      </c>
      <c r="AO544">
        <v>0.52051970800000003</v>
      </c>
      <c r="AR544" s="8">
        <v>0</v>
      </c>
      <c r="AS544">
        <v>3.452213</v>
      </c>
    </row>
    <row r="545" spans="1:45" x14ac:dyDescent="0.25">
      <c r="A545">
        <v>101</v>
      </c>
      <c r="B545">
        <v>1997</v>
      </c>
      <c r="C545" s="8">
        <v>0</v>
      </c>
      <c r="D545">
        <v>0.60812600000000006</v>
      </c>
      <c r="E545">
        <v>0.15109600000000001</v>
      </c>
      <c r="F545">
        <v>8.6201999999999997E-3</v>
      </c>
      <c r="G545">
        <v>1.543992</v>
      </c>
      <c r="H545">
        <v>0.2458835</v>
      </c>
      <c r="Q545" s="10">
        <f t="shared" si="36"/>
        <v>7.4783224265853234E-3</v>
      </c>
      <c r="AI545">
        <v>0.64255119999999999</v>
      </c>
      <c r="AJ545">
        <f t="shared" si="35"/>
        <v>0.52051970800000003</v>
      </c>
      <c r="AO545">
        <v>0.52051970800000003</v>
      </c>
      <c r="AR545" s="8">
        <v>0</v>
      </c>
      <c r="AS545">
        <v>2.3436710000000001</v>
      </c>
    </row>
    <row r="546" spans="1:45" x14ac:dyDescent="0.25">
      <c r="A546">
        <v>101</v>
      </c>
      <c r="B546">
        <v>1998</v>
      </c>
      <c r="C546" s="8">
        <v>0</v>
      </c>
      <c r="D546">
        <v>0.64158649999999995</v>
      </c>
      <c r="E546">
        <v>0.1591167</v>
      </c>
      <c r="F546">
        <v>5.1116799999999997E-2</v>
      </c>
      <c r="G546">
        <v>1.542171</v>
      </c>
      <c r="H546">
        <v>0.27887260000000003</v>
      </c>
      <c r="Q546" s="10">
        <f t="shared" si="36"/>
        <v>5.4720022599585036E-3</v>
      </c>
      <c r="AI546">
        <v>8.3733000000000002E-3</v>
      </c>
      <c r="AJ546">
        <f t="shared" si="35"/>
        <v>8.3733000000000002E-3</v>
      </c>
      <c r="AO546">
        <v>8.3733000000000002E-3</v>
      </c>
      <c r="AR546" s="8">
        <v>0</v>
      </c>
      <c r="AS546">
        <v>1.8522099999999999</v>
      </c>
    </row>
    <row r="547" spans="1:45" x14ac:dyDescent="0.25">
      <c r="A547">
        <v>101</v>
      </c>
      <c r="B547">
        <v>1999</v>
      </c>
      <c r="C547" s="8">
        <v>0</v>
      </c>
      <c r="D547">
        <v>0.64255119999999999</v>
      </c>
      <c r="E547">
        <v>0.1484028</v>
      </c>
      <c r="F547">
        <v>1.24473E-2</v>
      </c>
      <c r="G547">
        <v>1.135805</v>
      </c>
      <c r="H547">
        <v>0.20035720000000001</v>
      </c>
      <c r="Q547" s="10">
        <f t="shared" si="36"/>
        <v>1.3675207973541223E-2</v>
      </c>
      <c r="AI547">
        <v>-1.3674800000000001E-2</v>
      </c>
      <c r="AJ547">
        <f t="shared" si="35"/>
        <v>-1.3674800000000001E-2</v>
      </c>
      <c r="AO547">
        <v>-1.3674800000000001E-2</v>
      </c>
      <c r="AR547" s="8">
        <v>0</v>
      </c>
      <c r="AS547">
        <v>1.543992</v>
      </c>
    </row>
    <row r="548" spans="1:45" x14ac:dyDescent="0.25">
      <c r="A548">
        <v>102</v>
      </c>
      <c r="B548">
        <v>1999</v>
      </c>
      <c r="C548" s="8">
        <v>0</v>
      </c>
      <c r="D548">
        <v>8.3733000000000002E-3</v>
      </c>
      <c r="E548">
        <v>0.45397090000000001</v>
      </c>
      <c r="F548">
        <v>8.23015E-2</v>
      </c>
      <c r="G548">
        <v>2.786422</v>
      </c>
      <c r="H548">
        <v>0.38985029999999998</v>
      </c>
      <c r="Q548" s="10">
        <f t="shared" si="36"/>
        <v>3.1669588819344921E-4</v>
      </c>
      <c r="AI548">
        <v>-2.9778800000000001E-2</v>
      </c>
      <c r="AJ548">
        <f t="shared" si="35"/>
        <v>-2.9778800000000001E-2</v>
      </c>
      <c r="AO548">
        <v>-2.9778800000000001E-2</v>
      </c>
      <c r="AR548" s="8">
        <v>0</v>
      </c>
      <c r="AS548">
        <v>1.542171</v>
      </c>
    </row>
    <row r="549" spans="1:45" x14ac:dyDescent="0.25">
      <c r="A549">
        <v>103</v>
      </c>
      <c r="B549">
        <v>1999</v>
      </c>
      <c r="C549" s="8">
        <v>0</v>
      </c>
      <c r="D549">
        <v>-1.3674800000000001E-2</v>
      </c>
      <c r="E549">
        <v>0.21195829999999999</v>
      </c>
      <c r="F549">
        <v>3.8260299999999997E-2</v>
      </c>
      <c r="G549">
        <v>0.48161490000000001</v>
      </c>
      <c r="H549">
        <v>0.1557403</v>
      </c>
      <c r="Q549" s="10">
        <f t="shared" si="36"/>
        <v>2.1157743785666296E-2</v>
      </c>
      <c r="AI549">
        <v>-3.6969200000000001E-2</v>
      </c>
      <c r="AJ549">
        <f t="shared" si="35"/>
        <v>-3.6969200000000001E-2</v>
      </c>
      <c r="AO549">
        <v>-3.6969200000000001E-2</v>
      </c>
      <c r="AR549" s="8">
        <v>0</v>
      </c>
      <c r="AS549">
        <v>1.135805</v>
      </c>
    </row>
    <row r="550" spans="1:45" x14ac:dyDescent="0.25">
      <c r="A550">
        <v>103</v>
      </c>
      <c r="B550">
        <v>2000</v>
      </c>
      <c r="C550" s="8">
        <v>0</v>
      </c>
      <c r="D550">
        <v>-2.9778800000000001E-2</v>
      </c>
      <c r="E550">
        <v>0.24619640000000001</v>
      </c>
      <c r="F550">
        <v>2.8745E-2</v>
      </c>
      <c r="G550">
        <v>0.41613800000000001</v>
      </c>
      <c r="H550">
        <v>0.12170880000000001</v>
      </c>
      <c r="Q550" s="10">
        <f t="shared" si="36"/>
        <v>2.3397425294129467E-2</v>
      </c>
      <c r="AI550">
        <v>9.7462E-3</v>
      </c>
      <c r="AJ550">
        <f t="shared" si="35"/>
        <v>9.7462E-3</v>
      </c>
      <c r="AO550">
        <v>9.7462E-3</v>
      </c>
      <c r="AR550" s="8">
        <v>0</v>
      </c>
      <c r="AS550">
        <v>2.786422</v>
      </c>
    </row>
    <row r="551" spans="1:45" x14ac:dyDescent="0.25">
      <c r="A551">
        <v>103</v>
      </c>
      <c r="B551">
        <v>2001</v>
      </c>
      <c r="C551" s="8">
        <v>0</v>
      </c>
      <c r="D551">
        <v>-3.6969200000000001E-2</v>
      </c>
      <c r="E551">
        <v>0.23205229999999999</v>
      </c>
      <c r="F551">
        <v>4.3954800000000002E-2</v>
      </c>
      <c r="G551">
        <v>0.53729459999999996</v>
      </c>
      <c r="H551">
        <v>0.1350904</v>
      </c>
      <c r="Q551" s="10">
        <f t="shared" si="36"/>
        <v>1.7630912389201937E-2</v>
      </c>
      <c r="AI551">
        <v>2.1790400000000001E-2</v>
      </c>
      <c r="AJ551">
        <f t="shared" si="35"/>
        <v>2.1790400000000001E-2</v>
      </c>
      <c r="AO551">
        <v>2.1790400000000001E-2</v>
      </c>
      <c r="AR551" s="8">
        <v>0</v>
      </c>
      <c r="AS551">
        <v>0.48161490000000001</v>
      </c>
    </row>
    <row r="552" spans="1:45" x14ac:dyDescent="0.25">
      <c r="A552">
        <v>103</v>
      </c>
      <c r="B552">
        <v>2002</v>
      </c>
      <c r="C552" s="8">
        <v>0</v>
      </c>
      <c r="D552">
        <v>9.7462E-3</v>
      </c>
      <c r="E552">
        <v>0.2453051</v>
      </c>
      <c r="F552">
        <v>5.0565699999999998E-2</v>
      </c>
      <c r="G552">
        <v>0.44033299999999997</v>
      </c>
      <c r="H552">
        <v>0.13362760000000001</v>
      </c>
      <c r="Q552" s="10">
        <f t="shared" si="36"/>
        <v>1.9464726921033904E-2</v>
      </c>
      <c r="AI552">
        <v>2.83751E-2</v>
      </c>
      <c r="AJ552">
        <f t="shared" si="35"/>
        <v>2.83751E-2</v>
      </c>
      <c r="AO552">
        <v>2.83751E-2</v>
      </c>
      <c r="AR552" s="8">
        <v>0</v>
      </c>
      <c r="AS552">
        <v>0.41613800000000001</v>
      </c>
    </row>
    <row r="553" spans="1:45" x14ac:dyDescent="0.25">
      <c r="A553">
        <v>103</v>
      </c>
      <c r="B553">
        <v>2003</v>
      </c>
      <c r="C553" s="8">
        <v>0</v>
      </c>
      <c r="D553">
        <v>2.1790400000000001E-2</v>
      </c>
      <c r="E553">
        <v>0.24101159999999999</v>
      </c>
      <c r="F553">
        <v>5.9266800000000001E-2</v>
      </c>
      <c r="G553">
        <v>0.54278099999999996</v>
      </c>
      <c r="H553">
        <v>0.1247573</v>
      </c>
      <c r="Q553" s="10">
        <f t="shared" si="36"/>
        <v>1.5571498460493022E-2</v>
      </c>
      <c r="AI553">
        <v>0.20299059999999999</v>
      </c>
      <c r="AJ553">
        <f t="shared" si="35"/>
        <v>0.20299059999999999</v>
      </c>
      <c r="AO553">
        <v>0.20299059999999999</v>
      </c>
      <c r="AR553" s="8">
        <v>0</v>
      </c>
      <c r="AS553">
        <v>0.53729459999999996</v>
      </c>
    </row>
    <row r="554" spans="1:45" x14ac:dyDescent="0.25">
      <c r="A554">
        <v>103</v>
      </c>
      <c r="B554">
        <v>2004</v>
      </c>
      <c r="C554" s="8">
        <v>0</v>
      </c>
      <c r="D554">
        <v>2.83751E-2</v>
      </c>
      <c r="E554">
        <v>0.23570920000000001</v>
      </c>
      <c r="F554">
        <v>4.5553200000000002E-2</v>
      </c>
      <c r="G554">
        <v>0.51397999999999999</v>
      </c>
      <c r="H554">
        <v>0.12872</v>
      </c>
      <c r="Q554" s="10">
        <f t="shared" si="36"/>
        <v>1.8376560353063072E-2</v>
      </c>
      <c r="AI554">
        <v>0.1726405</v>
      </c>
      <c r="AJ554">
        <f t="shared" si="35"/>
        <v>0.1726405</v>
      </c>
      <c r="AO554">
        <v>0.1726405</v>
      </c>
      <c r="AR554" s="8">
        <v>0</v>
      </c>
      <c r="AS554">
        <v>0.44033299999999997</v>
      </c>
    </row>
    <row r="555" spans="1:45" x14ac:dyDescent="0.25">
      <c r="A555">
        <v>104</v>
      </c>
      <c r="B555">
        <v>1998</v>
      </c>
      <c r="C555" s="8">
        <v>0</v>
      </c>
      <c r="D555">
        <v>0.20299059999999999</v>
      </c>
      <c r="E555">
        <v>0.1129819</v>
      </c>
      <c r="F555">
        <v>8.5552400000000001E-2</v>
      </c>
      <c r="G555">
        <v>0.89237869999999997</v>
      </c>
      <c r="H555">
        <v>0.14469119999999999</v>
      </c>
      <c r="Q555" s="10">
        <f t="shared" si="36"/>
        <v>9.5615637435556775E-3</v>
      </c>
      <c r="AI555">
        <v>0.16832829999999999</v>
      </c>
      <c r="AJ555">
        <f t="shared" si="35"/>
        <v>0.16832829999999999</v>
      </c>
      <c r="AO555">
        <v>0.16832829999999999</v>
      </c>
      <c r="AR555" s="8">
        <v>0</v>
      </c>
      <c r="AS555">
        <v>0.54278099999999996</v>
      </c>
    </row>
    <row r="556" spans="1:45" x14ac:dyDescent="0.25">
      <c r="A556">
        <v>104</v>
      </c>
      <c r="B556">
        <v>1999</v>
      </c>
      <c r="C556" s="8">
        <v>0</v>
      </c>
      <c r="D556">
        <v>0.1726405</v>
      </c>
      <c r="E556">
        <v>0.18050450000000001</v>
      </c>
      <c r="F556">
        <v>7.3721200000000001E-2</v>
      </c>
      <c r="G556">
        <v>1.040486</v>
      </c>
      <c r="H556">
        <v>0.14574190000000001</v>
      </c>
      <c r="Q556" s="10">
        <f t="shared" si="36"/>
        <v>7.4513122855294021E-3</v>
      </c>
      <c r="AI556">
        <v>0.1366414</v>
      </c>
      <c r="AJ556">
        <f t="shared" si="35"/>
        <v>0.1366414</v>
      </c>
      <c r="AO556">
        <v>0.1366414</v>
      </c>
      <c r="AR556" s="8">
        <v>0</v>
      </c>
      <c r="AS556">
        <v>0.51397999999999999</v>
      </c>
    </row>
    <row r="557" spans="1:45" x14ac:dyDescent="0.25">
      <c r="A557">
        <v>104</v>
      </c>
      <c r="B557">
        <v>2000</v>
      </c>
      <c r="C557" s="8">
        <v>0</v>
      </c>
      <c r="D557">
        <v>0.16832829999999999</v>
      </c>
      <c r="E557">
        <v>0.19278200000000001</v>
      </c>
      <c r="F557">
        <v>7.1943900000000005E-2</v>
      </c>
      <c r="G557">
        <v>0.48385860000000003</v>
      </c>
      <c r="H557">
        <v>0.14163539999999999</v>
      </c>
      <c r="Q557" s="10">
        <f t="shared" si="36"/>
        <v>1.7761262916446807E-2</v>
      </c>
      <c r="AI557">
        <v>0.17663870000000001</v>
      </c>
      <c r="AJ557">
        <f t="shared" si="35"/>
        <v>0.17663870000000001</v>
      </c>
      <c r="AO557">
        <v>0.17663870000000001</v>
      </c>
      <c r="AR557" s="8">
        <v>0</v>
      </c>
      <c r="AS557">
        <v>0.89237869999999997</v>
      </c>
    </row>
    <row r="558" spans="1:45" x14ac:dyDescent="0.25">
      <c r="A558">
        <v>104</v>
      </c>
      <c r="B558">
        <v>2001</v>
      </c>
      <c r="C558" s="8">
        <v>0</v>
      </c>
      <c r="D558">
        <v>0.1366414</v>
      </c>
      <c r="E558">
        <v>0.1651511</v>
      </c>
      <c r="F558">
        <v>7.78335E-2</v>
      </c>
      <c r="G558">
        <v>0.4830101</v>
      </c>
      <c r="H558">
        <v>0.1979812</v>
      </c>
      <c r="Q558" s="10">
        <f t="shared" si="36"/>
        <v>1.8046185435800482E-2</v>
      </c>
      <c r="AI558">
        <v>0.14814150000000001</v>
      </c>
      <c r="AJ558">
        <f t="shared" si="35"/>
        <v>0.14814150000000001</v>
      </c>
      <c r="AO558">
        <v>0.14814150000000001</v>
      </c>
      <c r="AR558" s="8">
        <v>0</v>
      </c>
      <c r="AS558">
        <v>1.040486</v>
      </c>
    </row>
    <row r="559" spans="1:45" x14ac:dyDescent="0.25">
      <c r="A559">
        <v>104</v>
      </c>
      <c r="B559">
        <v>2002</v>
      </c>
      <c r="C559" s="8">
        <v>0</v>
      </c>
      <c r="D559">
        <v>0.17663870000000001</v>
      </c>
      <c r="E559">
        <v>0.14835979999999999</v>
      </c>
      <c r="F559">
        <v>8.7635599999999994E-2</v>
      </c>
      <c r="G559">
        <v>0.91290660000000001</v>
      </c>
      <c r="H559">
        <v>0.1987921</v>
      </c>
      <c r="Q559" s="10">
        <f t="shared" si="36"/>
        <v>8.8486176895021269E-3</v>
      </c>
      <c r="AI559">
        <v>0.13213079999999999</v>
      </c>
      <c r="AJ559">
        <f t="shared" si="35"/>
        <v>0.13213079999999999</v>
      </c>
      <c r="AO559">
        <v>0.13213079999999999</v>
      </c>
      <c r="AR559" s="8">
        <v>0</v>
      </c>
      <c r="AS559">
        <v>0.48385860000000003</v>
      </c>
    </row>
    <row r="560" spans="1:45" x14ac:dyDescent="0.25">
      <c r="A560">
        <v>104</v>
      </c>
      <c r="B560">
        <v>2003</v>
      </c>
      <c r="C560" s="8">
        <v>0</v>
      </c>
      <c r="D560">
        <v>0.14814150000000001</v>
      </c>
      <c r="E560">
        <v>0.169713</v>
      </c>
      <c r="F560">
        <v>7.1611800000000003E-2</v>
      </c>
      <c r="G560">
        <v>0.48585610000000001</v>
      </c>
      <c r="H560">
        <v>0.1895396</v>
      </c>
      <c r="Q560" s="10">
        <f t="shared" si="36"/>
        <v>1.8734496260774995E-2</v>
      </c>
      <c r="AI560">
        <v>0.3590197</v>
      </c>
      <c r="AJ560">
        <f t="shared" si="35"/>
        <v>0.3590197</v>
      </c>
      <c r="AO560">
        <v>0.3590197</v>
      </c>
      <c r="AR560" s="8">
        <v>0</v>
      </c>
      <c r="AS560">
        <v>0.4830101</v>
      </c>
    </row>
    <row r="561" spans="1:45" x14ac:dyDescent="0.25">
      <c r="A561">
        <v>105</v>
      </c>
      <c r="B561">
        <v>1999</v>
      </c>
      <c r="C561" s="8">
        <v>0</v>
      </c>
      <c r="D561">
        <v>0.13213079999999999</v>
      </c>
      <c r="E561">
        <v>0.41171219999999997</v>
      </c>
      <c r="F561">
        <v>4.1072400000000002E-2</v>
      </c>
      <c r="G561">
        <v>1.4009830000000001</v>
      </c>
      <c r="H561">
        <v>0.2175919</v>
      </c>
      <c r="Q561" s="10">
        <f t="shared" si="36"/>
        <v>4.0151675278983709E-3</v>
      </c>
      <c r="AI561">
        <v>0.36323080000000002</v>
      </c>
      <c r="AJ561">
        <f t="shared" si="35"/>
        <v>0.36323080000000002</v>
      </c>
      <c r="AO561">
        <v>0.36323080000000002</v>
      </c>
      <c r="AR561" s="8">
        <v>0</v>
      </c>
      <c r="AS561">
        <v>0.91290660000000001</v>
      </c>
    </row>
    <row r="562" spans="1:45" x14ac:dyDescent="0.25">
      <c r="A562">
        <v>105</v>
      </c>
      <c r="B562">
        <v>2000</v>
      </c>
      <c r="C562" s="8">
        <v>0</v>
      </c>
      <c r="D562">
        <v>0.3590197</v>
      </c>
      <c r="E562">
        <v>0.4719293</v>
      </c>
      <c r="F562">
        <v>4.7606000000000002E-2</v>
      </c>
      <c r="G562">
        <v>1.9589669999999999</v>
      </c>
      <c r="H562">
        <v>0.2128457</v>
      </c>
      <c r="Q562" s="10">
        <f t="shared" si="36"/>
        <v>1.5755210271491205E-3</v>
      </c>
      <c r="AI562">
        <v>0.36699799999999999</v>
      </c>
      <c r="AJ562">
        <f t="shared" si="35"/>
        <v>0.36699799999999999</v>
      </c>
      <c r="AO562">
        <v>0.36699799999999999</v>
      </c>
      <c r="AR562" s="8">
        <v>0</v>
      </c>
      <c r="AS562">
        <v>0.48585610000000001</v>
      </c>
    </row>
    <row r="563" spans="1:45" x14ac:dyDescent="0.25">
      <c r="A563">
        <v>105</v>
      </c>
      <c r="B563">
        <v>2001</v>
      </c>
      <c r="C563" s="8">
        <v>0</v>
      </c>
      <c r="D563">
        <v>0.36323080000000002</v>
      </c>
      <c r="E563">
        <v>0.51712729999999996</v>
      </c>
      <c r="F563">
        <v>5.9596400000000001E-2</v>
      </c>
      <c r="G563">
        <v>2.605775</v>
      </c>
      <c r="H563">
        <v>0.23431650000000001</v>
      </c>
      <c r="Q563" s="10">
        <f t="shared" si="36"/>
        <v>4.8594853745910493E-4</v>
      </c>
      <c r="AI563">
        <v>0.37344830000000001</v>
      </c>
      <c r="AJ563">
        <f t="shared" si="35"/>
        <v>0.37344830000000001</v>
      </c>
      <c r="AO563">
        <v>0.37344830000000001</v>
      </c>
      <c r="AR563" s="8">
        <v>0</v>
      </c>
      <c r="AS563">
        <v>1.4009830000000001</v>
      </c>
    </row>
    <row r="564" spans="1:45" x14ac:dyDescent="0.25">
      <c r="A564">
        <v>105</v>
      </c>
      <c r="B564">
        <v>2002</v>
      </c>
      <c r="C564" s="8">
        <v>0</v>
      </c>
      <c r="D564">
        <v>0.36699799999999999</v>
      </c>
      <c r="E564">
        <v>0.504166</v>
      </c>
      <c r="F564">
        <v>5.5830100000000001E-2</v>
      </c>
      <c r="G564">
        <v>1.2113670000000001</v>
      </c>
      <c r="H564">
        <v>0.2308152</v>
      </c>
      <c r="Q564" s="10">
        <f t="shared" si="36"/>
        <v>4.6861950028869023E-3</v>
      </c>
      <c r="AI564">
        <v>0.35289520000000002</v>
      </c>
      <c r="AJ564">
        <f t="shared" si="35"/>
        <v>0.35289520000000002</v>
      </c>
      <c r="AO564">
        <v>0.35289520000000002</v>
      </c>
      <c r="AR564" s="8">
        <v>0</v>
      </c>
      <c r="AS564">
        <v>1.9589669999999999</v>
      </c>
    </row>
    <row r="565" spans="1:45" x14ac:dyDescent="0.25">
      <c r="A565">
        <v>105</v>
      </c>
      <c r="B565">
        <v>2003</v>
      </c>
      <c r="C565" s="8">
        <v>0</v>
      </c>
      <c r="D565">
        <v>0.37344830000000001</v>
      </c>
      <c r="E565">
        <v>0.49380449999999998</v>
      </c>
      <c r="F565">
        <v>5.0499200000000001E-2</v>
      </c>
      <c r="G565">
        <v>1.4620359999999999</v>
      </c>
      <c r="H565">
        <v>0.23639470000000001</v>
      </c>
      <c r="Q565" s="10">
        <f t="shared" si="36"/>
        <v>3.3545981205106231E-3</v>
      </c>
      <c r="AI565">
        <v>0.1496133</v>
      </c>
      <c r="AJ565">
        <f t="shared" si="35"/>
        <v>0.1496133</v>
      </c>
      <c r="AO565">
        <v>0.1496133</v>
      </c>
      <c r="AR565" s="8">
        <v>0</v>
      </c>
      <c r="AS565">
        <v>2.605775</v>
      </c>
    </row>
    <row r="566" spans="1:45" x14ac:dyDescent="0.25">
      <c r="A566">
        <v>105</v>
      </c>
      <c r="B566">
        <v>2004</v>
      </c>
      <c r="C566" s="8">
        <v>0</v>
      </c>
      <c r="D566">
        <v>0.35289520000000002</v>
      </c>
      <c r="E566">
        <v>0.50224349999999995</v>
      </c>
      <c r="F566">
        <v>6.0009199999999999E-2</v>
      </c>
      <c r="G566">
        <v>1.9524280000000001</v>
      </c>
      <c r="H566">
        <v>0.23094480000000001</v>
      </c>
      <c r="Q566" s="10">
        <f t="shared" si="36"/>
        <v>1.3917717659386066E-3</v>
      </c>
      <c r="AI566">
        <v>6.0781300000000003E-2</v>
      </c>
      <c r="AJ566">
        <f t="shared" si="35"/>
        <v>6.0781300000000003E-2</v>
      </c>
      <c r="AO566">
        <v>6.0781300000000003E-2</v>
      </c>
      <c r="AR566" s="8">
        <v>0</v>
      </c>
      <c r="AS566">
        <v>1.2113670000000001</v>
      </c>
    </row>
    <row r="567" spans="1:45" x14ac:dyDescent="0.25">
      <c r="A567">
        <v>106</v>
      </c>
      <c r="B567">
        <v>1999</v>
      </c>
      <c r="C567" s="8">
        <v>0</v>
      </c>
      <c r="D567">
        <v>0.1496133</v>
      </c>
      <c r="E567">
        <v>0.15333459999999999</v>
      </c>
      <c r="F567">
        <v>4.9380899999999998E-2</v>
      </c>
      <c r="G567">
        <v>0.34991519999999998</v>
      </c>
      <c r="H567">
        <v>0.28231640000000002</v>
      </c>
      <c r="Q567" s="10">
        <f t="shared" si="36"/>
        <v>2.982598508592936E-2</v>
      </c>
      <c r="AI567">
        <v>3.7470499999999997E-2</v>
      </c>
      <c r="AJ567">
        <f t="shared" si="35"/>
        <v>3.7470499999999997E-2</v>
      </c>
      <c r="AO567">
        <v>3.7470499999999997E-2</v>
      </c>
      <c r="AR567" s="8">
        <v>0</v>
      </c>
      <c r="AS567">
        <v>1.4620359999999999</v>
      </c>
    </row>
    <row r="568" spans="1:45" x14ac:dyDescent="0.25">
      <c r="A568">
        <v>106</v>
      </c>
      <c r="B568">
        <v>2000</v>
      </c>
      <c r="C568" s="8">
        <v>0</v>
      </c>
      <c r="D568">
        <v>6.0781300000000003E-2</v>
      </c>
      <c r="E568">
        <v>0.14312720000000001</v>
      </c>
      <c r="F568">
        <v>6.9774299999999997E-2</v>
      </c>
      <c r="G568">
        <v>0.33390130000000001</v>
      </c>
      <c r="H568">
        <v>0.30533709999999997</v>
      </c>
      <c r="Q568" s="10">
        <f t="shared" si="36"/>
        <v>2.5896566554843063E-2</v>
      </c>
      <c r="AI568">
        <v>-2.49489E-2</v>
      </c>
      <c r="AJ568">
        <f t="shared" si="35"/>
        <v>-2.49489E-2</v>
      </c>
      <c r="AO568">
        <v>-2.49489E-2</v>
      </c>
      <c r="AR568" s="8">
        <v>0</v>
      </c>
      <c r="AS568">
        <v>1.9524280000000001</v>
      </c>
    </row>
    <row r="569" spans="1:45" x14ac:dyDescent="0.25">
      <c r="A569">
        <v>106</v>
      </c>
      <c r="B569">
        <v>2002</v>
      </c>
      <c r="C569" s="8">
        <v>0</v>
      </c>
      <c r="D569">
        <v>3.7470499999999997E-2</v>
      </c>
      <c r="E569">
        <v>0.14479</v>
      </c>
      <c r="F569">
        <v>5.6862999999999997E-2</v>
      </c>
      <c r="G569">
        <v>0.41225089999999998</v>
      </c>
      <c r="H569">
        <v>0.31884109999999999</v>
      </c>
      <c r="Q569" s="10">
        <f t="shared" si="36"/>
        <v>2.5266241113443274E-2</v>
      </c>
      <c r="AI569">
        <v>0.1187521</v>
      </c>
      <c r="AJ569">
        <f t="shared" si="35"/>
        <v>0.1187521</v>
      </c>
      <c r="AO569">
        <v>0.1187521</v>
      </c>
      <c r="AR569" s="8">
        <v>0</v>
      </c>
      <c r="AS569">
        <v>0.34991519999999998</v>
      </c>
    </row>
    <row r="570" spans="1:45" x14ac:dyDescent="0.25">
      <c r="A570">
        <v>106</v>
      </c>
      <c r="B570">
        <v>2003</v>
      </c>
      <c r="C570" s="8">
        <v>0</v>
      </c>
      <c r="D570">
        <v>-2.49489E-2</v>
      </c>
      <c r="E570">
        <v>-9.9635799999999997E-2</v>
      </c>
      <c r="F570">
        <v>5.5695500000000002E-2</v>
      </c>
      <c r="G570">
        <v>0.3109383</v>
      </c>
      <c r="H570">
        <v>0.39555560000000001</v>
      </c>
      <c r="Q570" s="10">
        <f t="shared" si="36"/>
        <v>4.2908476369137666E-2</v>
      </c>
      <c r="AI570">
        <v>-9.3235999999999996E-3</v>
      </c>
      <c r="AJ570">
        <f t="shared" si="35"/>
        <v>-9.3235999999999996E-3</v>
      </c>
      <c r="AO570">
        <v>-9.3235999999999996E-3</v>
      </c>
      <c r="AR570" s="8">
        <v>0</v>
      </c>
      <c r="AS570">
        <v>0.33390130000000001</v>
      </c>
    </row>
    <row r="571" spans="1:45" x14ac:dyDescent="0.25">
      <c r="A571">
        <v>106</v>
      </c>
      <c r="B571">
        <v>2004</v>
      </c>
      <c r="C571" s="8">
        <v>0</v>
      </c>
      <c r="D571">
        <v>0.1187521</v>
      </c>
      <c r="E571">
        <v>-3.6952699999999998E-2</v>
      </c>
      <c r="F571">
        <v>5.80952E-2</v>
      </c>
      <c r="G571">
        <v>0.52887010000000001</v>
      </c>
      <c r="H571">
        <v>0.3722975</v>
      </c>
      <c r="Q571" s="10">
        <f t="shared" si="36"/>
        <v>2.8823224675671045E-2</v>
      </c>
      <c r="AI571">
        <v>1.3102000000000001E-2</v>
      </c>
      <c r="AJ571">
        <f t="shared" si="35"/>
        <v>1.3102000000000001E-2</v>
      </c>
      <c r="AO571">
        <v>1.3102000000000001E-2</v>
      </c>
      <c r="AR571" s="8">
        <v>0</v>
      </c>
      <c r="AS571">
        <v>0.41225089999999998</v>
      </c>
    </row>
    <row r="572" spans="1:45" x14ac:dyDescent="0.25">
      <c r="A572">
        <v>107</v>
      </c>
      <c r="B572">
        <v>1999</v>
      </c>
      <c r="C572" s="8">
        <v>0</v>
      </c>
      <c r="D572">
        <v>-9.3235999999999996E-3</v>
      </c>
      <c r="E572">
        <v>0.24056620000000001</v>
      </c>
      <c r="F572">
        <v>4.5752300000000003E-2</v>
      </c>
      <c r="G572">
        <v>0.98363440000000002</v>
      </c>
      <c r="H572">
        <v>0.12783849999999999</v>
      </c>
      <c r="Q572" s="10">
        <f t="shared" si="36"/>
        <v>8.5656429885737229E-3</v>
      </c>
      <c r="AI572">
        <v>-1.76165E-2</v>
      </c>
      <c r="AJ572">
        <f t="shared" si="35"/>
        <v>-1.76165E-2</v>
      </c>
      <c r="AO572">
        <v>-1.76165E-2</v>
      </c>
      <c r="AR572" s="8">
        <v>0</v>
      </c>
      <c r="AS572">
        <v>0.3109383</v>
      </c>
    </row>
    <row r="573" spans="1:45" x14ac:dyDescent="0.25">
      <c r="A573">
        <v>107</v>
      </c>
      <c r="B573">
        <v>2000</v>
      </c>
      <c r="C573" s="8">
        <v>0</v>
      </c>
      <c r="D573">
        <v>1.3102000000000001E-2</v>
      </c>
      <c r="E573">
        <v>0.25405929999999999</v>
      </c>
      <c r="F573">
        <v>4.1122400000000003E-2</v>
      </c>
      <c r="G573">
        <v>0.90452370000000004</v>
      </c>
      <c r="H573">
        <v>0.106906</v>
      </c>
      <c r="Q573" s="10">
        <f t="shared" si="36"/>
        <v>9.8382851557857597E-3</v>
      </c>
      <c r="AI573">
        <v>-4.09215E-2</v>
      </c>
      <c r="AJ573">
        <f t="shared" si="35"/>
        <v>-4.09215E-2</v>
      </c>
      <c r="AO573">
        <v>-4.09215E-2</v>
      </c>
      <c r="AR573" s="8">
        <v>0</v>
      </c>
      <c r="AS573">
        <v>0.52887010000000001</v>
      </c>
    </row>
    <row r="574" spans="1:45" x14ac:dyDescent="0.25">
      <c r="A574">
        <v>107</v>
      </c>
      <c r="B574">
        <v>2001</v>
      </c>
      <c r="C574" s="8">
        <v>0</v>
      </c>
      <c r="D574">
        <v>-1.76165E-2</v>
      </c>
      <c r="E574">
        <v>0.2449567</v>
      </c>
      <c r="F574">
        <v>3.6615200000000001E-2</v>
      </c>
      <c r="G574">
        <v>0.8007571</v>
      </c>
      <c r="H574">
        <v>0.1106824</v>
      </c>
      <c r="Q574" s="10">
        <f t="shared" si="36"/>
        <v>1.2040978366124028E-2</v>
      </c>
      <c r="AI574">
        <v>-0.31367780000000001</v>
      </c>
      <c r="AJ574">
        <f t="shared" si="35"/>
        <v>-0.113345184</v>
      </c>
      <c r="AO574">
        <v>-0.113345184</v>
      </c>
      <c r="AR574" s="8">
        <v>0</v>
      </c>
      <c r="AS574">
        <v>0.98363440000000002</v>
      </c>
    </row>
    <row r="575" spans="1:45" x14ac:dyDescent="0.25">
      <c r="A575">
        <v>107</v>
      </c>
      <c r="B575">
        <v>2002</v>
      </c>
      <c r="C575" s="8">
        <v>0</v>
      </c>
      <c r="D575">
        <v>-4.09215E-2</v>
      </c>
      <c r="E575">
        <v>0.2139162</v>
      </c>
      <c r="F575">
        <v>3.2216599999999998E-2</v>
      </c>
      <c r="G575">
        <v>0.63592110000000002</v>
      </c>
      <c r="H575">
        <v>0.1147934</v>
      </c>
      <c r="Q575" s="10">
        <f t="shared" si="36"/>
        <v>1.6766967550263107E-2</v>
      </c>
      <c r="AI575">
        <v>-0.3425724</v>
      </c>
      <c r="AJ575">
        <f t="shared" si="35"/>
        <v>-0.113345184</v>
      </c>
      <c r="AO575">
        <v>-0.113345184</v>
      </c>
      <c r="AR575" s="8">
        <v>0</v>
      </c>
      <c r="AS575">
        <v>0.90452370000000004</v>
      </c>
    </row>
    <row r="576" spans="1:45" x14ac:dyDescent="0.25">
      <c r="A576">
        <v>108</v>
      </c>
      <c r="B576">
        <v>1999</v>
      </c>
      <c r="C576" s="8">
        <v>0</v>
      </c>
      <c r="D576">
        <v>-0.31367780000000001</v>
      </c>
      <c r="E576">
        <v>0.74420039999999998</v>
      </c>
      <c r="F576">
        <v>6.5402399999999999E-2</v>
      </c>
      <c r="G576">
        <v>3.6523150000000002</v>
      </c>
      <c r="H576">
        <v>0.27156580000000002</v>
      </c>
      <c r="Q576" s="10">
        <f t="shared" si="36"/>
        <v>4.8654571590529884E-5</v>
      </c>
      <c r="AI576">
        <v>-0.28840320000000003</v>
      </c>
      <c r="AJ576">
        <f t="shared" si="35"/>
        <v>-0.113345184</v>
      </c>
      <c r="AO576">
        <v>-0.113345184</v>
      </c>
      <c r="AR576" s="8">
        <v>0</v>
      </c>
      <c r="AS576">
        <v>0.8007571</v>
      </c>
    </row>
    <row r="577" spans="1:45" x14ac:dyDescent="0.25">
      <c r="A577">
        <v>108</v>
      </c>
      <c r="B577">
        <v>2000</v>
      </c>
      <c r="C577" s="8">
        <v>0</v>
      </c>
      <c r="D577">
        <v>-0.3425724</v>
      </c>
      <c r="E577">
        <v>0.83184369999999996</v>
      </c>
      <c r="F577">
        <v>5.3243400000000003E-2</v>
      </c>
      <c r="G577">
        <v>2.23644</v>
      </c>
      <c r="H577">
        <v>0.26183099999999998</v>
      </c>
      <c r="Q577" s="10">
        <f t="shared" si="36"/>
        <v>4.4252669576867E-4</v>
      </c>
      <c r="AI577">
        <v>-0.22974929999999999</v>
      </c>
      <c r="AJ577">
        <f t="shared" si="35"/>
        <v>-0.113345184</v>
      </c>
      <c r="AO577">
        <v>-0.113345184</v>
      </c>
      <c r="AR577" s="8">
        <v>0</v>
      </c>
      <c r="AS577">
        <v>0.63592110000000002</v>
      </c>
    </row>
    <row r="578" spans="1:45" x14ac:dyDescent="0.25">
      <c r="A578">
        <v>108</v>
      </c>
      <c r="B578">
        <v>2001</v>
      </c>
      <c r="C578" s="8">
        <v>0</v>
      </c>
      <c r="D578">
        <v>-0.28840320000000003</v>
      </c>
      <c r="E578">
        <v>0.76340710000000001</v>
      </c>
      <c r="F578">
        <v>6.57031E-2</v>
      </c>
      <c r="G578">
        <v>1.838778</v>
      </c>
      <c r="H578">
        <v>0.23905879999999999</v>
      </c>
      <c r="Q578" s="10">
        <f t="shared" si="36"/>
        <v>8.4049564217426984E-4</v>
      </c>
      <c r="AI578">
        <v>-0.21921109999999999</v>
      </c>
      <c r="AJ578">
        <f t="shared" si="35"/>
        <v>-0.113345184</v>
      </c>
      <c r="AO578">
        <v>-0.113345184</v>
      </c>
      <c r="AR578" s="8">
        <v>0</v>
      </c>
      <c r="AS578">
        <v>3.6523150000000002</v>
      </c>
    </row>
    <row r="579" spans="1:45" x14ac:dyDescent="0.25">
      <c r="A579">
        <v>108</v>
      </c>
      <c r="B579">
        <v>2002</v>
      </c>
      <c r="C579" s="8">
        <v>0</v>
      </c>
      <c r="D579">
        <v>-0.22974929999999999</v>
      </c>
      <c r="E579">
        <v>0.81514889999999995</v>
      </c>
      <c r="F579">
        <v>4.9609300000000002E-2</v>
      </c>
      <c r="G579">
        <v>1.683019</v>
      </c>
      <c r="H579">
        <v>0.22429450000000001</v>
      </c>
      <c r="Q579" s="10">
        <f t="shared" si="36"/>
        <v>1.1534962196709765E-3</v>
      </c>
      <c r="AI579">
        <v>-0.1122503</v>
      </c>
      <c r="AJ579">
        <f t="shared" si="35"/>
        <v>-0.1122503</v>
      </c>
      <c r="AO579">
        <v>-0.1122503</v>
      </c>
      <c r="AR579" s="8">
        <v>0</v>
      </c>
      <c r="AS579">
        <v>2.23644</v>
      </c>
    </row>
    <row r="580" spans="1:45" x14ac:dyDescent="0.25">
      <c r="A580">
        <v>108</v>
      </c>
      <c r="B580">
        <v>2003</v>
      </c>
      <c r="C580" s="8">
        <v>0</v>
      </c>
      <c r="D580">
        <v>-0.21921109999999999</v>
      </c>
      <c r="E580">
        <v>0.82231390000000004</v>
      </c>
      <c r="F580">
        <v>7.2167300000000004E-2</v>
      </c>
      <c r="G580">
        <v>1.724648</v>
      </c>
      <c r="H580">
        <v>0.257905</v>
      </c>
      <c r="Q580" s="10">
        <f t="shared" si="36"/>
        <v>9.148747642213509E-4</v>
      </c>
      <c r="AI580">
        <v>1.8050799999999999E-2</v>
      </c>
      <c r="AJ580">
        <f t="shared" si="35"/>
        <v>1.8050799999999999E-2</v>
      </c>
      <c r="AO580">
        <v>1.8050799999999999E-2</v>
      </c>
      <c r="AR580" s="8">
        <v>0</v>
      </c>
      <c r="AS580">
        <v>1.838778</v>
      </c>
    </row>
    <row r="581" spans="1:45" x14ac:dyDescent="0.25">
      <c r="A581">
        <v>108</v>
      </c>
      <c r="B581">
        <v>2004</v>
      </c>
      <c r="C581" s="8">
        <v>0</v>
      </c>
      <c r="D581">
        <v>-0.1122503</v>
      </c>
      <c r="E581">
        <v>0.84279470000000001</v>
      </c>
      <c r="F581">
        <v>4.2069000000000002E-2</v>
      </c>
      <c r="G581">
        <v>1.854554</v>
      </c>
      <c r="H581">
        <v>0.2474509</v>
      </c>
      <c r="Q581" s="10">
        <f t="shared" si="36"/>
        <v>9.5389592003513387E-4</v>
      </c>
      <c r="AI581">
        <v>-1.65469E-2</v>
      </c>
      <c r="AJ581">
        <f t="shared" ref="AJ581:AJ644" si="37">MAX(MIN(AI581,AM$5),AM$4)</f>
        <v>-1.65469E-2</v>
      </c>
      <c r="AO581">
        <v>-1.65469E-2</v>
      </c>
      <c r="AR581" s="8">
        <v>0</v>
      </c>
      <c r="AS581">
        <v>1.683019</v>
      </c>
    </row>
    <row r="582" spans="1:45" x14ac:dyDescent="0.25">
      <c r="A582">
        <v>109</v>
      </c>
      <c r="B582">
        <v>1999</v>
      </c>
      <c r="C582" s="8">
        <v>0</v>
      </c>
      <c r="D582">
        <v>1.8050799999999999E-2</v>
      </c>
      <c r="E582">
        <v>0.13633919999999999</v>
      </c>
      <c r="F582">
        <v>5.0262399999999999E-2</v>
      </c>
      <c r="G582">
        <v>0.85640260000000001</v>
      </c>
      <c r="H582">
        <v>0.1330461</v>
      </c>
      <c r="Q582" s="10">
        <f t="shared" si="36"/>
        <v>1.1907651581806825E-2</v>
      </c>
      <c r="AI582">
        <v>-1.06362E-2</v>
      </c>
      <c r="AJ582">
        <f t="shared" si="37"/>
        <v>-1.06362E-2</v>
      </c>
      <c r="AO582">
        <v>-1.06362E-2</v>
      </c>
      <c r="AR582" s="8">
        <v>0</v>
      </c>
      <c r="AS582">
        <v>1.724648</v>
      </c>
    </row>
    <row r="583" spans="1:45" x14ac:dyDescent="0.25">
      <c r="A583">
        <v>109</v>
      </c>
      <c r="B583">
        <v>2000</v>
      </c>
      <c r="C583" s="8">
        <v>0</v>
      </c>
      <c r="D583">
        <v>-1.65469E-2</v>
      </c>
      <c r="E583">
        <v>0.17268520000000001</v>
      </c>
      <c r="F583">
        <v>5.1925300000000001E-2</v>
      </c>
      <c r="G583">
        <v>0.93006429999999995</v>
      </c>
      <c r="H583">
        <v>0.1216742</v>
      </c>
      <c r="Q583" s="10">
        <f t="shared" ref="Q583:Q646" si="38">1/(1+EXP(-(J$6+SUMPRODUCT(K$6:O$6,D583:H583))))</f>
        <v>9.7227563528734292E-3</v>
      </c>
      <c r="AI583">
        <v>-2.0038299999999998E-2</v>
      </c>
      <c r="AJ583">
        <f t="shared" si="37"/>
        <v>-2.0038299999999998E-2</v>
      </c>
      <c r="AO583">
        <v>-2.0038299999999998E-2</v>
      </c>
      <c r="AR583" s="8">
        <v>0</v>
      </c>
      <c r="AS583">
        <v>1.854554</v>
      </c>
    </row>
    <row r="584" spans="1:45" x14ac:dyDescent="0.25">
      <c r="A584">
        <v>109</v>
      </c>
      <c r="B584">
        <v>2001</v>
      </c>
      <c r="C584" s="8">
        <v>0</v>
      </c>
      <c r="D584">
        <v>-1.06362E-2</v>
      </c>
      <c r="E584">
        <v>0.1729821</v>
      </c>
      <c r="F584">
        <v>4.6732900000000001E-2</v>
      </c>
      <c r="G584">
        <v>1.208404</v>
      </c>
      <c r="H584">
        <v>0.1121755</v>
      </c>
      <c r="Q584" s="10">
        <f t="shared" si="38"/>
        <v>6.5001355625060857E-3</v>
      </c>
      <c r="AI584">
        <v>-2.8357999999999999E-3</v>
      </c>
      <c r="AJ584">
        <f t="shared" si="37"/>
        <v>-2.8357999999999999E-3</v>
      </c>
      <c r="AO584">
        <v>-2.8357999999999999E-3</v>
      </c>
      <c r="AR584" s="8">
        <v>0</v>
      </c>
      <c r="AS584">
        <v>0.85640260000000001</v>
      </c>
    </row>
    <row r="585" spans="1:45" x14ac:dyDescent="0.25">
      <c r="A585">
        <v>109</v>
      </c>
      <c r="B585">
        <v>2002</v>
      </c>
      <c r="C585" s="8">
        <v>0</v>
      </c>
      <c r="D585">
        <v>-2.0038299999999998E-2</v>
      </c>
      <c r="E585">
        <v>0.17040430000000001</v>
      </c>
      <c r="F585">
        <v>4.7879499999999998E-2</v>
      </c>
      <c r="G585">
        <v>1.099072</v>
      </c>
      <c r="H585">
        <v>0.1061054</v>
      </c>
      <c r="Q585" s="10">
        <f t="shared" si="38"/>
        <v>7.6280818248006801E-3</v>
      </c>
      <c r="AI585">
        <v>1.8041999999999999E-3</v>
      </c>
      <c r="AJ585">
        <f t="shared" si="37"/>
        <v>1.8041999999999999E-3</v>
      </c>
      <c r="AO585">
        <v>1.8041999999999999E-3</v>
      </c>
      <c r="AR585" s="8">
        <v>0</v>
      </c>
      <c r="AS585">
        <v>0.93006429999999995</v>
      </c>
    </row>
    <row r="586" spans="1:45" x14ac:dyDescent="0.25">
      <c r="A586">
        <v>109</v>
      </c>
      <c r="B586">
        <v>2003</v>
      </c>
      <c r="C586" s="8">
        <v>0</v>
      </c>
      <c r="D586">
        <v>-2.8357999999999999E-3</v>
      </c>
      <c r="E586">
        <v>0.18628520000000001</v>
      </c>
      <c r="F586">
        <v>5.1768700000000001E-2</v>
      </c>
      <c r="G586">
        <v>1.5176909999999999</v>
      </c>
      <c r="H586">
        <v>0.12690209999999999</v>
      </c>
      <c r="Q586" s="10">
        <f t="shared" si="38"/>
        <v>3.7977001416644976E-3</v>
      </c>
      <c r="AI586">
        <v>2.3246599999999999E-2</v>
      </c>
      <c r="AJ586">
        <f t="shared" si="37"/>
        <v>2.3246599999999999E-2</v>
      </c>
      <c r="AO586">
        <v>2.3246599999999999E-2</v>
      </c>
      <c r="AR586" s="8">
        <v>0</v>
      </c>
      <c r="AS586">
        <v>1.208404</v>
      </c>
    </row>
    <row r="587" spans="1:45" x14ac:dyDescent="0.25">
      <c r="A587">
        <v>109</v>
      </c>
      <c r="B587">
        <v>2004</v>
      </c>
      <c r="C587" s="8">
        <v>0</v>
      </c>
      <c r="D587">
        <v>1.8041999999999999E-3</v>
      </c>
      <c r="E587">
        <v>0.21958720000000001</v>
      </c>
      <c r="F587">
        <v>5.6865699999999998E-2</v>
      </c>
      <c r="G587">
        <v>1.7935479999999999</v>
      </c>
      <c r="H587">
        <v>0.13297990000000001</v>
      </c>
      <c r="Q587" s="10">
        <f t="shared" si="38"/>
        <v>2.2542920083485616E-3</v>
      </c>
      <c r="AI587">
        <v>6.0369300000000001E-2</v>
      </c>
      <c r="AJ587">
        <f t="shared" si="37"/>
        <v>6.0369300000000001E-2</v>
      </c>
      <c r="AO587">
        <v>6.0369300000000001E-2</v>
      </c>
      <c r="AR587" s="8">
        <v>0</v>
      </c>
      <c r="AS587">
        <v>1.099072</v>
      </c>
    </row>
    <row r="588" spans="1:45" x14ac:dyDescent="0.25">
      <c r="A588">
        <v>110</v>
      </c>
      <c r="B588">
        <v>1999</v>
      </c>
      <c r="C588" s="8">
        <v>0</v>
      </c>
      <c r="D588">
        <v>2.3246599999999999E-2</v>
      </c>
      <c r="E588">
        <v>0.18534610000000001</v>
      </c>
      <c r="F588">
        <v>7.3939099999999994E-2</v>
      </c>
      <c r="G588">
        <v>1.7381629999999999</v>
      </c>
      <c r="H588">
        <v>0.16037560000000001</v>
      </c>
      <c r="Q588" s="10">
        <f t="shared" si="38"/>
        <v>2.3166312985396973E-3</v>
      </c>
      <c r="AI588">
        <v>3.2318E-2</v>
      </c>
      <c r="AJ588">
        <f t="shared" si="37"/>
        <v>3.2318E-2</v>
      </c>
      <c r="AO588">
        <v>3.2318E-2</v>
      </c>
      <c r="AR588" s="8">
        <v>0</v>
      </c>
      <c r="AS588">
        <v>1.5176909999999999</v>
      </c>
    </row>
    <row r="589" spans="1:45" x14ac:dyDescent="0.25">
      <c r="A589">
        <v>110</v>
      </c>
      <c r="B589">
        <v>2000</v>
      </c>
      <c r="C589" s="8">
        <v>0</v>
      </c>
      <c r="D589">
        <v>6.0369300000000001E-2</v>
      </c>
      <c r="E589">
        <v>0.10045750000000001</v>
      </c>
      <c r="F589">
        <v>6.8464899999999995E-2</v>
      </c>
      <c r="G589">
        <v>1.117737</v>
      </c>
      <c r="H589">
        <v>0.17065710000000001</v>
      </c>
      <c r="Q589" s="10">
        <f t="shared" si="38"/>
        <v>7.4827705103754855E-3</v>
      </c>
      <c r="AI589">
        <v>3.5016100000000001E-2</v>
      </c>
      <c r="AJ589">
        <f t="shared" si="37"/>
        <v>3.5016100000000001E-2</v>
      </c>
      <c r="AO589">
        <v>3.5016100000000001E-2</v>
      </c>
      <c r="AR589" s="8">
        <v>0</v>
      </c>
      <c r="AS589">
        <v>1.7935479999999999</v>
      </c>
    </row>
    <row r="590" spans="1:45" x14ac:dyDescent="0.25">
      <c r="A590">
        <v>110</v>
      </c>
      <c r="B590">
        <v>2001</v>
      </c>
      <c r="C590" s="8">
        <v>0</v>
      </c>
      <c r="D590">
        <v>3.2318E-2</v>
      </c>
      <c r="E590">
        <v>0.1836227</v>
      </c>
      <c r="F590">
        <v>4.58736E-2</v>
      </c>
      <c r="G590">
        <v>1.1213249999999999</v>
      </c>
      <c r="H590">
        <v>0.11288570000000001</v>
      </c>
      <c r="Q590" s="10">
        <f t="shared" si="38"/>
        <v>7.5322533333547631E-3</v>
      </c>
      <c r="AI590">
        <v>0.1842828</v>
      </c>
      <c r="AJ590">
        <f t="shared" si="37"/>
        <v>0.1842828</v>
      </c>
      <c r="AO590">
        <v>0.1842828</v>
      </c>
      <c r="AR590" s="8">
        <v>0</v>
      </c>
      <c r="AS590">
        <v>1.7381629999999999</v>
      </c>
    </row>
    <row r="591" spans="1:45" x14ac:dyDescent="0.25">
      <c r="A591">
        <v>110</v>
      </c>
      <c r="B591">
        <v>2002</v>
      </c>
      <c r="C591" s="8">
        <v>0</v>
      </c>
      <c r="D591">
        <v>3.5016100000000001E-2</v>
      </c>
      <c r="E591">
        <v>0.21394879999999999</v>
      </c>
      <c r="F591">
        <v>5.4490700000000003E-2</v>
      </c>
      <c r="G591">
        <v>1.03077</v>
      </c>
      <c r="H591">
        <v>0.16580439999999999</v>
      </c>
      <c r="Q591" s="10">
        <f t="shared" si="38"/>
        <v>8.0356209289009165E-3</v>
      </c>
      <c r="AI591">
        <v>3.61181E-2</v>
      </c>
      <c r="AJ591">
        <f t="shared" si="37"/>
        <v>3.61181E-2</v>
      </c>
      <c r="AO591">
        <v>3.61181E-2</v>
      </c>
      <c r="AR591" s="8">
        <v>0</v>
      </c>
      <c r="AS591">
        <v>1.117737</v>
      </c>
    </row>
    <row r="592" spans="1:45" x14ac:dyDescent="0.25">
      <c r="A592">
        <v>110</v>
      </c>
      <c r="B592">
        <v>2003</v>
      </c>
      <c r="C592" s="8">
        <v>0</v>
      </c>
      <c r="D592">
        <v>0.1842828</v>
      </c>
      <c r="E592">
        <v>0.2293656</v>
      </c>
      <c r="F592">
        <v>2.1500999999999999E-2</v>
      </c>
      <c r="G592">
        <v>1.1440380000000001</v>
      </c>
      <c r="H592">
        <v>0.16646250000000001</v>
      </c>
      <c r="Q592" s="10">
        <f t="shared" si="38"/>
        <v>9.0798809111693173E-3</v>
      </c>
      <c r="AI592">
        <v>0.26492520000000003</v>
      </c>
      <c r="AJ592">
        <f t="shared" si="37"/>
        <v>0.26492520000000003</v>
      </c>
      <c r="AO592">
        <v>0.26492520000000003</v>
      </c>
      <c r="AR592" s="8">
        <v>0</v>
      </c>
      <c r="AS592">
        <v>1.1213249999999999</v>
      </c>
    </row>
    <row r="593" spans="1:45" x14ac:dyDescent="0.25">
      <c r="A593">
        <v>110</v>
      </c>
      <c r="B593">
        <v>2004</v>
      </c>
      <c r="C593" s="8">
        <v>0</v>
      </c>
      <c r="D593">
        <v>3.61181E-2</v>
      </c>
      <c r="E593">
        <v>0.2140772</v>
      </c>
      <c r="F593">
        <v>5.11963E-2</v>
      </c>
      <c r="G593">
        <v>0.68274619999999997</v>
      </c>
      <c r="H593">
        <v>0.12564790000000001</v>
      </c>
      <c r="Q593" s="10">
        <f t="shared" si="38"/>
        <v>1.3933085393910074E-2</v>
      </c>
      <c r="AI593">
        <v>0.33338980000000001</v>
      </c>
      <c r="AJ593">
        <f t="shared" si="37"/>
        <v>0.33338980000000001</v>
      </c>
      <c r="AO593">
        <v>0.33338980000000001</v>
      </c>
      <c r="AR593" s="8">
        <v>0</v>
      </c>
      <c r="AS593">
        <v>1.03077</v>
      </c>
    </row>
    <row r="594" spans="1:45" x14ac:dyDescent="0.25">
      <c r="A594">
        <v>111</v>
      </c>
      <c r="B594">
        <v>1999</v>
      </c>
      <c r="C594" s="8">
        <v>0</v>
      </c>
      <c r="D594">
        <v>0.26492520000000003</v>
      </c>
      <c r="E594">
        <v>0.17964060000000001</v>
      </c>
      <c r="F594">
        <v>5.4595299999999999E-2</v>
      </c>
      <c r="G594">
        <v>0.52238709999999999</v>
      </c>
      <c r="H594">
        <v>0.26024259999999999</v>
      </c>
      <c r="Q594" s="10">
        <f t="shared" si="38"/>
        <v>2.1821414307380594E-2</v>
      </c>
      <c r="AI594">
        <v>0.25214300000000001</v>
      </c>
      <c r="AJ594">
        <f t="shared" si="37"/>
        <v>0.25214300000000001</v>
      </c>
      <c r="AO594">
        <v>0.25214300000000001</v>
      </c>
      <c r="AR594" s="8">
        <v>0</v>
      </c>
      <c r="AS594">
        <v>1.1440380000000001</v>
      </c>
    </row>
    <row r="595" spans="1:45" x14ac:dyDescent="0.25">
      <c r="A595">
        <v>111</v>
      </c>
      <c r="B595">
        <v>2000</v>
      </c>
      <c r="C595" s="8">
        <v>0</v>
      </c>
      <c r="D595">
        <v>0.33338980000000001</v>
      </c>
      <c r="E595">
        <v>0.20068130000000001</v>
      </c>
      <c r="F595">
        <v>5.2483700000000001E-2</v>
      </c>
      <c r="G595">
        <v>0.65995219999999999</v>
      </c>
      <c r="H595">
        <v>0.2452992</v>
      </c>
      <c r="Q595" s="10">
        <f t="shared" si="38"/>
        <v>1.7695071649956005E-2</v>
      </c>
      <c r="AI595">
        <v>0.26672889999999999</v>
      </c>
      <c r="AJ595">
        <f t="shared" si="37"/>
        <v>0.26672889999999999</v>
      </c>
      <c r="AO595">
        <v>0.26672889999999999</v>
      </c>
      <c r="AR595" s="8">
        <v>0</v>
      </c>
      <c r="AS595">
        <v>0.68274619999999997</v>
      </c>
    </row>
    <row r="596" spans="1:45" x14ac:dyDescent="0.25">
      <c r="A596">
        <v>111</v>
      </c>
      <c r="B596">
        <v>2001</v>
      </c>
      <c r="C596" s="8">
        <v>0</v>
      </c>
      <c r="D596">
        <v>0.25214300000000001</v>
      </c>
      <c r="E596">
        <v>0.21431729999999999</v>
      </c>
      <c r="F596">
        <v>4.8804899999999998E-2</v>
      </c>
      <c r="G596">
        <v>1.153918</v>
      </c>
      <c r="H596">
        <v>0.23602310000000001</v>
      </c>
      <c r="Q596" s="10">
        <f t="shared" si="38"/>
        <v>7.8948885848501259E-3</v>
      </c>
      <c r="AI596">
        <v>0.2188244</v>
      </c>
      <c r="AJ596">
        <f t="shared" si="37"/>
        <v>0.2188244</v>
      </c>
      <c r="AO596">
        <v>0.2188244</v>
      </c>
      <c r="AR596" s="8">
        <v>0</v>
      </c>
      <c r="AS596">
        <v>0.52238709999999999</v>
      </c>
    </row>
    <row r="597" spans="1:45" x14ac:dyDescent="0.25">
      <c r="A597">
        <v>111</v>
      </c>
      <c r="B597">
        <v>2002</v>
      </c>
      <c r="C597" s="8">
        <v>0</v>
      </c>
      <c r="D597">
        <v>0.26672889999999999</v>
      </c>
      <c r="E597">
        <v>0.25756180000000001</v>
      </c>
      <c r="F597">
        <v>5.4314500000000002E-2</v>
      </c>
      <c r="G597">
        <v>1.1299129999999999</v>
      </c>
      <c r="H597">
        <v>0.22516</v>
      </c>
      <c r="Q597" s="10">
        <f t="shared" si="38"/>
        <v>7.3695844225935081E-3</v>
      </c>
      <c r="AI597">
        <v>0.23000989999999999</v>
      </c>
      <c r="AJ597">
        <f t="shared" si="37"/>
        <v>0.23000989999999999</v>
      </c>
      <c r="AO597">
        <v>0.23000989999999999</v>
      </c>
      <c r="AR597" s="8">
        <v>0</v>
      </c>
      <c r="AS597">
        <v>0.65995219999999999</v>
      </c>
    </row>
    <row r="598" spans="1:45" x14ac:dyDescent="0.25">
      <c r="A598">
        <v>111</v>
      </c>
      <c r="B598">
        <v>2003</v>
      </c>
      <c r="C598" s="8">
        <v>0</v>
      </c>
      <c r="D598">
        <v>0.2188244</v>
      </c>
      <c r="E598">
        <v>0.27405489999999999</v>
      </c>
      <c r="F598">
        <v>6.5199199999999999E-2</v>
      </c>
      <c r="G598">
        <v>1.102619</v>
      </c>
      <c r="H598">
        <v>0.20759</v>
      </c>
      <c r="Q598" s="10">
        <f t="shared" si="38"/>
        <v>6.6842801570017717E-3</v>
      </c>
      <c r="AI598">
        <v>0.30181910000000001</v>
      </c>
      <c r="AJ598">
        <f t="shared" si="37"/>
        <v>0.30181910000000001</v>
      </c>
      <c r="AO598">
        <v>0.30181910000000001</v>
      </c>
      <c r="AR598" s="8">
        <v>0</v>
      </c>
      <c r="AS598">
        <v>1.153918</v>
      </c>
    </row>
    <row r="599" spans="1:45" x14ac:dyDescent="0.25">
      <c r="A599">
        <v>111</v>
      </c>
      <c r="B599">
        <v>2004</v>
      </c>
      <c r="C599" s="8">
        <v>0</v>
      </c>
      <c r="D599">
        <v>0.23000989999999999</v>
      </c>
      <c r="E599">
        <v>0.24918660000000001</v>
      </c>
      <c r="F599">
        <v>5.0504399999999998E-2</v>
      </c>
      <c r="G599">
        <v>1.1923189999999999</v>
      </c>
      <c r="H599">
        <v>0.16193630000000001</v>
      </c>
      <c r="Q599" s="10">
        <f t="shared" si="38"/>
        <v>6.5991777363371791E-3</v>
      </c>
      <c r="AI599">
        <v>0.3431958</v>
      </c>
      <c r="AJ599">
        <f t="shared" si="37"/>
        <v>0.3431958</v>
      </c>
      <c r="AO599">
        <v>0.3431958</v>
      </c>
      <c r="AR599" s="8">
        <v>0</v>
      </c>
      <c r="AS599">
        <v>1.1299129999999999</v>
      </c>
    </row>
    <row r="600" spans="1:45" x14ac:dyDescent="0.25">
      <c r="A600">
        <v>112</v>
      </c>
      <c r="B600">
        <v>2001</v>
      </c>
      <c r="C600" s="8">
        <v>0</v>
      </c>
      <c r="D600">
        <v>0.30181910000000001</v>
      </c>
      <c r="E600">
        <v>0.34838940000000002</v>
      </c>
      <c r="F600">
        <v>3.9652899999999998E-2</v>
      </c>
      <c r="G600">
        <v>2.9498410000000002</v>
      </c>
      <c r="H600">
        <v>0.20762330000000001</v>
      </c>
      <c r="Q600" s="10">
        <f t="shared" si="38"/>
        <v>4.03739571923516E-4</v>
      </c>
      <c r="AI600">
        <v>0.39176080000000002</v>
      </c>
      <c r="AJ600">
        <f t="shared" si="37"/>
        <v>0.39176080000000002</v>
      </c>
      <c r="AO600">
        <v>0.39176080000000002</v>
      </c>
      <c r="AR600" s="8">
        <v>0</v>
      </c>
      <c r="AS600">
        <v>1.102619</v>
      </c>
    </row>
    <row r="601" spans="1:45" x14ac:dyDescent="0.25">
      <c r="A601">
        <v>112</v>
      </c>
      <c r="B601">
        <v>2002</v>
      </c>
      <c r="C601" s="8">
        <v>0</v>
      </c>
      <c r="D601">
        <v>0.3431958</v>
      </c>
      <c r="E601">
        <v>0.36938019999999999</v>
      </c>
      <c r="F601">
        <v>7.5193999999999997E-2</v>
      </c>
      <c r="G601">
        <v>2.9059970000000002</v>
      </c>
      <c r="H601">
        <v>0.34600209999999998</v>
      </c>
      <c r="Q601" s="10">
        <f t="shared" si="38"/>
        <v>3.5029620623236961E-4</v>
      </c>
      <c r="AI601">
        <v>0.38178119999999999</v>
      </c>
      <c r="AJ601">
        <f t="shared" si="37"/>
        <v>0.38178119999999999</v>
      </c>
      <c r="AO601">
        <v>0.38178119999999999</v>
      </c>
      <c r="AR601" s="8">
        <v>0</v>
      </c>
      <c r="AS601">
        <v>1.1923189999999999</v>
      </c>
    </row>
    <row r="602" spans="1:45" x14ac:dyDescent="0.25">
      <c r="A602">
        <v>112</v>
      </c>
      <c r="B602">
        <v>2003</v>
      </c>
      <c r="C602" s="8">
        <v>0</v>
      </c>
      <c r="D602">
        <v>0.39176080000000002</v>
      </c>
      <c r="E602">
        <v>0.44661600000000001</v>
      </c>
      <c r="F602">
        <v>7.3511800000000002E-2</v>
      </c>
      <c r="G602">
        <v>3.4362590000000002</v>
      </c>
      <c r="H602">
        <v>0.34574110000000002</v>
      </c>
      <c r="Q602" s="10">
        <f t="shared" si="38"/>
        <v>1.3908493401937198E-4</v>
      </c>
      <c r="AI602">
        <v>0.2930275</v>
      </c>
      <c r="AJ602">
        <f t="shared" si="37"/>
        <v>0.2930275</v>
      </c>
      <c r="AO602">
        <v>0.2930275</v>
      </c>
      <c r="AR602" s="8">
        <v>0</v>
      </c>
      <c r="AS602">
        <v>2.9498410000000002</v>
      </c>
    </row>
    <row r="603" spans="1:45" x14ac:dyDescent="0.25">
      <c r="A603">
        <v>112</v>
      </c>
      <c r="B603">
        <v>2004</v>
      </c>
      <c r="C603" s="8">
        <v>0</v>
      </c>
      <c r="D603">
        <v>0.38178119999999999</v>
      </c>
      <c r="E603">
        <v>0.49515959999999998</v>
      </c>
      <c r="F603">
        <v>5.9994800000000001E-2</v>
      </c>
      <c r="G603">
        <v>3.6629200000000002</v>
      </c>
      <c r="H603">
        <v>0.35675279999999998</v>
      </c>
      <c r="Q603" s="10">
        <f t="shared" si="38"/>
        <v>1.0090161119446848E-4</v>
      </c>
      <c r="AI603">
        <v>0.2814277</v>
      </c>
      <c r="AJ603">
        <f t="shared" si="37"/>
        <v>0.2814277</v>
      </c>
      <c r="AO603">
        <v>0.2814277</v>
      </c>
      <c r="AR603" s="8">
        <v>0</v>
      </c>
      <c r="AS603">
        <v>2.9059970000000002</v>
      </c>
    </row>
    <row r="604" spans="1:45" x14ac:dyDescent="0.25">
      <c r="A604">
        <v>113</v>
      </c>
      <c r="B604">
        <v>1999</v>
      </c>
      <c r="C604" s="8">
        <v>0</v>
      </c>
      <c r="D604">
        <v>0.2930275</v>
      </c>
      <c r="E604">
        <v>0.3257507</v>
      </c>
      <c r="F604">
        <v>7.0268300000000006E-2</v>
      </c>
      <c r="G604">
        <v>3.6522459999999999</v>
      </c>
      <c r="H604">
        <v>0.81283019999999995</v>
      </c>
      <c r="Q604" s="10">
        <f t="shared" si="38"/>
        <v>1.5464149436907181E-4</v>
      </c>
      <c r="AI604">
        <v>0.29449799999999998</v>
      </c>
      <c r="AJ604">
        <f t="shared" si="37"/>
        <v>0.29449799999999998</v>
      </c>
      <c r="AO604">
        <v>0.29449799999999998</v>
      </c>
      <c r="AR604" s="8">
        <v>0</v>
      </c>
      <c r="AS604">
        <v>3.4362590000000002</v>
      </c>
    </row>
    <row r="605" spans="1:45" x14ac:dyDescent="0.25">
      <c r="A605">
        <v>113</v>
      </c>
      <c r="B605">
        <v>2000</v>
      </c>
      <c r="C605" s="8">
        <v>0</v>
      </c>
      <c r="D605">
        <v>0.2814277</v>
      </c>
      <c r="E605">
        <v>0.32765519999999998</v>
      </c>
      <c r="F605">
        <v>5.87786E-2</v>
      </c>
      <c r="G605">
        <v>3.2800410000000002</v>
      </c>
      <c r="H605">
        <v>1.0578620000000001</v>
      </c>
      <c r="Q605" s="10">
        <f t="shared" si="38"/>
        <v>3.5433241773476633E-4</v>
      </c>
      <c r="AI605">
        <v>0.3393466</v>
      </c>
      <c r="AJ605">
        <f t="shared" si="37"/>
        <v>0.3393466</v>
      </c>
      <c r="AO605">
        <v>0.3393466</v>
      </c>
      <c r="AR605" s="8">
        <v>0</v>
      </c>
      <c r="AS605">
        <v>3.6629200000000002</v>
      </c>
    </row>
    <row r="606" spans="1:45" x14ac:dyDescent="0.25">
      <c r="A606">
        <v>113</v>
      </c>
      <c r="B606">
        <v>2001</v>
      </c>
      <c r="C606" s="8">
        <v>0</v>
      </c>
      <c r="D606">
        <v>0.29449799999999998</v>
      </c>
      <c r="E606">
        <v>0.3014309</v>
      </c>
      <c r="F606">
        <v>5.4091800000000002E-2</v>
      </c>
      <c r="G606">
        <v>3.3779240000000001</v>
      </c>
      <c r="H606">
        <v>0.87948550000000003</v>
      </c>
      <c r="Q606" s="10">
        <f t="shared" si="38"/>
        <v>2.9435985524388559E-4</v>
      </c>
      <c r="AI606">
        <v>0.34346169999999998</v>
      </c>
      <c r="AJ606">
        <f t="shared" si="37"/>
        <v>0.34346169999999998</v>
      </c>
      <c r="AO606">
        <v>0.34346169999999998</v>
      </c>
      <c r="AR606" s="8">
        <v>0</v>
      </c>
      <c r="AS606">
        <v>3.6522459999999999</v>
      </c>
    </row>
    <row r="607" spans="1:45" x14ac:dyDescent="0.25">
      <c r="A607">
        <v>113</v>
      </c>
      <c r="B607">
        <v>2002</v>
      </c>
      <c r="C607" s="8">
        <v>0</v>
      </c>
      <c r="D607">
        <v>0.3393466</v>
      </c>
      <c r="E607">
        <v>0.32985720000000002</v>
      </c>
      <c r="F607">
        <v>5.7074699999999999E-2</v>
      </c>
      <c r="G607">
        <v>2.7819980000000002</v>
      </c>
      <c r="H607">
        <v>0.82033500000000004</v>
      </c>
      <c r="Q607" s="10">
        <f t="shared" si="38"/>
        <v>6.9980167690519867E-4</v>
      </c>
      <c r="AI607">
        <v>0.1840388</v>
      </c>
      <c r="AJ607">
        <f t="shared" si="37"/>
        <v>0.1840388</v>
      </c>
      <c r="AO607">
        <v>0.1840388</v>
      </c>
      <c r="AR607" s="8">
        <v>0</v>
      </c>
      <c r="AS607">
        <v>3.2800410000000002</v>
      </c>
    </row>
    <row r="608" spans="1:45" x14ac:dyDescent="0.25">
      <c r="A608">
        <v>113</v>
      </c>
      <c r="B608">
        <v>2003</v>
      </c>
      <c r="C608" s="8">
        <v>0</v>
      </c>
      <c r="D608">
        <v>0.34346169999999998</v>
      </c>
      <c r="E608">
        <v>0.36956260000000002</v>
      </c>
      <c r="F608">
        <v>5.9337599999999997E-2</v>
      </c>
      <c r="G608">
        <v>2.7084480000000002</v>
      </c>
      <c r="H608">
        <v>0.84414219999999995</v>
      </c>
      <c r="Q608" s="10">
        <f t="shared" si="38"/>
        <v>7.4143664134743365E-4</v>
      </c>
      <c r="AI608">
        <v>0.31787539999999997</v>
      </c>
      <c r="AJ608">
        <f t="shared" si="37"/>
        <v>0.31787539999999997</v>
      </c>
      <c r="AO608">
        <v>0.31787539999999997</v>
      </c>
      <c r="AR608" s="8">
        <v>0</v>
      </c>
      <c r="AS608">
        <v>3.3779240000000001</v>
      </c>
    </row>
    <row r="609" spans="1:45" x14ac:dyDescent="0.25">
      <c r="A609">
        <v>113</v>
      </c>
      <c r="B609">
        <v>2004</v>
      </c>
      <c r="C609" s="8">
        <v>0</v>
      </c>
      <c r="D609">
        <v>0.1840388</v>
      </c>
      <c r="E609">
        <v>0.41632950000000002</v>
      </c>
      <c r="F609">
        <v>5.7843699999999998E-2</v>
      </c>
      <c r="G609">
        <v>2.3094999999999999</v>
      </c>
      <c r="H609">
        <v>0.81427910000000003</v>
      </c>
      <c r="Q609" s="10">
        <f t="shared" si="38"/>
        <v>1.2159185171816995E-3</v>
      </c>
      <c r="AI609">
        <v>0.17634330000000001</v>
      </c>
      <c r="AJ609">
        <f t="shared" si="37"/>
        <v>0.17634330000000001</v>
      </c>
      <c r="AO609">
        <v>0.17634330000000001</v>
      </c>
      <c r="AR609" s="8">
        <v>0</v>
      </c>
      <c r="AS609">
        <v>2.7819980000000002</v>
      </c>
    </row>
    <row r="610" spans="1:45" x14ac:dyDescent="0.25">
      <c r="A610">
        <v>114</v>
      </c>
      <c r="B610">
        <v>1999</v>
      </c>
      <c r="C610" s="8">
        <v>0</v>
      </c>
      <c r="D610">
        <v>0.31787539999999997</v>
      </c>
      <c r="E610">
        <v>0.53144029999999998</v>
      </c>
      <c r="F610">
        <v>4.9519800000000003E-2</v>
      </c>
      <c r="G610">
        <v>1.8195079999999999</v>
      </c>
      <c r="H610">
        <v>0.40713870000000002</v>
      </c>
      <c r="Q610" s="10">
        <f t="shared" si="38"/>
        <v>1.9698367966178758E-3</v>
      </c>
      <c r="AI610">
        <v>0.24111099999999999</v>
      </c>
      <c r="AJ610">
        <f t="shared" si="37"/>
        <v>0.24111099999999999</v>
      </c>
      <c r="AO610">
        <v>0.24111099999999999</v>
      </c>
      <c r="AR610" s="8">
        <v>0</v>
      </c>
      <c r="AS610">
        <v>2.7084480000000002</v>
      </c>
    </row>
    <row r="611" spans="1:45" x14ac:dyDescent="0.25">
      <c r="A611">
        <v>114</v>
      </c>
      <c r="B611">
        <v>2000</v>
      </c>
      <c r="C611" s="8">
        <v>0</v>
      </c>
      <c r="D611">
        <v>0.17634330000000001</v>
      </c>
      <c r="E611">
        <v>0.49806109999999998</v>
      </c>
      <c r="F611">
        <v>4.5883E-2</v>
      </c>
      <c r="G611">
        <v>1.7432030000000001</v>
      </c>
      <c r="H611">
        <v>0.34992420000000002</v>
      </c>
      <c r="Q611" s="10">
        <f t="shared" si="38"/>
        <v>2.1876973044716416E-3</v>
      </c>
      <c r="AI611">
        <v>0.15268209999999999</v>
      </c>
      <c r="AJ611">
        <f t="shared" si="37"/>
        <v>0.15268209999999999</v>
      </c>
      <c r="AO611">
        <v>0.15268209999999999</v>
      </c>
      <c r="AR611" s="8">
        <v>0</v>
      </c>
      <c r="AS611">
        <v>2.3094999999999999</v>
      </c>
    </row>
    <row r="612" spans="1:45" x14ac:dyDescent="0.25">
      <c r="A612">
        <v>114</v>
      </c>
      <c r="B612">
        <v>2001</v>
      </c>
      <c r="C612" s="8">
        <v>0</v>
      </c>
      <c r="D612">
        <v>0.24111099999999999</v>
      </c>
      <c r="E612">
        <v>0.4645302</v>
      </c>
      <c r="F612">
        <v>3.5814800000000001E-2</v>
      </c>
      <c r="G612">
        <v>1.317286</v>
      </c>
      <c r="H612">
        <v>0.33491510000000002</v>
      </c>
      <c r="Q612" s="10">
        <f t="shared" si="38"/>
        <v>4.9809158604977588E-3</v>
      </c>
      <c r="AI612">
        <v>2.9422400000000001E-2</v>
      </c>
      <c r="AJ612">
        <f t="shared" si="37"/>
        <v>2.9422400000000001E-2</v>
      </c>
      <c r="AO612">
        <v>2.9422400000000001E-2</v>
      </c>
      <c r="AR612" s="8">
        <v>0</v>
      </c>
      <c r="AS612">
        <v>1.8195079999999999</v>
      </c>
    </row>
    <row r="613" spans="1:45" x14ac:dyDescent="0.25">
      <c r="A613">
        <v>114</v>
      </c>
      <c r="B613">
        <v>2002</v>
      </c>
      <c r="C613" s="8">
        <v>0</v>
      </c>
      <c r="D613">
        <v>0.15268209999999999</v>
      </c>
      <c r="E613">
        <v>0.49582850000000001</v>
      </c>
      <c r="F613">
        <v>4.6219700000000002E-2</v>
      </c>
      <c r="G613">
        <v>1.678868</v>
      </c>
      <c r="H613">
        <v>0.38556829999999997</v>
      </c>
      <c r="Q613" s="10">
        <f t="shared" si="38"/>
        <v>2.4545494775389995E-3</v>
      </c>
      <c r="AI613">
        <v>3.3405600000000001E-2</v>
      </c>
      <c r="AJ613">
        <f t="shared" si="37"/>
        <v>3.3405600000000001E-2</v>
      </c>
      <c r="AO613">
        <v>3.3405600000000001E-2</v>
      </c>
      <c r="AR613" s="8">
        <v>0</v>
      </c>
      <c r="AS613">
        <v>1.7432030000000001</v>
      </c>
    </row>
    <row r="614" spans="1:45" x14ac:dyDescent="0.25">
      <c r="A614">
        <v>115</v>
      </c>
      <c r="B614">
        <v>2001</v>
      </c>
      <c r="C614" s="8">
        <v>0</v>
      </c>
      <c r="D614">
        <v>2.9422400000000001E-2</v>
      </c>
      <c r="E614">
        <v>0.13125709999999999</v>
      </c>
      <c r="F614">
        <v>4.08426E-2</v>
      </c>
      <c r="G614">
        <v>0.70114699999999996</v>
      </c>
      <c r="H614">
        <v>0.1125867</v>
      </c>
      <c r="Q614" s="10">
        <f t="shared" si="38"/>
        <v>1.6360198233506328E-2</v>
      </c>
      <c r="AI614">
        <v>3.9063000000000001E-2</v>
      </c>
      <c r="AJ614">
        <f t="shared" si="37"/>
        <v>3.9063000000000001E-2</v>
      </c>
      <c r="AO614">
        <v>3.9063000000000001E-2</v>
      </c>
      <c r="AR614" s="8">
        <v>0</v>
      </c>
      <c r="AS614">
        <v>1.317286</v>
      </c>
    </row>
    <row r="615" spans="1:45" x14ac:dyDescent="0.25">
      <c r="A615">
        <v>115</v>
      </c>
      <c r="B615">
        <v>2002</v>
      </c>
      <c r="C615" s="8">
        <v>0</v>
      </c>
      <c r="D615">
        <v>3.3405600000000001E-2</v>
      </c>
      <c r="E615">
        <v>0.1206719</v>
      </c>
      <c r="F615">
        <v>4.6607900000000001E-2</v>
      </c>
      <c r="G615">
        <v>0.7455233</v>
      </c>
      <c r="H615">
        <v>0.1207448</v>
      </c>
      <c r="Q615" s="10">
        <f t="shared" si="38"/>
        <v>1.490346858057285E-2</v>
      </c>
      <c r="AI615">
        <v>1.9379400000000001E-2</v>
      </c>
      <c r="AJ615">
        <f t="shared" si="37"/>
        <v>1.9379400000000001E-2</v>
      </c>
      <c r="AO615">
        <v>1.9379400000000001E-2</v>
      </c>
      <c r="AR615" s="8">
        <v>0</v>
      </c>
      <c r="AS615">
        <v>1.678868</v>
      </c>
    </row>
    <row r="616" spans="1:45" x14ac:dyDescent="0.25">
      <c r="A616">
        <v>115</v>
      </c>
      <c r="B616">
        <v>2003</v>
      </c>
      <c r="C616" s="8">
        <v>0</v>
      </c>
      <c r="D616">
        <v>3.9063000000000001E-2</v>
      </c>
      <c r="E616">
        <v>0.1227333</v>
      </c>
      <c r="F616">
        <v>3.4807900000000003E-2</v>
      </c>
      <c r="G616">
        <v>0.6266195</v>
      </c>
      <c r="H616">
        <v>0.10605680000000001</v>
      </c>
      <c r="Q616" s="10">
        <f t="shared" si="38"/>
        <v>1.9511866277345056E-2</v>
      </c>
      <c r="AI616">
        <v>0.1168714</v>
      </c>
      <c r="AJ616">
        <f t="shared" si="37"/>
        <v>0.1168714</v>
      </c>
      <c r="AO616">
        <v>0.1168714</v>
      </c>
      <c r="AR616" s="8">
        <v>0</v>
      </c>
      <c r="AS616">
        <v>0.70114699999999996</v>
      </c>
    </row>
    <row r="617" spans="1:45" x14ac:dyDescent="0.25">
      <c r="A617">
        <v>115</v>
      </c>
      <c r="B617">
        <v>2004</v>
      </c>
      <c r="C617" s="8">
        <v>0</v>
      </c>
      <c r="D617">
        <v>1.9379400000000001E-2</v>
      </c>
      <c r="E617">
        <v>0.12120690000000001</v>
      </c>
      <c r="F617">
        <v>4.32523E-2</v>
      </c>
      <c r="G617">
        <v>0.64137109999999997</v>
      </c>
      <c r="H617">
        <v>0.1222128</v>
      </c>
      <c r="Q617" s="10">
        <f t="shared" si="38"/>
        <v>1.7915550911245793E-2</v>
      </c>
      <c r="AI617">
        <v>7.8022599999999998E-2</v>
      </c>
      <c r="AJ617">
        <f t="shared" si="37"/>
        <v>7.8022599999999998E-2</v>
      </c>
      <c r="AO617">
        <v>7.8022599999999998E-2</v>
      </c>
      <c r="AR617" s="8">
        <v>0</v>
      </c>
      <c r="AS617">
        <v>0.7455233</v>
      </c>
    </row>
    <row r="618" spans="1:45" x14ac:dyDescent="0.25">
      <c r="A618">
        <v>116</v>
      </c>
      <c r="B618">
        <v>1999</v>
      </c>
      <c r="C618" s="8">
        <v>0</v>
      </c>
      <c r="D618">
        <v>0.1168714</v>
      </c>
      <c r="E618">
        <v>0.25672719999999999</v>
      </c>
      <c r="F618">
        <v>4.3973100000000001E-2</v>
      </c>
      <c r="G618">
        <v>0.67510250000000005</v>
      </c>
      <c r="H618">
        <v>0.20282459999999999</v>
      </c>
      <c r="Q618" s="10">
        <f t="shared" si="38"/>
        <v>1.5213817474425618E-2</v>
      </c>
      <c r="AI618">
        <v>0.10858039999999999</v>
      </c>
      <c r="AJ618">
        <f t="shared" si="37"/>
        <v>0.10858039999999999</v>
      </c>
      <c r="AO618">
        <v>0.10858039999999999</v>
      </c>
      <c r="AR618" s="8">
        <v>0</v>
      </c>
      <c r="AS618">
        <v>0.6266195</v>
      </c>
    </row>
    <row r="619" spans="1:45" x14ac:dyDescent="0.25">
      <c r="A619">
        <v>116</v>
      </c>
      <c r="B619">
        <v>2000</v>
      </c>
      <c r="C619" s="8">
        <v>0</v>
      </c>
      <c r="D619">
        <v>7.8022599999999998E-2</v>
      </c>
      <c r="E619">
        <v>0.23043830000000001</v>
      </c>
      <c r="F619">
        <v>4.1231499999999997E-2</v>
      </c>
      <c r="G619">
        <v>0.44991029999999999</v>
      </c>
      <c r="H619">
        <v>0.21445639999999999</v>
      </c>
      <c r="Q619" s="10">
        <f t="shared" si="38"/>
        <v>2.2751921845995678E-2</v>
      </c>
      <c r="AI619">
        <v>0.15005669999999999</v>
      </c>
      <c r="AJ619">
        <f t="shared" si="37"/>
        <v>0.15005669999999999</v>
      </c>
      <c r="AO619">
        <v>0.15005669999999999</v>
      </c>
      <c r="AR619" s="8">
        <v>0</v>
      </c>
      <c r="AS619">
        <v>0.64137109999999997</v>
      </c>
    </row>
    <row r="620" spans="1:45" x14ac:dyDescent="0.25">
      <c r="A620">
        <v>116</v>
      </c>
      <c r="B620">
        <v>2001</v>
      </c>
      <c r="C620" s="8">
        <v>0</v>
      </c>
      <c r="D620">
        <v>0.10858039999999999</v>
      </c>
      <c r="E620">
        <v>0.25206430000000002</v>
      </c>
      <c r="F620">
        <v>6.8795400000000007E-2</v>
      </c>
      <c r="G620">
        <v>0.65659270000000003</v>
      </c>
      <c r="H620">
        <v>0.28686529999999999</v>
      </c>
      <c r="Q620" s="10">
        <f t="shared" si="38"/>
        <v>1.3601874317783572E-2</v>
      </c>
      <c r="AI620">
        <v>0.1831999</v>
      </c>
      <c r="AJ620">
        <f t="shared" si="37"/>
        <v>0.1831999</v>
      </c>
      <c r="AO620">
        <v>0.1831999</v>
      </c>
      <c r="AR620" s="8">
        <v>0</v>
      </c>
      <c r="AS620">
        <v>0.67510250000000005</v>
      </c>
    </row>
    <row r="621" spans="1:45" x14ac:dyDescent="0.25">
      <c r="A621">
        <v>116</v>
      </c>
      <c r="B621">
        <v>2002</v>
      </c>
      <c r="C621" s="8">
        <v>0</v>
      </c>
      <c r="D621">
        <v>0.15005669999999999</v>
      </c>
      <c r="E621">
        <v>0.19283629999999999</v>
      </c>
      <c r="F621">
        <v>2.6139599999999999E-2</v>
      </c>
      <c r="G621">
        <v>0.69187080000000001</v>
      </c>
      <c r="H621">
        <v>0.1823449</v>
      </c>
      <c r="Q621" s="10">
        <f t="shared" si="38"/>
        <v>1.8700410343869624E-2</v>
      </c>
      <c r="AI621">
        <v>0.2070111</v>
      </c>
      <c r="AJ621">
        <f t="shared" si="37"/>
        <v>0.2070111</v>
      </c>
      <c r="AO621">
        <v>0.2070111</v>
      </c>
      <c r="AR621" s="8">
        <v>0</v>
      </c>
      <c r="AS621">
        <v>0.44991029999999999</v>
      </c>
    </row>
    <row r="622" spans="1:45" x14ac:dyDescent="0.25">
      <c r="A622">
        <v>116</v>
      </c>
      <c r="B622">
        <v>2003</v>
      </c>
      <c r="C622" s="8">
        <v>0</v>
      </c>
      <c r="D622">
        <v>0.1831999</v>
      </c>
      <c r="E622">
        <v>0.1752071</v>
      </c>
      <c r="F622">
        <v>3.1142699999999999E-2</v>
      </c>
      <c r="G622">
        <v>0.40645799999999999</v>
      </c>
      <c r="H622">
        <v>0.18748890000000001</v>
      </c>
      <c r="Q622" s="10">
        <f t="shared" si="38"/>
        <v>2.9227989820287858E-2</v>
      </c>
      <c r="AI622">
        <v>2.8469299999999999E-2</v>
      </c>
      <c r="AJ622">
        <f t="shared" si="37"/>
        <v>2.8469299999999999E-2</v>
      </c>
      <c r="AO622">
        <v>2.8469299999999999E-2</v>
      </c>
      <c r="AR622" s="8">
        <v>0</v>
      </c>
      <c r="AS622">
        <v>0.65659270000000003</v>
      </c>
    </row>
    <row r="623" spans="1:45" x14ac:dyDescent="0.25">
      <c r="A623">
        <v>116</v>
      </c>
      <c r="B623">
        <v>2004</v>
      </c>
      <c r="C623" s="8">
        <v>0</v>
      </c>
      <c r="D623">
        <v>0.2070111</v>
      </c>
      <c r="E623">
        <v>0.1964303</v>
      </c>
      <c r="F623">
        <v>5.5684499999999998E-2</v>
      </c>
      <c r="G623">
        <v>0.86926550000000002</v>
      </c>
      <c r="H623">
        <v>0.23416960000000001</v>
      </c>
      <c r="Q623" s="10">
        <f t="shared" si="38"/>
        <v>1.1787405066525064E-2</v>
      </c>
      <c r="AI623">
        <v>3.9817100000000001E-2</v>
      </c>
      <c r="AJ623">
        <f t="shared" si="37"/>
        <v>3.9817100000000001E-2</v>
      </c>
      <c r="AO623">
        <v>3.9817100000000001E-2</v>
      </c>
      <c r="AR623" s="8">
        <v>0</v>
      </c>
      <c r="AS623">
        <v>0.69187080000000001</v>
      </c>
    </row>
    <row r="624" spans="1:45" x14ac:dyDescent="0.25">
      <c r="A624">
        <v>117</v>
      </c>
      <c r="B624">
        <v>1999</v>
      </c>
      <c r="C624" s="8">
        <v>0</v>
      </c>
      <c r="D624">
        <v>2.8469299999999999E-2</v>
      </c>
      <c r="E624">
        <v>4.4397899999999997E-2</v>
      </c>
      <c r="F624">
        <v>1.9780499999999999E-2</v>
      </c>
      <c r="G624">
        <v>1.037385</v>
      </c>
      <c r="H624">
        <v>0.1280927</v>
      </c>
      <c r="Q624" s="10">
        <f t="shared" si="38"/>
        <v>1.3018899721370191E-2</v>
      </c>
      <c r="AI624">
        <v>-9.3482300000000004E-2</v>
      </c>
      <c r="AJ624">
        <f t="shared" si="37"/>
        <v>-9.3482300000000004E-2</v>
      </c>
      <c r="AO624">
        <v>-9.3482300000000004E-2</v>
      </c>
      <c r="AR624" s="8">
        <v>0</v>
      </c>
      <c r="AS624">
        <v>0.40645799999999999</v>
      </c>
    </row>
    <row r="625" spans="1:45" x14ac:dyDescent="0.25">
      <c r="A625">
        <v>117</v>
      </c>
      <c r="B625">
        <v>2000</v>
      </c>
      <c r="C625" s="8">
        <v>0</v>
      </c>
      <c r="D625">
        <v>3.9817100000000001E-2</v>
      </c>
      <c r="E625">
        <v>6.1485699999999997E-2</v>
      </c>
      <c r="F625">
        <v>2.9913200000000001E-2</v>
      </c>
      <c r="G625">
        <v>0.95107109999999995</v>
      </c>
      <c r="H625">
        <v>0.16094079999999999</v>
      </c>
      <c r="Q625" s="10">
        <f t="shared" si="38"/>
        <v>1.3768083588449954E-2</v>
      </c>
      <c r="AI625">
        <v>5.2578199999999999E-2</v>
      </c>
      <c r="AJ625">
        <f t="shared" si="37"/>
        <v>5.2578199999999999E-2</v>
      </c>
      <c r="AO625">
        <v>5.2578199999999999E-2</v>
      </c>
      <c r="AR625" s="8">
        <v>0</v>
      </c>
      <c r="AS625">
        <v>0.86926550000000002</v>
      </c>
    </row>
    <row r="626" spans="1:45" x14ac:dyDescent="0.25">
      <c r="A626">
        <v>117</v>
      </c>
      <c r="B626">
        <v>2001</v>
      </c>
      <c r="C626" s="8">
        <v>0</v>
      </c>
      <c r="D626">
        <v>-9.3482300000000004E-2</v>
      </c>
      <c r="E626">
        <v>5.3943499999999998E-2</v>
      </c>
      <c r="F626">
        <v>2.65331E-2</v>
      </c>
      <c r="G626">
        <v>1.0138160000000001</v>
      </c>
      <c r="H626">
        <v>0.1469096</v>
      </c>
      <c r="Q626" s="10">
        <f t="shared" si="38"/>
        <v>1.2158928249567861E-2</v>
      </c>
      <c r="AI626">
        <v>-3.4275999999999998E-3</v>
      </c>
      <c r="AJ626">
        <f t="shared" si="37"/>
        <v>-3.4275999999999998E-3</v>
      </c>
      <c r="AO626">
        <v>-3.4275999999999998E-3</v>
      </c>
      <c r="AR626" s="8">
        <v>0</v>
      </c>
      <c r="AS626">
        <v>1.037385</v>
      </c>
    </row>
    <row r="627" spans="1:45" x14ac:dyDescent="0.25">
      <c r="A627">
        <v>117</v>
      </c>
      <c r="B627">
        <v>2002</v>
      </c>
      <c r="C627" s="8">
        <v>0</v>
      </c>
      <c r="D627">
        <v>5.2578199999999999E-2</v>
      </c>
      <c r="E627">
        <v>5.9783599999999999E-2</v>
      </c>
      <c r="F627">
        <v>1.8901000000000001E-2</v>
      </c>
      <c r="G627">
        <v>0.88375369999999998</v>
      </c>
      <c r="H627">
        <v>0.1446944</v>
      </c>
      <c r="Q627" s="10">
        <f t="shared" si="38"/>
        <v>1.6651230139616478E-2</v>
      </c>
      <c r="AI627">
        <v>-4.0932200000000002E-2</v>
      </c>
      <c r="AJ627">
        <f t="shared" si="37"/>
        <v>-4.0932200000000002E-2</v>
      </c>
      <c r="AO627">
        <v>-4.0932200000000002E-2</v>
      </c>
      <c r="AR627" s="8">
        <v>0</v>
      </c>
      <c r="AS627">
        <v>0.95107109999999995</v>
      </c>
    </row>
    <row r="628" spans="1:45" x14ac:dyDescent="0.25">
      <c r="A628">
        <v>117</v>
      </c>
      <c r="B628">
        <v>2003</v>
      </c>
      <c r="C628" s="8">
        <v>0</v>
      </c>
      <c r="D628">
        <v>-3.4275999999999998E-3</v>
      </c>
      <c r="E628">
        <v>3.3594100000000002E-2</v>
      </c>
      <c r="F628">
        <v>2.9401400000000001E-2</v>
      </c>
      <c r="G628">
        <v>0.87260870000000001</v>
      </c>
      <c r="H628">
        <v>0.1320027</v>
      </c>
      <c r="Q628" s="10">
        <f t="shared" si="38"/>
        <v>1.5708715492562718E-2</v>
      </c>
      <c r="AI628">
        <v>0.1691368</v>
      </c>
      <c r="AJ628">
        <f t="shared" si="37"/>
        <v>0.1691368</v>
      </c>
      <c r="AO628">
        <v>0.1691368</v>
      </c>
      <c r="AR628" s="8">
        <v>0</v>
      </c>
      <c r="AS628">
        <v>1.0138160000000001</v>
      </c>
    </row>
    <row r="629" spans="1:45" x14ac:dyDescent="0.25">
      <c r="A629">
        <v>117</v>
      </c>
      <c r="B629">
        <v>2004</v>
      </c>
      <c r="C629" s="8">
        <v>0</v>
      </c>
      <c r="D629">
        <v>-4.0932200000000002E-2</v>
      </c>
      <c r="E629">
        <v>3.0051399999999999E-2</v>
      </c>
      <c r="F629">
        <v>3.3819299999999997E-2</v>
      </c>
      <c r="G629">
        <v>0.81633529999999999</v>
      </c>
      <c r="H629">
        <v>0.13271820000000001</v>
      </c>
      <c r="Q629" s="10">
        <f t="shared" si="38"/>
        <v>1.6410046053189464E-2</v>
      </c>
      <c r="AI629">
        <v>0.1609131</v>
      </c>
      <c r="AJ629">
        <f t="shared" si="37"/>
        <v>0.1609131</v>
      </c>
      <c r="AO629">
        <v>0.1609131</v>
      </c>
      <c r="AR629" s="8">
        <v>0</v>
      </c>
      <c r="AS629">
        <v>0.88375369999999998</v>
      </c>
    </row>
    <row r="630" spans="1:45" x14ac:dyDescent="0.25">
      <c r="A630">
        <v>118</v>
      </c>
      <c r="B630">
        <v>1999</v>
      </c>
      <c r="C630" s="8">
        <v>0</v>
      </c>
      <c r="D630">
        <v>0.1691368</v>
      </c>
      <c r="E630">
        <v>0.28903489999999998</v>
      </c>
      <c r="F630">
        <v>4.49641E-2</v>
      </c>
      <c r="G630">
        <v>0.82087429999999995</v>
      </c>
      <c r="H630">
        <v>0.2215493</v>
      </c>
      <c r="Q630" s="10">
        <f t="shared" si="38"/>
        <v>1.1842326678979862E-2</v>
      </c>
      <c r="AI630">
        <v>0.129355</v>
      </c>
      <c r="AJ630">
        <f t="shared" si="37"/>
        <v>0.129355</v>
      </c>
      <c r="AO630">
        <v>0.129355</v>
      </c>
      <c r="AR630" s="8">
        <v>0</v>
      </c>
      <c r="AS630">
        <v>0.87260870000000001</v>
      </c>
    </row>
    <row r="631" spans="1:45" x14ac:dyDescent="0.25">
      <c r="A631">
        <v>118</v>
      </c>
      <c r="B631">
        <v>2000</v>
      </c>
      <c r="C631" s="8">
        <v>0</v>
      </c>
      <c r="D631">
        <v>0.1609131</v>
      </c>
      <c r="E631">
        <v>0.28349659999999999</v>
      </c>
      <c r="F631">
        <v>4.8300200000000001E-2</v>
      </c>
      <c r="G631">
        <v>0.74571900000000002</v>
      </c>
      <c r="H631">
        <v>0.21094299999999999</v>
      </c>
      <c r="Q631" s="10">
        <f t="shared" si="38"/>
        <v>1.2957878168547191E-2</v>
      </c>
      <c r="AI631">
        <v>0.12233189999999999</v>
      </c>
      <c r="AJ631">
        <f t="shared" si="37"/>
        <v>0.12233189999999999</v>
      </c>
      <c r="AO631">
        <v>0.12233189999999999</v>
      </c>
      <c r="AR631" s="8">
        <v>0</v>
      </c>
      <c r="AS631">
        <v>0.81633529999999999</v>
      </c>
    </row>
    <row r="632" spans="1:45" x14ac:dyDescent="0.25">
      <c r="A632">
        <v>118</v>
      </c>
      <c r="B632">
        <v>2001</v>
      </c>
      <c r="C632" s="8">
        <v>0</v>
      </c>
      <c r="D632">
        <v>0.129355</v>
      </c>
      <c r="E632">
        <v>0.27441779999999999</v>
      </c>
      <c r="F632">
        <v>4.9315499999999998E-2</v>
      </c>
      <c r="G632">
        <v>0.76143039999999995</v>
      </c>
      <c r="H632">
        <v>0.1884325</v>
      </c>
      <c r="Q632" s="10">
        <f t="shared" si="38"/>
        <v>1.237047885285638E-2</v>
      </c>
      <c r="AI632">
        <v>0.13635739999999999</v>
      </c>
      <c r="AJ632">
        <f t="shared" si="37"/>
        <v>0.13635739999999999</v>
      </c>
      <c r="AO632">
        <v>0.13635739999999999</v>
      </c>
      <c r="AR632" s="8">
        <v>0</v>
      </c>
      <c r="AS632">
        <v>0.82087429999999995</v>
      </c>
    </row>
    <row r="633" spans="1:45" x14ac:dyDescent="0.25">
      <c r="A633">
        <v>118</v>
      </c>
      <c r="B633">
        <v>2002</v>
      </c>
      <c r="C633" s="8">
        <v>0</v>
      </c>
      <c r="D633">
        <v>0.12233189999999999</v>
      </c>
      <c r="E633">
        <v>0.23672319999999999</v>
      </c>
      <c r="F633">
        <v>4.6336599999999999E-2</v>
      </c>
      <c r="G633">
        <v>0.60480230000000001</v>
      </c>
      <c r="H633">
        <v>0.1856593</v>
      </c>
      <c r="Q633" s="10">
        <f t="shared" si="38"/>
        <v>1.7016900416851683E-2</v>
      </c>
      <c r="AI633">
        <v>0.1451578</v>
      </c>
      <c r="AJ633">
        <f t="shared" si="37"/>
        <v>0.1451578</v>
      </c>
      <c r="AO633">
        <v>0.1451578</v>
      </c>
      <c r="AR633" s="8">
        <v>0</v>
      </c>
      <c r="AS633">
        <v>0.74571900000000002</v>
      </c>
    </row>
    <row r="634" spans="1:45" x14ac:dyDescent="0.25">
      <c r="A634">
        <v>118</v>
      </c>
      <c r="B634">
        <v>2003</v>
      </c>
      <c r="C634" s="8">
        <v>0</v>
      </c>
      <c r="D634">
        <v>0.13635739999999999</v>
      </c>
      <c r="E634">
        <v>0.2344019</v>
      </c>
      <c r="F634">
        <v>6.3708699999999993E-2</v>
      </c>
      <c r="G634">
        <v>0.96010850000000003</v>
      </c>
      <c r="H634">
        <v>0.21621299999999999</v>
      </c>
      <c r="Q634" s="10">
        <f t="shared" si="38"/>
        <v>8.7194862626680577E-3</v>
      </c>
      <c r="AI634">
        <v>0.45395259999999998</v>
      </c>
      <c r="AJ634">
        <f t="shared" si="37"/>
        <v>0.45395259999999998</v>
      </c>
      <c r="AO634">
        <v>0.45395259999999998</v>
      </c>
      <c r="AR634" s="8">
        <v>0</v>
      </c>
      <c r="AS634">
        <v>0.76143039999999995</v>
      </c>
    </row>
    <row r="635" spans="1:45" x14ac:dyDescent="0.25">
      <c r="A635">
        <v>118</v>
      </c>
      <c r="B635">
        <v>2004</v>
      </c>
      <c r="C635" s="8">
        <v>0</v>
      </c>
      <c r="D635">
        <v>0.1451578</v>
      </c>
      <c r="E635">
        <v>0.24153050000000001</v>
      </c>
      <c r="F635">
        <v>5.7644899999999999E-2</v>
      </c>
      <c r="G635">
        <v>0.95583929999999995</v>
      </c>
      <c r="H635">
        <v>0.2237432</v>
      </c>
      <c r="Q635" s="10">
        <f t="shared" si="38"/>
        <v>9.1920581966022062E-3</v>
      </c>
      <c r="AI635">
        <v>0.57897549999999998</v>
      </c>
      <c r="AJ635">
        <f t="shared" si="37"/>
        <v>0.52051970800000003</v>
      </c>
      <c r="AO635">
        <v>0.52051970800000003</v>
      </c>
      <c r="AR635" s="8">
        <v>0</v>
      </c>
      <c r="AS635">
        <v>0.60480230000000001</v>
      </c>
    </row>
    <row r="636" spans="1:45" x14ac:dyDescent="0.25">
      <c r="A636">
        <v>119</v>
      </c>
      <c r="B636">
        <v>1995</v>
      </c>
      <c r="C636" s="8">
        <v>0</v>
      </c>
      <c r="D636">
        <v>0.45395259999999998</v>
      </c>
      <c r="E636">
        <v>-3.051142</v>
      </c>
      <c r="F636">
        <v>-2.1505E-2</v>
      </c>
      <c r="G636">
        <v>6.2739549999999999</v>
      </c>
      <c r="H636">
        <v>9.2694200000000004E-2</v>
      </c>
      <c r="Q636" s="10">
        <f t="shared" si="38"/>
        <v>4.5826173371683778E-4</v>
      </c>
      <c r="AI636">
        <v>0.4221201</v>
      </c>
      <c r="AJ636">
        <f t="shared" si="37"/>
        <v>0.4221201</v>
      </c>
      <c r="AO636">
        <v>0.4221201</v>
      </c>
      <c r="AR636" s="8">
        <v>0</v>
      </c>
      <c r="AS636">
        <v>0.96010850000000003</v>
      </c>
    </row>
    <row r="637" spans="1:45" x14ac:dyDescent="0.25">
      <c r="A637">
        <v>119</v>
      </c>
      <c r="B637">
        <v>1996</v>
      </c>
      <c r="C637" s="8">
        <v>0</v>
      </c>
      <c r="D637">
        <v>0.57897549999999998</v>
      </c>
      <c r="E637">
        <v>-2.3735879999999998</v>
      </c>
      <c r="F637">
        <v>1.9812199999999999E-2</v>
      </c>
      <c r="G637">
        <v>23.535</v>
      </c>
      <c r="H637">
        <v>0.1536315</v>
      </c>
      <c r="Q637" s="10">
        <f t="shared" si="38"/>
        <v>1.522791320207804E-16</v>
      </c>
      <c r="AI637">
        <v>-2.4672900000000001E-2</v>
      </c>
      <c r="AJ637">
        <f t="shared" si="37"/>
        <v>-2.4672900000000001E-2</v>
      </c>
      <c r="AO637">
        <v>-2.4672900000000001E-2</v>
      </c>
      <c r="AR637" s="8">
        <v>0</v>
      </c>
      <c r="AS637">
        <v>0.95583929999999995</v>
      </c>
    </row>
    <row r="638" spans="1:45" x14ac:dyDescent="0.25">
      <c r="A638">
        <v>119</v>
      </c>
      <c r="B638">
        <v>1997</v>
      </c>
      <c r="C638" s="8">
        <v>0</v>
      </c>
      <c r="D638">
        <v>0.4221201</v>
      </c>
      <c r="E638">
        <v>-1.93895</v>
      </c>
      <c r="F638">
        <v>2.2237300000000002E-2</v>
      </c>
      <c r="G638">
        <v>15.8687</v>
      </c>
      <c r="H638">
        <v>0.16941870000000001</v>
      </c>
      <c r="Q638" s="10">
        <f t="shared" si="38"/>
        <v>1.5189258740730344E-11</v>
      </c>
      <c r="AI638">
        <v>-8.1368399999999994E-2</v>
      </c>
      <c r="AJ638">
        <f t="shared" si="37"/>
        <v>-8.1368399999999994E-2</v>
      </c>
      <c r="AO638">
        <v>-8.1368399999999994E-2</v>
      </c>
      <c r="AR638" s="8">
        <v>0</v>
      </c>
      <c r="AS638">
        <v>6.2739549999999999</v>
      </c>
    </row>
    <row r="639" spans="1:45" x14ac:dyDescent="0.25">
      <c r="A639">
        <v>120</v>
      </c>
      <c r="B639">
        <v>2000</v>
      </c>
      <c r="C639" s="8">
        <v>0</v>
      </c>
      <c r="D639">
        <v>-2.4672900000000001E-2</v>
      </c>
      <c r="E639">
        <v>0.21359980000000001</v>
      </c>
      <c r="F639">
        <v>4.2354799999999998E-2</v>
      </c>
      <c r="G639">
        <v>0.92042570000000001</v>
      </c>
      <c r="H639">
        <v>0.1525985</v>
      </c>
      <c r="Q639" s="10">
        <f t="shared" si="38"/>
        <v>1.0198190910498865E-2</v>
      </c>
      <c r="AI639">
        <v>-5.5248899999999997E-2</v>
      </c>
      <c r="AJ639">
        <f t="shared" si="37"/>
        <v>-5.5248899999999997E-2</v>
      </c>
      <c r="AO639">
        <v>-5.5248899999999997E-2</v>
      </c>
      <c r="AR639" s="8">
        <v>0</v>
      </c>
      <c r="AS639">
        <v>23.535</v>
      </c>
    </row>
    <row r="640" spans="1:45" x14ac:dyDescent="0.25">
      <c r="A640">
        <v>120</v>
      </c>
      <c r="B640">
        <v>2001</v>
      </c>
      <c r="C640" s="8">
        <v>0</v>
      </c>
      <c r="D640">
        <v>-8.1368399999999994E-2</v>
      </c>
      <c r="E640">
        <v>0.21812490000000001</v>
      </c>
      <c r="F640">
        <v>3.2246499999999997E-2</v>
      </c>
      <c r="G640">
        <v>0.81189920000000004</v>
      </c>
      <c r="H640">
        <v>0.1020008</v>
      </c>
      <c r="Q640" s="10">
        <f t="shared" si="38"/>
        <v>1.2334783320379468E-2</v>
      </c>
      <c r="AI640">
        <v>-1.9128999999999999E-3</v>
      </c>
      <c r="AJ640">
        <f t="shared" si="37"/>
        <v>-1.9128999999999999E-3</v>
      </c>
      <c r="AO640">
        <v>-1.9128999999999999E-3</v>
      </c>
      <c r="AR640" s="8">
        <v>0</v>
      </c>
      <c r="AS640">
        <v>15.8687</v>
      </c>
    </row>
    <row r="641" spans="1:45" x14ac:dyDescent="0.25">
      <c r="A641">
        <v>120</v>
      </c>
      <c r="B641">
        <v>2002</v>
      </c>
      <c r="C641" s="8">
        <v>0</v>
      </c>
      <c r="D641">
        <v>-5.5248899999999997E-2</v>
      </c>
      <c r="E641">
        <v>0.17835429999999999</v>
      </c>
      <c r="F641">
        <v>4.0841000000000002E-2</v>
      </c>
      <c r="G641">
        <v>0.40705350000000001</v>
      </c>
      <c r="H641">
        <v>0.1028956</v>
      </c>
      <c r="Q641" s="10">
        <f t="shared" si="38"/>
        <v>2.3264138721431602E-2</v>
      </c>
      <c r="AI641">
        <v>1.85028E-2</v>
      </c>
      <c r="AJ641">
        <f t="shared" si="37"/>
        <v>1.85028E-2</v>
      </c>
      <c r="AO641">
        <v>1.85028E-2</v>
      </c>
      <c r="AR641" s="8">
        <v>0</v>
      </c>
      <c r="AS641">
        <v>0.92042570000000001</v>
      </c>
    </row>
    <row r="642" spans="1:45" x14ac:dyDescent="0.25">
      <c r="A642">
        <v>120</v>
      </c>
      <c r="B642">
        <v>2003</v>
      </c>
      <c r="C642" s="8">
        <v>0</v>
      </c>
      <c r="D642">
        <v>-1.9128999999999999E-3</v>
      </c>
      <c r="E642">
        <v>0.16067219999999999</v>
      </c>
      <c r="F642">
        <v>4.9285700000000002E-2</v>
      </c>
      <c r="G642">
        <v>0.54710080000000005</v>
      </c>
      <c r="H642">
        <v>0.1050345</v>
      </c>
      <c r="Q642" s="10">
        <f t="shared" si="38"/>
        <v>1.836282299699633E-2</v>
      </c>
      <c r="AI642">
        <v>0.3460917</v>
      </c>
      <c r="AJ642">
        <f t="shared" si="37"/>
        <v>0.3460917</v>
      </c>
      <c r="AO642">
        <v>0.3460917</v>
      </c>
      <c r="AR642" s="8">
        <v>0</v>
      </c>
      <c r="AS642">
        <v>0.81189920000000004</v>
      </c>
    </row>
    <row r="643" spans="1:45" x14ac:dyDescent="0.25">
      <c r="A643">
        <v>120</v>
      </c>
      <c r="B643">
        <v>2004</v>
      </c>
      <c r="C643" s="8">
        <v>0</v>
      </c>
      <c r="D643">
        <v>1.85028E-2</v>
      </c>
      <c r="E643">
        <v>0.2076238</v>
      </c>
      <c r="F643">
        <v>4.0480799999999997E-2</v>
      </c>
      <c r="G643">
        <v>0.82595940000000001</v>
      </c>
      <c r="H643">
        <v>0.1189658</v>
      </c>
      <c r="Q643" s="10">
        <f t="shared" si="38"/>
        <v>1.2080303479836255E-2</v>
      </c>
      <c r="AI643">
        <v>0.35777589999999998</v>
      </c>
      <c r="AJ643">
        <f t="shared" si="37"/>
        <v>0.35777589999999998</v>
      </c>
      <c r="AO643">
        <v>0.35777589999999998</v>
      </c>
      <c r="AR643" s="8">
        <v>0</v>
      </c>
      <c r="AS643">
        <v>0.40705350000000001</v>
      </c>
    </row>
    <row r="644" spans="1:45" x14ac:dyDescent="0.25">
      <c r="A644">
        <v>121</v>
      </c>
      <c r="B644">
        <v>1996</v>
      </c>
      <c r="C644" s="8">
        <v>0</v>
      </c>
      <c r="D644">
        <v>0.3460917</v>
      </c>
      <c r="E644">
        <v>2.3376999999999998E-2</v>
      </c>
      <c r="F644">
        <v>6.4756099999999997E-2</v>
      </c>
      <c r="G644">
        <v>0.46525689999999997</v>
      </c>
      <c r="H644">
        <v>0.2883194</v>
      </c>
      <c r="Q644" s="10">
        <f t="shared" si="38"/>
        <v>2.8894334305989439E-2</v>
      </c>
      <c r="AI644">
        <v>0.33897729999999998</v>
      </c>
      <c r="AJ644">
        <f t="shared" si="37"/>
        <v>0.33897729999999998</v>
      </c>
      <c r="AO644">
        <v>0.33897729999999998</v>
      </c>
      <c r="AR644" s="8">
        <v>0</v>
      </c>
      <c r="AS644">
        <v>0.54710080000000005</v>
      </c>
    </row>
    <row r="645" spans="1:45" x14ac:dyDescent="0.25">
      <c r="A645">
        <v>121</v>
      </c>
      <c r="B645">
        <v>1997</v>
      </c>
      <c r="C645" s="8">
        <v>0</v>
      </c>
      <c r="D645">
        <v>0.35777589999999998</v>
      </c>
      <c r="E645">
        <v>4.0769199999999998E-2</v>
      </c>
      <c r="F645">
        <v>5.0029299999999999E-2</v>
      </c>
      <c r="G645">
        <v>0.81480900000000001</v>
      </c>
      <c r="H645">
        <v>0.29586780000000001</v>
      </c>
      <c r="Q645" s="10">
        <f t="shared" si="38"/>
        <v>1.8527420354050046E-2</v>
      </c>
      <c r="AI645">
        <v>2.9353000000000001E-2</v>
      </c>
      <c r="AJ645">
        <f t="shared" ref="AJ645:AJ708" si="39">MAX(MIN(AI645,AM$5),AM$4)</f>
        <v>2.9353000000000001E-2</v>
      </c>
      <c r="AO645">
        <v>2.9353000000000001E-2</v>
      </c>
      <c r="AR645" s="8">
        <v>0</v>
      </c>
      <c r="AS645">
        <v>0.82595940000000001</v>
      </c>
    </row>
    <row r="646" spans="1:45" x14ac:dyDescent="0.25">
      <c r="A646">
        <v>121</v>
      </c>
      <c r="B646">
        <v>1998</v>
      </c>
      <c r="C646" s="8">
        <v>0</v>
      </c>
      <c r="D646">
        <v>0.33897729999999998</v>
      </c>
      <c r="E646">
        <v>2.63088E-2</v>
      </c>
      <c r="F646">
        <v>7.2493500000000002E-2</v>
      </c>
      <c r="G646">
        <v>0.37427690000000002</v>
      </c>
      <c r="H646">
        <v>0.34906399999999999</v>
      </c>
      <c r="Q646" s="10">
        <f t="shared" si="38"/>
        <v>3.2256020888789344E-2</v>
      </c>
      <c r="AI646">
        <v>-3.3249500000000001E-2</v>
      </c>
      <c r="AJ646">
        <f t="shared" si="39"/>
        <v>-3.3249500000000001E-2</v>
      </c>
      <c r="AO646">
        <v>-3.3249500000000001E-2</v>
      </c>
      <c r="AR646" s="8">
        <v>0</v>
      </c>
      <c r="AS646">
        <v>0.46525689999999997</v>
      </c>
    </row>
    <row r="647" spans="1:45" x14ac:dyDescent="0.25">
      <c r="A647">
        <v>122</v>
      </c>
      <c r="B647">
        <v>1999</v>
      </c>
      <c r="C647" s="8">
        <v>0</v>
      </c>
      <c r="D647">
        <v>2.9353000000000001E-2</v>
      </c>
      <c r="E647">
        <v>0.29354469999999999</v>
      </c>
      <c r="F647">
        <v>5.4838999999999999E-2</v>
      </c>
      <c r="G647">
        <v>2.3537710000000001</v>
      </c>
      <c r="H647">
        <v>0.1113479</v>
      </c>
      <c r="Q647" s="10">
        <f t="shared" ref="Q647:Q710" si="40">1/(1+EXP(-(J$6+SUMPRODUCT(K$6:O$6,D647:H647))))</f>
        <v>8.4212098538736829E-4</v>
      </c>
      <c r="AI647">
        <v>1.04838E-2</v>
      </c>
      <c r="AJ647">
        <f t="shared" si="39"/>
        <v>1.04838E-2</v>
      </c>
      <c r="AO647">
        <v>1.04838E-2</v>
      </c>
      <c r="AR647" s="8">
        <v>0</v>
      </c>
      <c r="AS647">
        <v>0.81480900000000001</v>
      </c>
    </row>
    <row r="648" spans="1:45" x14ac:dyDescent="0.25">
      <c r="A648">
        <v>122</v>
      </c>
      <c r="B648">
        <v>2000</v>
      </c>
      <c r="C648" s="8">
        <v>0</v>
      </c>
      <c r="D648">
        <v>-3.3249500000000001E-2</v>
      </c>
      <c r="E648">
        <v>0.2477935</v>
      </c>
      <c r="F648">
        <v>5.5280900000000001E-2</v>
      </c>
      <c r="G648">
        <v>1.181546</v>
      </c>
      <c r="H648">
        <v>0.1041108</v>
      </c>
      <c r="Q648" s="10">
        <f t="shared" si="40"/>
        <v>5.6069140404045089E-3</v>
      </c>
      <c r="AI648">
        <v>3.1008399999999998E-2</v>
      </c>
      <c r="AJ648">
        <f t="shared" si="39"/>
        <v>3.1008399999999998E-2</v>
      </c>
      <c r="AO648">
        <v>3.1008399999999998E-2</v>
      </c>
      <c r="AR648" s="8">
        <v>0</v>
      </c>
      <c r="AS648">
        <v>0.37427690000000002</v>
      </c>
    </row>
    <row r="649" spans="1:45" x14ac:dyDescent="0.25">
      <c r="A649">
        <v>122</v>
      </c>
      <c r="B649">
        <v>2002</v>
      </c>
      <c r="C649" s="8">
        <v>0</v>
      </c>
      <c r="D649">
        <v>1.04838E-2</v>
      </c>
      <c r="E649">
        <v>0.34950999999999999</v>
      </c>
      <c r="F649">
        <v>5.3992499999999999E-2</v>
      </c>
      <c r="G649">
        <v>0.9217957</v>
      </c>
      <c r="H649">
        <v>0.1096097</v>
      </c>
      <c r="Q649" s="10">
        <f t="shared" si="40"/>
        <v>7.5378130000076597E-3</v>
      </c>
      <c r="AI649">
        <v>3.5864999999999998E-3</v>
      </c>
      <c r="AJ649">
        <f t="shared" si="39"/>
        <v>3.5864999999999998E-3</v>
      </c>
      <c r="AO649">
        <v>3.5864999999999998E-3</v>
      </c>
      <c r="AR649" s="8">
        <v>0</v>
      </c>
      <c r="AS649">
        <v>2.3537710000000001</v>
      </c>
    </row>
    <row r="650" spans="1:45" x14ac:dyDescent="0.25">
      <c r="A650">
        <v>122</v>
      </c>
      <c r="B650">
        <v>2003</v>
      </c>
      <c r="C650" s="8">
        <v>0</v>
      </c>
      <c r="D650">
        <v>3.1008399999999998E-2</v>
      </c>
      <c r="E650">
        <v>0.3860615</v>
      </c>
      <c r="F650">
        <v>4.2324500000000001E-2</v>
      </c>
      <c r="G650">
        <v>1.0944320000000001</v>
      </c>
      <c r="H650">
        <v>0.1153555</v>
      </c>
      <c r="Q650" s="10">
        <f t="shared" si="40"/>
        <v>6.0410589525295242E-3</v>
      </c>
      <c r="AI650">
        <v>5.3810499999999997E-2</v>
      </c>
      <c r="AJ650">
        <f t="shared" si="39"/>
        <v>5.3810499999999997E-2</v>
      </c>
      <c r="AO650">
        <v>5.3810499999999997E-2</v>
      </c>
      <c r="AR650" s="8">
        <v>0</v>
      </c>
      <c r="AS650">
        <v>1.181546</v>
      </c>
    </row>
    <row r="651" spans="1:45" x14ac:dyDescent="0.25">
      <c r="A651">
        <v>122</v>
      </c>
      <c r="B651">
        <v>2004</v>
      </c>
      <c r="C651" s="8">
        <v>0</v>
      </c>
      <c r="D651">
        <v>3.5864999999999998E-3</v>
      </c>
      <c r="E651">
        <v>0.41689110000000001</v>
      </c>
      <c r="F651">
        <v>4.2591900000000002E-2</v>
      </c>
      <c r="G651">
        <v>1.1128960000000001</v>
      </c>
      <c r="H651">
        <v>9.7741900000000007E-2</v>
      </c>
      <c r="Q651" s="10">
        <f t="shared" si="40"/>
        <v>5.4765653791939012E-3</v>
      </c>
      <c r="AI651">
        <v>6.6808099999999995E-2</v>
      </c>
      <c r="AJ651">
        <f t="shared" si="39"/>
        <v>6.6808099999999995E-2</v>
      </c>
      <c r="AO651">
        <v>6.6808099999999995E-2</v>
      </c>
      <c r="AR651" s="8">
        <v>0</v>
      </c>
      <c r="AS651">
        <v>0.9217957</v>
      </c>
    </row>
    <row r="652" spans="1:45" x14ac:dyDescent="0.25">
      <c r="A652">
        <v>123</v>
      </c>
      <c r="B652">
        <v>1999</v>
      </c>
      <c r="C652" s="8">
        <v>0</v>
      </c>
      <c r="D652">
        <v>5.3810499999999997E-2</v>
      </c>
      <c r="E652">
        <v>0.3377426</v>
      </c>
      <c r="F652">
        <v>3.20427E-2</v>
      </c>
      <c r="G652">
        <v>0.59374950000000004</v>
      </c>
      <c r="H652">
        <v>0.51369039999999999</v>
      </c>
      <c r="Q652" s="10">
        <f t="shared" si="40"/>
        <v>1.9909947528699817E-2</v>
      </c>
      <c r="AI652">
        <v>9.3218499999999996E-2</v>
      </c>
      <c r="AJ652">
        <f t="shared" si="39"/>
        <v>9.3218499999999996E-2</v>
      </c>
      <c r="AO652">
        <v>9.3218499999999996E-2</v>
      </c>
      <c r="AR652" s="8">
        <v>0</v>
      </c>
      <c r="AS652">
        <v>1.0944320000000001</v>
      </c>
    </row>
    <row r="653" spans="1:45" x14ac:dyDescent="0.25">
      <c r="A653">
        <v>123</v>
      </c>
      <c r="B653">
        <v>2000</v>
      </c>
      <c r="C653" s="8">
        <v>0</v>
      </c>
      <c r="D653">
        <v>6.6808099999999995E-2</v>
      </c>
      <c r="E653">
        <v>0.25337549999999998</v>
      </c>
      <c r="F653">
        <v>1.5801699999999998E-2</v>
      </c>
      <c r="G653">
        <v>0.23177739999999999</v>
      </c>
      <c r="H653">
        <v>0.44294840000000002</v>
      </c>
      <c r="Q653" s="10">
        <f t="shared" si="40"/>
        <v>4.288266774200386E-2</v>
      </c>
      <c r="AI653">
        <v>0.1369553</v>
      </c>
      <c r="AJ653">
        <f t="shared" si="39"/>
        <v>0.1369553</v>
      </c>
      <c r="AO653">
        <v>0.1369553</v>
      </c>
      <c r="AR653" s="8">
        <v>0</v>
      </c>
      <c r="AS653">
        <v>1.1128960000000001</v>
      </c>
    </row>
    <row r="654" spans="1:45" x14ac:dyDescent="0.25">
      <c r="A654">
        <v>123</v>
      </c>
      <c r="B654">
        <v>2001</v>
      </c>
      <c r="C654" s="8">
        <v>0</v>
      </c>
      <c r="D654">
        <v>9.3218499999999996E-2</v>
      </c>
      <c r="E654">
        <v>0.2412726</v>
      </c>
      <c r="F654">
        <v>2.5019199999999998E-2</v>
      </c>
      <c r="G654">
        <v>1.0735969999999999</v>
      </c>
      <c r="H654">
        <v>0.46001690000000001</v>
      </c>
      <c r="Q654" s="10">
        <f t="shared" si="40"/>
        <v>1.1188817591719066E-2</v>
      </c>
      <c r="AI654">
        <v>0.17104610000000001</v>
      </c>
      <c r="AJ654">
        <f t="shared" si="39"/>
        <v>0.17104610000000001</v>
      </c>
      <c r="AO654">
        <v>0.17104610000000001</v>
      </c>
      <c r="AR654" s="8">
        <v>0</v>
      </c>
      <c r="AS654">
        <v>0.59374950000000004</v>
      </c>
    </row>
    <row r="655" spans="1:45" x14ac:dyDescent="0.25">
      <c r="A655">
        <v>123</v>
      </c>
      <c r="B655">
        <v>2002</v>
      </c>
      <c r="C655" s="8">
        <v>0</v>
      </c>
      <c r="D655">
        <v>0.1369553</v>
      </c>
      <c r="E655">
        <v>-7.5947200000000006E-2</v>
      </c>
      <c r="F655">
        <v>3.6046799999999997E-2</v>
      </c>
      <c r="G655">
        <v>0.243341</v>
      </c>
      <c r="H655">
        <v>0.47862870000000002</v>
      </c>
      <c r="Q655" s="10">
        <f t="shared" si="40"/>
        <v>5.9759625309027405E-2</v>
      </c>
      <c r="AI655">
        <v>0.24632680000000001</v>
      </c>
      <c r="AJ655">
        <f t="shared" si="39"/>
        <v>0.24632680000000001</v>
      </c>
      <c r="AO655">
        <v>0.24632680000000001</v>
      </c>
      <c r="AR655" s="8">
        <v>0</v>
      </c>
      <c r="AS655">
        <v>0.23177739999999999</v>
      </c>
    </row>
    <row r="656" spans="1:45" x14ac:dyDescent="0.25">
      <c r="A656">
        <v>123</v>
      </c>
      <c r="B656">
        <v>2003</v>
      </c>
      <c r="C656" s="8">
        <v>0</v>
      </c>
      <c r="D656">
        <v>0.17104610000000001</v>
      </c>
      <c r="E656">
        <v>-0.29199350000000002</v>
      </c>
      <c r="F656">
        <v>2.5354399999999999E-2</v>
      </c>
      <c r="G656">
        <v>0.84074530000000003</v>
      </c>
      <c r="H656">
        <v>0.58258310000000002</v>
      </c>
      <c r="Q656" s="10">
        <f t="shared" si="40"/>
        <v>3.8066500743377564E-2</v>
      </c>
      <c r="AI656">
        <v>9.5350699999999997E-2</v>
      </c>
      <c r="AJ656">
        <f t="shared" si="39"/>
        <v>9.5350699999999997E-2</v>
      </c>
      <c r="AO656">
        <v>9.5350699999999997E-2</v>
      </c>
      <c r="AR656" s="8">
        <v>0</v>
      </c>
      <c r="AS656">
        <v>1.0735969999999999</v>
      </c>
    </row>
    <row r="657" spans="1:45" x14ac:dyDescent="0.25">
      <c r="A657">
        <v>123</v>
      </c>
      <c r="B657">
        <v>2004</v>
      </c>
      <c r="C657" s="8">
        <v>0</v>
      </c>
      <c r="D657">
        <v>0.24632680000000001</v>
      </c>
      <c r="E657">
        <v>-0.29176380000000002</v>
      </c>
      <c r="F657">
        <v>4.7805300000000002E-2</v>
      </c>
      <c r="G657">
        <v>2.0561449999999999</v>
      </c>
      <c r="H657">
        <v>0.58787699999999998</v>
      </c>
      <c r="Q657" s="10">
        <f t="shared" si="40"/>
        <v>4.9082960630217262E-3</v>
      </c>
      <c r="AI657">
        <v>0.22974149999999999</v>
      </c>
      <c r="AJ657">
        <f t="shared" si="39"/>
        <v>0.22974149999999999</v>
      </c>
      <c r="AO657">
        <v>0.22974149999999999</v>
      </c>
      <c r="AR657" s="8">
        <v>0</v>
      </c>
      <c r="AS657">
        <v>0.243341</v>
      </c>
    </row>
    <row r="658" spans="1:45" x14ac:dyDescent="0.25">
      <c r="A658">
        <v>124</v>
      </c>
      <c r="B658">
        <v>1999</v>
      </c>
      <c r="C658" s="8">
        <v>0</v>
      </c>
      <c r="D658">
        <v>9.5350699999999997E-2</v>
      </c>
      <c r="E658">
        <v>0.27475640000000001</v>
      </c>
      <c r="F658">
        <v>5.1720700000000001E-2</v>
      </c>
      <c r="G658">
        <v>1.1744479999999999</v>
      </c>
      <c r="H658">
        <v>0.18745029999999999</v>
      </c>
      <c r="Q658" s="10">
        <f t="shared" si="40"/>
        <v>6.2270333305416772E-3</v>
      </c>
      <c r="AI658">
        <v>0.267766</v>
      </c>
      <c r="AJ658">
        <f t="shared" si="39"/>
        <v>0.267766</v>
      </c>
      <c r="AO658">
        <v>0.267766</v>
      </c>
      <c r="AR658" s="8">
        <v>0</v>
      </c>
      <c r="AS658">
        <v>0.84074530000000003</v>
      </c>
    </row>
    <row r="659" spans="1:45" x14ac:dyDescent="0.25">
      <c r="A659">
        <v>125</v>
      </c>
      <c r="B659">
        <v>1999</v>
      </c>
      <c r="C659" s="8">
        <v>0</v>
      </c>
      <c r="D659">
        <v>0.22974149999999999</v>
      </c>
      <c r="E659">
        <v>0.5311688</v>
      </c>
      <c r="F659">
        <v>5.0847999999999997E-2</v>
      </c>
      <c r="G659">
        <v>1.9662310000000001</v>
      </c>
      <c r="H659">
        <v>0.47325990000000001</v>
      </c>
      <c r="Q659" s="10">
        <f t="shared" si="40"/>
        <v>1.5508116883290368E-3</v>
      </c>
      <c r="AI659">
        <v>0.15706919999999999</v>
      </c>
      <c r="AJ659">
        <f t="shared" si="39"/>
        <v>0.15706919999999999</v>
      </c>
      <c r="AO659">
        <v>0.15706919999999999</v>
      </c>
      <c r="AR659" s="8">
        <v>0</v>
      </c>
      <c r="AS659">
        <v>2.0561449999999999</v>
      </c>
    </row>
    <row r="660" spans="1:45" x14ac:dyDescent="0.25">
      <c r="A660">
        <v>125</v>
      </c>
      <c r="B660">
        <v>2000</v>
      </c>
      <c r="C660" s="8">
        <v>0</v>
      </c>
      <c r="D660">
        <v>0.267766</v>
      </c>
      <c r="E660">
        <v>0.54367860000000001</v>
      </c>
      <c r="F660">
        <v>5.6428499999999999E-2</v>
      </c>
      <c r="G660">
        <v>2.0081709999999999</v>
      </c>
      <c r="H660">
        <v>0.54941839999999997</v>
      </c>
      <c r="Q660" s="10">
        <f t="shared" si="40"/>
        <v>1.4508782741134243E-3</v>
      </c>
      <c r="AI660">
        <v>0.2112964</v>
      </c>
      <c r="AJ660">
        <f t="shared" si="39"/>
        <v>0.2112964</v>
      </c>
      <c r="AO660">
        <v>0.2112964</v>
      </c>
      <c r="AR660" s="8">
        <v>0</v>
      </c>
      <c r="AS660">
        <v>1.1744479999999999</v>
      </c>
    </row>
    <row r="661" spans="1:45" x14ac:dyDescent="0.25">
      <c r="A661">
        <v>125</v>
      </c>
      <c r="B661">
        <v>2001</v>
      </c>
      <c r="C661" s="8">
        <v>0</v>
      </c>
      <c r="D661">
        <v>0.15706919999999999</v>
      </c>
      <c r="E661">
        <v>0.42102210000000001</v>
      </c>
      <c r="F661">
        <v>3.3630699999999999E-2</v>
      </c>
      <c r="G661">
        <v>1.1483179999999999</v>
      </c>
      <c r="H661">
        <v>0.60324259999999996</v>
      </c>
      <c r="Q661" s="10">
        <f t="shared" si="40"/>
        <v>8.0365403099506363E-3</v>
      </c>
      <c r="AI661">
        <v>0.26408039999999999</v>
      </c>
      <c r="AJ661">
        <f t="shared" si="39"/>
        <v>0.26408039999999999</v>
      </c>
      <c r="AO661">
        <v>0.26408039999999999</v>
      </c>
      <c r="AR661" s="8">
        <v>0</v>
      </c>
      <c r="AS661">
        <v>1.9662310000000001</v>
      </c>
    </row>
    <row r="662" spans="1:45" x14ac:dyDescent="0.25">
      <c r="A662">
        <v>125</v>
      </c>
      <c r="B662">
        <v>2002</v>
      </c>
      <c r="C662" s="8">
        <v>0</v>
      </c>
      <c r="D662">
        <v>0.2112964</v>
      </c>
      <c r="E662">
        <v>0.42328529999999998</v>
      </c>
      <c r="F662">
        <v>3.2188300000000003E-2</v>
      </c>
      <c r="G662">
        <v>0.67663320000000005</v>
      </c>
      <c r="H662">
        <v>0.57362270000000004</v>
      </c>
      <c r="Q662" s="10">
        <f t="shared" si="40"/>
        <v>1.7096268541538055E-2</v>
      </c>
      <c r="AI662">
        <v>0.35720259999999998</v>
      </c>
      <c r="AJ662">
        <f t="shared" si="39"/>
        <v>0.35720259999999998</v>
      </c>
      <c r="AO662">
        <v>0.35720259999999998</v>
      </c>
      <c r="AR662" s="8">
        <v>0</v>
      </c>
      <c r="AS662">
        <v>2.0081709999999999</v>
      </c>
    </row>
    <row r="663" spans="1:45" x14ac:dyDescent="0.25">
      <c r="A663">
        <v>125</v>
      </c>
      <c r="B663">
        <v>2003</v>
      </c>
      <c r="C663" s="8">
        <v>0</v>
      </c>
      <c r="D663">
        <v>0.26408039999999999</v>
      </c>
      <c r="E663">
        <v>0.43438149999999998</v>
      </c>
      <c r="F663">
        <v>5.0096099999999998E-2</v>
      </c>
      <c r="G663">
        <v>1.232588</v>
      </c>
      <c r="H663">
        <v>0.53273009999999998</v>
      </c>
      <c r="Q663" s="10">
        <f t="shared" si="40"/>
        <v>6.0569978960326705E-3</v>
      </c>
      <c r="AI663">
        <v>0.157971</v>
      </c>
      <c r="AJ663">
        <f t="shared" si="39"/>
        <v>0.157971</v>
      </c>
      <c r="AO663">
        <v>0.157971</v>
      </c>
      <c r="AR663" s="8">
        <v>0</v>
      </c>
      <c r="AS663">
        <v>1.1483179999999999</v>
      </c>
    </row>
    <row r="664" spans="1:45" x14ac:dyDescent="0.25">
      <c r="A664">
        <v>125</v>
      </c>
      <c r="B664">
        <v>2004</v>
      </c>
      <c r="C664" s="8">
        <v>0</v>
      </c>
      <c r="D664">
        <v>0.35720259999999998</v>
      </c>
      <c r="E664">
        <v>0.42544149999999997</v>
      </c>
      <c r="F664">
        <v>4.6637199999999997E-2</v>
      </c>
      <c r="G664">
        <v>1.6596709999999999</v>
      </c>
      <c r="H664">
        <v>0.48921720000000002</v>
      </c>
      <c r="Q664" s="10">
        <f t="shared" si="40"/>
        <v>3.2405311197761287E-3</v>
      </c>
      <c r="AI664">
        <v>0.1500968</v>
      </c>
      <c r="AJ664">
        <f t="shared" si="39"/>
        <v>0.1500968</v>
      </c>
      <c r="AO664">
        <v>0.1500968</v>
      </c>
      <c r="AR664" s="8">
        <v>0</v>
      </c>
      <c r="AS664">
        <v>0.67663320000000005</v>
      </c>
    </row>
    <row r="665" spans="1:45" x14ac:dyDescent="0.25">
      <c r="A665">
        <v>126</v>
      </c>
      <c r="B665">
        <v>2004</v>
      </c>
      <c r="C665" s="8">
        <v>1</v>
      </c>
      <c r="D665">
        <v>0.157971</v>
      </c>
      <c r="E665">
        <v>0.108848</v>
      </c>
      <c r="F665">
        <v>7.4834499999999998E-2</v>
      </c>
      <c r="G665">
        <v>1.363119</v>
      </c>
      <c r="H665">
        <v>0.3977579</v>
      </c>
      <c r="Q665" s="10">
        <f t="shared" si="40"/>
        <v>5.705250988843065E-3</v>
      </c>
      <c r="AI665">
        <v>0.16616220000000001</v>
      </c>
      <c r="AJ665">
        <f t="shared" si="39"/>
        <v>0.16616220000000001</v>
      </c>
      <c r="AO665">
        <v>0.16616220000000001</v>
      </c>
      <c r="AR665" s="8">
        <v>0</v>
      </c>
      <c r="AS665">
        <v>1.232588</v>
      </c>
    </row>
    <row r="666" spans="1:45" x14ac:dyDescent="0.25">
      <c r="A666">
        <v>127</v>
      </c>
      <c r="B666">
        <v>1995</v>
      </c>
      <c r="C666" s="8">
        <v>0</v>
      </c>
      <c r="D666">
        <v>0.1500968</v>
      </c>
      <c r="E666">
        <v>-0.82235519999999995</v>
      </c>
      <c r="F666">
        <v>5.9259300000000001E-2</v>
      </c>
      <c r="G666">
        <v>0.35456850000000001</v>
      </c>
      <c r="H666">
        <v>0.3282793</v>
      </c>
      <c r="Q666" s="10">
        <f t="shared" si="40"/>
        <v>0.10705605832908151</v>
      </c>
      <c r="AI666">
        <v>0.13327020000000001</v>
      </c>
      <c r="AJ666">
        <f t="shared" si="39"/>
        <v>0.13327020000000001</v>
      </c>
      <c r="AO666">
        <v>0.13327020000000001</v>
      </c>
      <c r="AR666" s="8">
        <v>0</v>
      </c>
      <c r="AS666">
        <v>1.6596709999999999</v>
      </c>
    </row>
    <row r="667" spans="1:45" x14ac:dyDescent="0.25">
      <c r="A667">
        <v>127</v>
      </c>
      <c r="B667">
        <v>1996</v>
      </c>
      <c r="C667" s="8">
        <v>0</v>
      </c>
      <c r="D667">
        <v>0.16616220000000001</v>
      </c>
      <c r="E667">
        <v>-0.40693889999999999</v>
      </c>
      <c r="F667">
        <v>4.9158500000000001E-2</v>
      </c>
      <c r="G667">
        <v>0.53138580000000002</v>
      </c>
      <c r="H667">
        <v>0.2461865</v>
      </c>
      <c r="Q667" s="10">
        <f t="shared" si="40"/>
        <v>4.8781604194460468E-2</v>
      </c>
      <c r="AI667">
        <v>2.60033E-2</v>
      </c>
      <c r="AJ667">
        <f t="shared" si="39"/>
        <v>2.60033E-2</v>
      </c>
      <c r="AO667">
        <v>2.60033E-2</v>
      </c>
      <c r="AR667" s="8">
        <v>1</v>
      </c>
      <c r="AS667">
        <v>1.363119</v>
      </c>
    </row>
    <row r="668" spans="1:45" x14ac:dyDescent="0.25">
      <c r="A668">
        <v>127</v>
      </c>
      <c r="B668">
        <v>1997</v>
      </c>
      <c r="C668" s="8">
        <v>0</v>
      </c>
      <c r="D668">
        <v>0.13327020000000001</v>
      </c>
      <c r="E668">
        <v>-0.30431799999999998</v>
      </c>
      <c r="F668">
        <v>6.6362699999999997E-2</v>
      </c>
      <c r="G668">
        <v>0.81034850000000003</v>
      </c>
      <c r="H668">
        <v>0.23747209999999999</v>
      </c>
      <c r="Q668" s="10">
        <f t="shared" si="40"/>
        <v>2.3641993288636299E-2</v>
      </c>
      <c r="AI668">
        <v>8.2926100000000003E-2</v>
      </c>
      <c r="AJ668">
        <f t="shared" si="39"/>
        <v>8.2926100000000003E-2</v>
      </c>
      <c r="AO668">
        <v>8.2926100000000003E-2</v>
      </c>
      <c r="AR668" s="8">
        <v>0</v>
      </c>
      <c r="AS668">
        <v>0.35456850000000001</v>
      </c>
    </row>
    <row r="669" spans="1:45" x14ac:dyDescent="0.25">
      <c r="A669">
        <v>127</v>
      </c>
      <c r="B669">
        <v>1998</v>
      </c>
      <c r="C669" s="8">
        <v>0</v>
      </c>
      <c r="D669">
        <v>2.60033E-2</v>
      </c>
      <c r="E669">
        <v>-0.1151108</v>
      </c>
      <c r="F669">
        <v>4.6383099999999997E-2</v>
      </c>
      <c r="G669">
        <v>1.212825</v>
      </c>
      <c r="H669">
        <v>0.199852</v>
      </c>
      <c r="Q669" s="10">
        <f t="shared" si="40"/>
        <v>1.0506002521284922E-2</v>
      </c>
      <c r="AI669">
        <v>0.336337</v>
      </c>
      <c r="AJ669">
        <f t="shared" si="39"/>
        <v>0.336337</v>
      </c>
      <c r="AO669">
        <v>0.336337</v>
      </c>
      <c r="AR669" s="8">
        <v>0</v>
      </c>
      <c r="AS669">
        <v>0.53138580000000002</v>
      </c>
    </row>
    <row r="670" spans="1:45" x14ac:dyDescent="0.25">
      <c r="A670">
        <v>127</v>
      </c>
      <c r="B670">
        <v>1999</v>
      </c>
      <c r="C670" s="8">
        <v>0</v>
      </c>
      <c r="D670">
        <v>8.2926100000000003E-2</v>
      </c>
      <c r="E670">
        <v>-1.50831E-2</v>
      </c>
      <c r="F670">
        <v>7.4019100000000004E-2</v>
      </c>
      <c r="G670">
        <v>0.4641229</v>
      </c>
      <c r="H670">
        <v>0.1819924</v>
      </c>
      <c r="Q670" s="10">
        <f t="shared" si="40"/>
        <v>2.3983732938515658E-2</v>
      </c>
      <c r="AI670">
        <v>0.21240010000000001</v>
      </c>
      <c r="AJ670">
        <f t="shared" si="39"/>
        <v>0.21240010000000001</v>
      </c>
      <c r="AO670">
        <v>0.21240010000000001</v>
      </c>
      <c r="AR670" s="8">
        <v>0</v>
      </c>
      <c r="AS670">
        <v>0.81034850000000003</v>
      </c>
    </row>
    <row r="671" spans="1:45" x14ac:dyDescent="0.25">
      <c r="A671">
        <v>127</v>
      </c>
      <c r="B671">
        <v>2000</v>
      </c>
      <c r="C671" s="8">
        <v>0</v>
      </c>
      <c r="D671">
        <v>0.336337</v>
      </c>
      <c r="E671">
        <v>-4.0637E-2</v>
      </c>
      <c r="F671">
        <v>2.6604200000000001E-2</v>
      </c>
      <c r="G671">
        <v>0.140236</v>
      </c>
      <c r="H671">
        <v>0.15564819999999999</v>
      </c>
      <c r="Q671" s="10">
        <f t="shared" si="40"/>
        <v>6.3873699215361041E-2</v>
      </c>
      <c r="AI671">
        <v>0.12573200000000001</v>
      </c>
      <c r="AJ671">
        <f t="shared" si="39"/>
        <v>0.12573200000000001</v>
      </c>
      <c r="AO671">
        <v>0.12573200000000001</v>
      </c>
      <c r="AR671" s="8">
        <v>0</v>
      </c>
      <c r="AS671">
        <v>1.212825</v>
      </c>
    </row>
    <row r="672" spans="1:45" x14ac:dyDescent="0.25">
      <c r="A672">
        <v>127</v>
      </c>
      <c r="B672">
        <v>2001</v>
      </c>
      <c r="C672" s="8">
        <v>0</v>
      </c>
      <c r="D672">
        <v>0.21240010000000001</v>
      </c>
      <c r="E672">
        <v>-2.38762E-2</v>
      </c>
      <c r="F672">
        <v>4.5630200000000003E-2</v>
      </c>
      <c r="G672">
        <v>0.56672029999999995</v>
      </c>
      <c r="H672">
        <v>0.1817907</v>
      </c>
      <c r="Q672" s="10">
        <f t="shared" si="40"/>
        <v>2.7220052906397542E-2</v>
      </c>
      <c r="AI672">
        <v>0.1573948</v>
      </c>
      <c r="AJ672">
        <f t="shared" si="39"/>
        <v>0.1573948</v>
      </c>
      <c r="AO672">
        <v>0.1573948</v>
      </c>
      <c r="AR672" s="8">
        <v>0</v>
      </c>
      <c r="AS672">
        <v>0.4641229</v>
      </c>
    </row>
    <row r="673" spans="1:45" x14ac:dyDescent="0.25">
      <c r="A673">
        <v>127</v>
      </c>
      <c r="B673">
        <v>2002</v>
      </c>
      <c r="C673" s="8">
        <v>0</v>
      </c>
      <c r="D673">
        <v>0.12573200000000001</v>
      </c>
      <c r="E673">
        <v>1.26246E-2</v>
      </c>
      <c r="F673">
        <v>6.7516499999999993E-2</v>
      </c>
      <c r="G673">
        <v>1.4452</v>
      </c>
      <c r="H673">
        <v>0.17284939999999999</v>
      </c>
      <c r="Q673" s="10">
        <f t="shared" si="40"/>
        <v>5.2422799020826047E-3</v>
      </c>
      <c r="AI673">
        <v>0.22229840000000001</v>
      </c>
      <c r="AJ673">
        <f t="shared" si="39"/>
        <v>0.22229840000000001</v>
      </c>
      <c r="AO673">
        <v>0.22229840000000001</v>
      </c>
      <c r="AR673" s="8">
        <v>0</v>
      </c>
      <c r="AS673">
        <v>0.140236</v>
      </c>
    </row>
    <row r="674" spans="1:45" x14ac:dyDescent="0.25">
      <c r="A674">
        <v>127</v>
      </c>
      <c r="B674">
        <v>2003</v>
      </c>
      <c r="C674" s="8">
        <v>0</v>
      </c>
      <c r="D674">
        <v>0.1573948</v>
      </c>
      <c r="E674">
        <v>7.3681899999999995E-2</v>
      </c>
      <c r="F674">
        <v>7.2989600000000002E-2</v>
      </c>
      <c r="G674">
        <v>1.173859</v>
      </c>
      <c r="H674">
        <v>0.17619190000000001</v>
      </c>
      <c r="Q674" s="10">
        <f t="shared" si="40"/>
        <v>7.1696625780210627E-3</v>
      </c>
      <c r="AI674">
        <v>0.2332505</v>
      </c>
      <c r="AJ674">
        <f t="shared" si="39"/>
        <v>0.2332505</v>
      </c>
      <c r="AO674">
        <v>0.2332505</v>
      </c>
      <c r="AR674" s="8">
        <v>0</v>
      </c>
      <c r="AS674">
        <v>0.56672029999999995</v>
      </c>
    </row>
    <row r="675" spans="1:45" x14ac:dyDescent="0.25">
      <c r="A675">
        <v>127</v>
      </c>
      <c r="B675">
        <v>2004</v>
      </c>
      <c r="C675" s="8">
        <v>0</v>
      </c>
      <c r="D675">
        <v>0.22229840000000001</v>
      </c>
      <c r="E675">
        <v>8.3904800000000002E-2</v>
      </c>
      <c r="F675">
        <v>8.1147300000000006E-2</v>
      </c>
      <c r="G675">
        <v>2.740186</v>
      </c>
      <c r="H675">
        <v>0.19297400000000001</v>
      </c>
      <c r="Q675" s="10">
        <f t="shared" si="40"/>
        <v>5.698239118990411E-4</v>
      </c>
      <c r="AI675">
        <v>5.0751699999999997E-2</v>
      </c>
      <c r="AJ675">
        <f t="shared" si="39"/>
        <v>5.0751699999999997E-2</v>
      </c>
      <c r="AO675">
        <v>5.0751699999999997E-2</v>
      </c>
      <c r="AR675" s="8">
        <v>0</v>
      </c>
      <c r="AS675">
        <v>1.4452</v>
      </c>
    </row>
    <row r="676" spans="1:45" x14ac:dyDescent="0.25">
      <c r="A676">
        <v>128</v>
      </c>
      <c r="B676">
        <v>1999</v>
      </c>
      <c r="C676" s="8">
        <v>0</v>
      </c>
      <c r="D676">
        <v>0.2332505</v>
      </c>
      <c r="E676">
        <v>0.41508410000000001</v>
      </c>
      <c r="F676">
        <v>3.2556599999999998E-2</v>
      </c>
      <c r="G676">
        <v>0.67144040000000005</v>
      </c>
      <c r="H676">
        <v>0.20923849999999999</v>
      </c>
      <c r="Q676" s="10">
        <f t="shared" si="40"/>
        <v>1.4048162760831415E-2</v>
      </c>
      <c r="AI676">
        <v>7.0274799999999998E-2</v>
      </c>
      <c r="AJ676">
        <f t="shared" si="39"/>
        <v>7.0274799999999998E-2</v>
      </c>
      <c r="AO676">
        <v>7.0274799999999998E-2</v>
      </c>
      <c r="AR676" s="8">
        <v>0</v>
      </c>
      <c r="AS676">
        <v>1.173859</v>
      </c>
    </row>
    <row r="677" spans="1:45" x14ac:dyDescent="0.25">
      <c r="A677">
        <v>128</v>
      </c>
      <c r="B677">
        <v>2000</v>
      </c>
      <c r="C677" s="8">
        <v>0</v>
      </c>
      <c r="D677">
        <v>5.0751699999999997E-2</v>
      </c>
      <c r="E677">
        <v>0.25593270000000001</v>
      </c>
      <c r="F677">
        <v>4.5400000000000003E-2</v>
      </c>
      <c r="G677">
        <v>0.28263519999999998</v>
      </c>
      <c r="H677">
        <v>0.1602702</v>
      </c>
      <c r="Q677" s="10">
        <f t="shared" si="40"/>
        <v>2.6369676213045513E-2</v>
      </c>
      <c r="AI677">
        <v>0.10213949999999999</v>
      </c>
      <c r="AJ677">
        <f t="shared" si="39"/>
        <v>0.10213949999999999</v>
      </c>
      <c r="AO677">
        <v>0.10213949999999999</v>
      </c>
      <c r="AR677" s="8">
        <v>0</v>
      </c>
      <c r="AS677">
        <v>2.740186</v>
      </c>
    </row>
    <row r="678" spans="1:45" x14ac:dyDescent="0.25">
      <c r="A678">
        <v>128</v>
      </c>
      <c r="B678">
        <v>2001</v>
      </c>
      <c r="C678" s="8">
        <v>0</v>
      </c>
      <c r="D678">
        <v>7.0274799999999998E-2</v>
      </c>
      <c r="E678">
        <v>0.36227379999999998</v>
      </c>
      <c r="F678">
        <v>4.1944299999999997E-2</v>
      </c>
      <c r="G678">
        <v>0.55621730000000003</v>
      </c>
      <c r="H678">
        <v>0.1888707</v>
      </c>
      <c r="Q678" s="10">
        <f t="shared" si="40"/>
        <v>1.558158832338051E-2</v>
      </c>
      <c r="AI678">
        <v>7.3105400000000001E-2</v>
      </c>
      <c r="AJ678">
        <f t="shared" si="39"/>
        <v>7.3105400000000001E-2</v>
      </c>
      <c r="AO678">
        <v>7.3105400000000001E-2</v>
      </c>
      <c r="AR678" s="8">
        <v>0</v>
      </c>
      <c r="AS678">
        <v>0.67144040000000005</v>
      </c>
    </row>
    <row r="679" spans="1:45" x14ac:dyDescent="0.25">
      <c r="A679">
        <v>128</v>
      </c>
      <c r="B679">
        <v>2002</v>
      </c>
      <c r="C679" s="8">
        <v>0</v>
      </c>
      <c r="D679">
        <v>0.10213949999999999</v>
      </c>
      <c r="E679">
        <v>0.36359360000000002</v>
      </c>
      <c r="F679">
        <v>4.6472800000000002E-2</v>
      </c>
      <c r="G679">
        <v>0.34026709999999999</v>
      </c>
      <c r="H679">
        <v>0.2110967</v>
      </c>
      <c r="Q679" s="10">
        <f t="shared" si="40"/>
        <v>2.1605007452620499E-2</v>
      </c>
      <c r="AI679">
        <v>4.2542000000000003E-2</v>
      </c>
      <c r="AJ679">
        <f t="shared" si="39"/>
        <v>4.2542000000000003E-2</v>
      </c>
      <c r="AO679">
        <v>4.2542000000000003E-2</v>
      </c>
      <c r="AR679" s="8">
        <v>0</v>
      </c>
      <c r="AS679">
        <v>0.28263519999999998</v>
      </c>
    </row>
    <row r="680" spans="1:45" x14ac:dyDescent="0.25">
      <c r="A680">
        <v>128</v>
      </c>
      <c r="B680">
        <v>2003</v>
      </c>
      <c r="C680" s="8">
        <v>0</v>
      </c>
      <c r="D680">
        <v>7.3105400000000001E-2</v>
      </c>
      <c r="E680">
        <v>0.40901460000000001</v>
      </c>
      <c r="F680">
        <v>4.2863699999999998E-2</v>
      </c>
      <c r="G680">
        <v>0.47266829999999999</v>
      </c>
      <c r="H680">
        <v>0.18807389999999999</v>
      </c>
      <c r="Q680" s="10">
        <f t="shared" si="40"/>
        <v>1.6504904515466719E-2</v>
      </c>
      <c r="AI680">
        <v>-2.0562500000000001E-2</v>
      </c>
      <c r="AJ680">
        <f t="shared" si="39"/>
        <v>-2.0562500000000001E-2</v>
      </c>
      <c r="AO680">
        <v>-2.0562500000000001E-2</v>
      </c>
      <c r="AR680" s="8">
        <v>0</v>
      </c>
      <c r="AS680">
        <v>0.55621730000000003</v>
      </c>
    </row>
    <row r="681" spans="1:45" x14ac:dyDescent="0.25">
      <c r="A681">
        <v>128</v>
      </c>
      <c r="B681">
        <v>2004</v>
      </c>
      <c r="C681" s="8">
        <v>0</v>
      </c>
      <c r="D681">
        <v>4.2542000000000003E-2</v>
      </c>
      <c r="E681">
        <v>0.43084620000000001</v>
      </c>
      <c r="F681">
        <v>4.1779999999999998E-2</v>
      </c>
      <c r="G681">
        <v>0.65747</v>
      </c>
      <c r="H681">
        <v>0.2082426</v>
      </c>
      <c r="Q681" s="10">
        <f t="shared" si="40"/>
        <v>1.2066345422271803E-2</v>
      </c>
      <c r="AI681">
        <v>-4.0299000000000003E-3</v>
      </c>
      <c r="AJ681">
        <f t="shared" si="39"/>
        <v>-4.0299000000000003E-3</v>
      </c>
      <c r="AO681">
        <v>-4.0299000000000003E-3</v>
      </c>
      <c r="AR681" s="8">
        <v>0</v>
      </c>
      <c r="AS681">
        <v>0.34026709999999999</v>
      </c>
    </row>
    <row r="682" spans="1:45" x14ac:dyDescent="0.25">
      <c r="A682">
        <v>129</v>
      </c>
      <c r="B682">
        <v>1995</v>
      </c>
      <c r="C682" s="8">
        <v>0</v>
      </c>
      <c r="D682">
        <v>-2.0562500000000001E-2</v>
      </c>
      <c r="E682">
        <v>0.44749040000000001</v>
      </c>
      <c r="F682">
        <v>1.8852000000000001E-3</v>
      </c>
      <c r="G682">
        <v>1.736988</v>
      </c>
      <c r="H682">
        <v>0.25331769999999998</v>
      </c>
      <c r="Q682" s="10">
        <f t="shared" si="40"/>
        <v>2.9329617476202647E-3</v>
      </c>
      <c r="AI682">
        <v>3.6117000000000003E-2</v>
      </c>
      <c r="AJ682">
        <f t="shared" si="39"/>
        <v>3.6117000000000003E-2</v>
      </c>
      <c r="AO682">
        <v>3.6117000000000003E-2</v>
      </c>
      <c r="AR682" s="8">
        <v>0</v>
      </c>
      <c r="AS682">
        <v>0.47266829999999999</v>
      </c>
    </row>
    <row r="683" spans="1:45" x14ac:dyDescent="0.25">
      <c r="A683">
        <v>129</v>
      </c>
      <c r="B683">
        <v>1996</v>
      </c>
      <c r="C683" s="8">
        <v>0</v>
      </c>
      <c r="D683">
        <v>-4.0299000000000003E-3</v>
      </c>
      <c r="E683">
        <v>0.47902410000000001</v>
      </c>
      <c r="F683">
        <v>5.26586E-2</v>
      </c>
      <c r="G683">
        <v>2.2355740000000002</v>
      </c>
      <c r="H683">
        <v>0.3125038</v>
      </c>
      <c r="Q683" s="10">
        <f t="shared" si="40"/>
        <v>8.8255257529894823E-4</v>
      </c>
      <c r="AI683">
        <v>1.8603000000000001E-2</v>
      </c>
      <c r="AJ683">
        <f t="shared" si="39"/>
        <v>1.8603000000000001E-2</v>
      </c>
      <c r="AO683">
        <v>1.8603000000000001E-2</v>
      </c>
      <c r="AR683" s="8">
        <v>0</v>
      </c>
      <c r="AS683">
        <v>0.65747</v>
      </c>
    </row>
    <row r="684" spans="1:45" x14ac:dyDescent="0.25">
      <c r="A684">
        <v>129</v>
      </c>
      <c r="B684">
        <v>1997</v>
      </c>
      <c r="C684" s="8">
        <v>0</v>
      </c>
      <c r="D684">
        <v>3.6117000000000003E-2</v>
      </c>
      <c r="E684">
        <v>0.5090401</v>
      </c>
      <c r="F684">
        <v>6.26916E-2</v>
      </c>
      <c r="G684">
        <v>2.8374869999999999</v>
      </c>
      <c r="H684">
        <v>0.27330989999999999</v>
      </c>
      <c r="Q684" s="10">
        <f t="shared" si="40"/>
        <v>2.9667831236491354E-4</v>
      </c>
      <c r="AI684">
        <v>2.1659500000000002E-2</v>
      </c>
      <c r="AJ684">
        <f t="shared" si="39"/>
        <v>2.1659500000000002E-2</v>
      </c>
      <c r="AO684">
        <v>2.1659500000000002E-2</v>
      </c>
      <c r="AR684" s="8">
        <v>0</v>
      </c>
      <c r="AS684">
        <v>1.736988</v>
      </c>
    </row>
    <row r="685" spans="1:45" x14ac:dyDescent="0.25">
      <c r="A685">
        <v>129</v>
      </c>
      <c r="B685">
        <v>1998</v>
      </c>
      <c r="C685" s="8">
        <v>0</v>
      </c>
      <c r="D685">
        <v>1.8603000000000001E-2</v>
      </c>
      <c r="E685">
        <v>0.49184260000000002</v>
      </c>
      <c r="F685">
        <v>3.43732E-2</v>
      </c>
      <c r="G685">
        <v>2.8027069999999998</v>
      </c>
      <c r="H685">
        <v>0.20841750000000001</v>
      </c>
      <c r="Q685" s="10">
        <f t="shared" si="40"/>
        <v>3.8453659781978981E-4</v>
      </c>
      <c r="AI685">
        <v>4.4375400000000002E-2</v>
      </c>
      <c r="AJ685">
        <f t="shared" si="39"/>
        <v>4.4375400000000002E-2</v>
      </c>
      <c r="AO685">
        <v>4.4375400000000002E-2</v>
      </c>
      <c r="AR685" s="8">
        <v>0</v>
      </c>
      <c r="AS685">
        <v>2.2355740000000002</v>
      </c>
    </row>
    <row r="686" spans="1:45" x14ac:dyDescent="0.25">
      <c r="A686">
        <v>129</v>
      </c>
      <c r="B686">
        <v>1999</v>
      </c>
      <c r="C686" s="8">
        <v>0</v>
      </c>
      <c r="D686">
        <v>2.1659500000000002E-2</v>
      </c>
      <c r="E686">
        <v>0.45454349999999999</v>
      </c>
      <c r="F686">
        <v>5.7671300000000002E-2</v>
      </c>
      <c r="G686">
        <v>2.5175700000000001</v>
      </c>
      <c r="H686">
        <v>0.27265470000000003</v>
      </c>
      <c r="Q686" s="10">
        <f t="shared" si="40"/>
        <v>5.5291798143731531E-4</v>
      </c>
      <c r="AI686">
        <v>3.6847999999999998E-3</v>
      </c>
      <c r="AJ686">
        <f t="shared" si="39"/>
        <v>3.6847999999999998E-3</v>
      </c>
      <c r="AO686">
        <v>3.6847999999999998E-3</v>
      </c>
      <c r="AR686" s="8">
        <v>0</v>
      </c>
      <c r="AS686">
        <v>2.8374869999999999</v>
      </c>
    </row>
    <row r="687" spans="1:45" x14ac:dyDescent="0.25">
      <c r="A687">
        <v>129</v>
      </c>
      <c r="B687">
        <v>2000</v>
      </c>
      <c r="C687" s="8">
        <v>0</v>
      </c>
      <c r="D687">
        <v>4.4375400000000002E-2</v>
      </c>
      <c r="E687">
        <v>0.51728770000000002</v>
      </c>
      <c r="F687">
        <v>8.2619899999999996E-2</v>
      </c>
      <c r="G687">
        <v>2.6127690000000001</v>
      </c>
      <c r="H687">
        <v>0.32634459999999998</v>
      </c>
      <c r="Q687" s="10">
        <f t="shared" si="40"/>
        <v>3.7076658659683184E-4</v>
      </c>
      <c r="AI687">
        <v>-1.3560300000000001E-2</v>
      </c>
      <c r="AJ687">
        <f t="shared" si="39"/>
        <v>-1.3560300000000001E-2</v>
      </c>
      <c r="AO687">
        <v>-1.3560300000000001E-2</v>
      </c>
      <c r="AR687" s="8">
        <v>0</v>
      </c>
      <c r="AS687">
        <v>2.8027069999999998</v>
      </c>
    </row>
    <row r="688" spans="1:45" x14ac:dyDescent="0.25">
      <c r="A688">
        <v>129</v>
      </c>
      <c r="B688">
        <v>2001</v>
      </c>
      <c r="C688" s="8">
        <v>0</v>
      </c>
      <c r="D688">
        <v>3.6847999999999998E-3</v>
      </c>
      <c r="E688">
        <v>0.44244430000000001</v>
      </c>
      <c r="F688">
        <v>1.4281E-2</v>
      </c>
      <c r="G688">
        <v>2.2105700000000001</v>
      </c>
      <c r="H688">
        <v>0.28088540000000001</v>
      </c>
      <c r="Q688" s="10">
        <f t="shared" si="40"/>
        <v>1.2946903612913584E-3</v>
      </c>
      <c r="AI688">
        <v>6.2668000000000001E-2</v>
      </c>
      <c r="AJ688">
        <f t="shared" si="39"/>
        <v>6.2668000000000001E-2</v>
      </c>
      <c r="AO688">
        <v>6.2668000000000001E-2</v>
      </c>
      <c r="AR688" s="8">
        <v>0</v>
      </c>
      <c r="AS688">
        <v>2.5175700000000001</v>
      </c>
    </row>
    <row r="689" spans="1:45" x14ac:dyDescent="0.25">
      <c r="A689">
        <v>129</v>
      </c>
      <c r="B689">
        <v>2002</v>
      </c>
      <c r="C689" s="8">
        <v>0</v>
      </c>
      <c r="D689">
        <v>-1.3560300000000001E-2</v>
      </c>
      <c r="E689">
        <v>0.4305525</v>
      </c>
      <c r="F689">
        <v>5.0463000000000001E-2</v>
      </c>
      <c r="G689">
        <v>1.5842670000000001</v>
      </c>
      <c r="H689">
        <v>0.3589639</v>
      </c>
      <c r="Q689" s="10">
        <f t="shared" si="40"/>
        <v>2.7842022673162277E-3</v>
      </c>
      <c r="AI689">
        <v>0.12999839999999999</v>
      </c>
      <c r="AJ689">
        <f t="shared" si="39"/>
        <v>0.12999839999999999</v>
      </c>
      <c r="AO689">
        <v>0.12999839999999999</v>
      </c>
      <c r="AR689" s="8">
        <v>0</v>
      </c>
      <c r="AS689">
        <v>2.6127690000000001</v>
      </c>
    </row>
    <row r="690" spans="1:45" x14ac:dyDescent="0.25">
      <c r="A690">
        <v>129</v>
      </c>
      <c r="B690">
        <v>2003</v>
      </c>
      <c r="C690" s="8">
        <v>0</v>
      </c>
      <c r="D690">
        <v>6.2668000000000001E-2</v>
      </c>
      <c r="E690">
        <v>0.45669470000000001</v>
      </c>
      <c r="F690">
        <v>6.5786300000000006E-2</v>
      </c>
      <c r="G690">
        <v>2.0593859999999999</v>
      </c>
      <c r="H690">
        <v>0.3721853</v>
      </c>
      <c r="Q690" s="10">
        <f t="shared" si="40"/>
        <v>1.1590974812886996E-3</v>
      </c>
      <c r="AI690">
        <v>-2.5380900000000001E-2</v>
      </c>
      <c r="AJ690">
        <f t="shared" si="39"/>
        <v>-2.5380900000000001E-2</v>
      </c>
      <c r="AO690">
        <v>-2.5380900000000001E-2</v>
      </c>
      <c r="AR690" s="8">
        <v>0</v>
      </c>
      <c r="AS690">
        <v>2.2105700000000001</v>
      </c>
    </row>
    <row r="691" spans="1:45" x14ac:dyDescent="0.25">
      <c r="A691">
        <v>129</v>
      </c>
      <c r="B691">
        <v>2004</v>
      </c>
      <c r="C691" s="8">
        <v>0</v>
      </c>
      <c r="D691">
        <v>0.12999839999999999</v>
      </c>
      <c r="E691">
        <v>0.51056829999999997</v>
      </c>
      <c r="F691">
        <v>7.1339600000000003E-2</v>
      </c>
      <c r="G691">
        <v>2.3523849999999999</v>
      </c>
      <c r="H691">
        <v>0.45360699999999998</v>
      </c>
      <c r="Q691" s="10">
        <f t="shared" si="40"/>
        <v>6.9544022364336367E-4</v>
      </c>
      <c r="AI691">
        <v>-5.7228399999999999E-2</v>
      </c>
      <c r="AJ691">
        <f t="shared" si="39"/>
        <v>-5.7228399999999999E-2</v>
      </c>
      <c r="AO691">
        <v>-5.7228399999999999E-2</v>
      </c>
      <c r="AR691" s="8">
        <v>0</v>
      </c>
      <c r="AS691">
        <v>1.5842670000000001</v>
      </c>
    </row>
    <row r="692" spans="1:45" x14ac:dyDescent="0.25">
      <c r="A692">
        <v>130</v>
      </c>
      <c r="B692">
        <v>2001</v>
      </c>
      <c r="C692" s="8">
        <v>0</v>
      </c>
      <c r="D692">
        <v>-2.5380900000000001E-2</v>
      </c>
      <c r="E692">
        <v>0.59316170000000001</v>
      </c>
      <c r="F692">
        <v>8.1898299999999993E-2</v>
      </c>
      <c r="G692">
        <v>4.7937339999999997</v>
      </c>
      <c r="H692">
        <v>0.51055740000000005</v>
      </c>
      <c r="Q692" s="10">
        <f t="shared" si="40"/>
        <v>1.1257817282030317E-5</v>
      </c>
      <c r="AI692">
        <v>-4.04599E-2</v>
      </c>
      <c r="AJ692">
        <f t="shared" si="39"/>
        <v>-4.04599E-2</v>
      </c>
      <c r="AO692">
        <v>-4.04599E-2</v>
      </c>
      <c r="AR692" s="8">
        <v>0</v>
      </c>
      <c r="AS692">
        <v>2.0593859999999999</v>
      </c>
    </row>
    <row r="693" spans="1:45" x14ac:dyDescent="0.25">
      <c r="A693">
        <v>130</v>
      </c>
      <c r="B693">
        <v>2002</v>
      </c>
      <c r="C693" s="8">
        <v>0</v>
      </c>
      <c r="D693">
        <v>-5.7228399999999999E-2</v>
      </c>
      <c r="E693">
        <v>0.58284009999999997</v>
      </c>
      <c r="F693">
        <v>7.4300599999999994E-2</v>
      </c>
      <c r="G693">
        <v>3.8948670000000001</v>
      </c>
      <c r="H693">
        <v>0.469057</v>
      </c>
      <c r="Q693" s="10">
        <f t="shared" si="40"/>
        <v>4.8926566501931023E-5</v>
      </c>
      <c r="AI693">
        <v>3.6647300000000001E-2</v>
      </c>
      <c r="AJ693">
        <f t="shared" si="39"/>
        <v>3.6647300000000001E-2</v>
      </c>
      <c r="AO693">
        <v>3.6647300000000001E-2</v>
      </c>
      <c r="AR693" s="8">
        <v>0</v>
      </c>
      <c r="AS693">
        <v>2.3523849999999999</v>
      </c>
    </row>
    <row r="694" spans="1:45" x14ac:dyDescent="0.25">
      <c r="A694">
        <v>130</v>
      </c>
      <c r="B694">
        <v>2003</v>
      </c>
      <c r="C694" s="8">
        <v>0</v>
      </c>
      <c r="D694">
        <v>-4.04599E-2</v>
      </c>
      <c r="E694">
        <v>0.6066433</v>
      </c>
      <c r="F694">
        <v>7.0572999999999997E-2</v>
      </c>
      <c r="G694">
        <v>4.3910809999999998</v>
      </c>
      <c r="H694">
        <v>0.46037539999999999</v>
      </c>
      <c r="Q694" s="10">
        <f t="shared" si="40"/>
        <v>2.21172784648525E-5</v>
      </c>
      <c r="AI694">
        <v>0.21605260000000001</v>
      </c>
      <c r="AJ694">
        <f t="shared" si="39"/>
        <v>0.21605260000000001</v>
      </c>
      <c r="AO694">
        <v>0.21605260000000001</v>
      </c>
      <c r="AR694" s="8">
        <v>0</v>
      </c>
      <c r="AS694">
        <v>4.7937339999999997</v>
      </c>
    </row>
    <row r="695" spans="1:45" x14ac:dyDescent="0.25">
      <c r="A695">
        <v>130</v>
      </c>
      <c r="B695">
        <v>2004</v>
      </c>
      <c r="C695" s="8">
        <v>0</v>
      </c>
      <c r="D695">
        <v>3.6647300000000001E-2</v>
      </c>
      <c r="E695">
        <v>0.59848319999999999</v>
      </c>
      <c r="F695">
        <v>8.3077399999999996E-2</v>
      </c>
      <c r="G695">
        <v>2.7785259999999998</v>
      </c>
      <c r="H695">
        <v>0.47909980000000002</v>
      </c>
      <c r="Q695" s="10">
        <f t="shared" si="40"/>
        <v>2.7623762861746627E-4</v>
      </c>
      <c r="AI695">
        <v>0.14985970000000001</v>
      </c>
      <c r="AJ695">
        <f t="shared" si="39"/>
        <v>0.14985970000000001</v>
      </c>
      <c r="AO695">
        <v>0.14985970000000001</v>
      </c>
      <c r="AR695" s="8">
        <v>0</v>
      </c>
      <c r="AS695">
        <v>3.8948670000000001</v>
      </c>
    </row>
    <row r="696" spans="1:45" x14ac:dyDescent="0.25">
      <c r="A696">
        <v>131</v>
      </c>
      <c r="B696">
        <v>1995</v>
      </c>
      <c r="C696" s="8">
        <v>0</v>
      </c>
      <c r="D696">
        <v>0.21605260000000001</v>
      </c>
      <c r="E696">
        <v>-0.68450880000000003</v>
      </c>
      <c r="F696">
        <v>3.4562500000000003E-2</v>
      </c>
      <c r="G696">
        <v>5.6679469999999998</v>
      </c>
      <c r="H696">
        <v>0.22354879999999999</v>
      </c>
      <c r="Q696" s="10">
        <f t="shared" si="40"/>
        <v>2.420341255808749E-5</v>
      </c>
      <c r="AI696">
        <v>0.20681579999999999</v>
      </c>
      <c r="AJ696">
        <f t="shared" si="39"/>
        <v>0.20681579999999999</v>
      </c>
      <c r="AO696">
        <v>0.20681579999999999</v>
      </c>
      <c r="AR696" s="8">
        <v>0</v>
      </c>
      <c r="AS696">
        <v>4.3910809999999998</v>
      </c>
    </row>
    <row r="697" spans="1:45" x14ac:dyDescent="0.25">
      <c r="A697">
        <v>131</v>
      </c>
      <c r="B697">
        <v>1996</v>
      </c>
      <c r="C697" s="8">
        <v>0</v>
      </c>
      <c r="D697">
        <v>0.14985970000000001</v>
      </c>
      <c r="E697">
        <v>-0.57996360000000002</v>
      </c>
      <c r="F697">
        <v>2.70374E-2</v>
      </c>
      <c r="G697">
        <v>3.4686189999999999</v>
      </c>
      <c r="H697">
        <v>0.2057349</v>
      </c>
      <c r="Q697" s="10">
        <f t="shared" si="40"/>
        <v>7.065264802929498E-4</v>
      </c>
      <c r="AI697">
        <v>0.46203620000000001</v>
      </c>
      <c r="AJ697">
        <f t="shared" si="39"/>
        <v>0.46203620000000001</v>
      </c>
      <c r="AO697">
        <v>0.46203620000000001</v>
      </c>
      <c r="AR697" s="8">
        <v>0</v>
      </c>
      <c r="AS697">
        <v>2.7785259999999998</v>
      </c>
    </row>
    <row r="698" spans="1:45" x14ac:dyDescent="0.25">
      <c r="A698">
        <v>131</v>
      </c>
      <c r="B698">
        <v>1997</v>
      </c>
      <c r="C698" s="8">
        <v>0</v>
      </c>
      <c r="D698">
        <v>0.20681579999999999</v>
      </c>
      <c r="E698">
        <v>-0.51528479999999999</v>
      </c>
      <c r="F698">
        <v>2.4284900000000002E-2</v>
      </c>
      <c r="G698">
        <v>3.3713410000000001</v>
      </c>
      <c r="H698">
        <v>0.1201615</v>
      </c>
      <c r="Q698" s="10">
        <f t="shared" si="40"/>
        <v>7.4537483267997199E-4</v>
      </c>
      <c r="AI698">
        <v>0.32559759999999999</v>
      </c>
      <c r="AJ698">
        <f t="shared" si="39"/>
        <v>0.32559759999999999</v>
      </c>
      <c r="AO698">
        <v>0.32559759999999999</v>
      </c>
      <c r="AR698" s="8">
        <v>0</v>
      </c>
      <c r="AS698">
        <v>5.6679469999999998</v>
      </c>
    </row>
    <row r="699" spans="1:45" x14ac:dyDescent="0.25">
      <c r="A699">
        <v>131</v>
      </c>
      <c r="B699">
        <v>1998</v>
      </c>
      <c r="C699" s="8">
        <v>0</v>
      </c>
      <c r="D699">
        <v>0.46203620000000001</v>
      </c>
      <c r="E699">
        <v>-0.1407236</v>
      </c>
      <c r="F699">
        <v>2.7328600000000002E-2</v>
      </c>
      <c r="G699">
        <v>4.8196700000000003</v>
      </c>
      <c r="H699">
        <v>0.11795</v>
      </c>
      <c r="Q699" s="10">
        <f t="shared" si="40"/>
        <v>4.6616866104838492E-5</v>
      </c>
      <c r="AI699">
        <v>0.30728889999999998</v>
      </c>
      <c r="AJ699">
        <f t="shared" si="39"/>
        <v>0.30728889999999998</v>
      </c>
      <c r="AO699">
        <v>0.30728889999999998</v>
      </c>
      <c r="AR699" s="8">
        <v>0</v>
      </c>
      <c r="AS699">
        <v>3.4686189999999999</v>
      </c>
    </row>
    <row r="700" spans="1:45" x14ac:dyDescent="0.25">
      <c r="A700">
        <v>131</v>
      </c>
      <c r="B700">
        <v>1999</v>
      </c>
      <c r="C700" s="8">
        <v>0</v>
      </c>
      <c r="D700">
        <v>0.32559759999999999</v>
      </c>
      <c r="E700">
        <v>-0.10967300000000001</v>
      </c>
      <c r="F700">
        <v>1.5826699999999999E-2</v>
      </c>
      <c r="G700">
        <v>10.09918</v>
      </c>
      <c r="H700">
        <v>9.0503E-2</v>
      </c>
      <c r="Q700" s="10">
        <f t="shared" si="40"/>
        <v>1.00711517499405E-8</v>
      </c>
      <c r="AI700">
        <v>0.32436280000000001</v>
      </c>
      <c r="AJ700">
        <f t="shared" si="39"/>
        <v>0.32436280000000001</v>
      </c>
      <c r="AO700">
        <v>0.32436280000000001</v>
      </c>
      <c r="AR700" s="8">
        <v>0</v>
      </c>
      <c r="AS700">
        <v>3.3713410000000001</v>
      </c>
    </row>
    <row r="701" spans="1:45" x14ac:dyDescent="0.25">
      <c r="A701">
        <v>131</v>
      </c>
      <c r="B701">
        <v>2000</v>
      </c>
      <c r="C701" s="8">
        <v>0</v>
      </c>
      <c r="D701">
        <v>0.30728889999999998</v>
      </c>
      <c r="E701">
        <v>-0.14178560000000001</v>
      </c>
      <c r="F701">
        <v>4.7823400000000002E-2</v>
      </c>
      <c r="G701">
        <v>13.8931</v>
      </c>
      <c r="H701">
        <v>0.1555627</v>
      </c>
      <c r="Q701" s="10">
        <f t="shared" si="40"/>
        <v>1.9984203326107524E-11</v>
      </c>
      <c r="AI701">
        <v>0.39326129999999998</v>
      </c>
      <c r="AJ701">
        <f t="shared" si="39"/>
        <v>0.39326129999999998</v>
      </c>
      <c r="AO701">
        <v>0.39326129999999998</v>
      </c>
      <c r="AR701" s="8">
        <v>0</v>
      </c>
      <c r="AS701">
        <v>4.8196700000000003</v>
      </c>
    </row>
    <row r="702" spans="1:45" x14ac:dyDescent="0.25">
      <c r="A702">
        <v>131</v>
      </c>
      <c r="B702">
        <v>2001</v>
      </c>
      <c r="C702" s="8">
        <v>0</v>
      </c>
      <c r="D702">
        <v>0.32436280000000001</v>
      </c>
      <c r="E702">
        <v>-9.3692300000000006E-2</v>
      </c>
      <c r="F702">
        <v>2.8713599999999999E-2</v>
      </c>
      <c r="G702">
        <v>8.9657549999999997</v>
      </c>
      <c r="H702">
        <v>0.1360682</v>
      </c>
      <c r="Q702" s="10">
        <f t="shared" si="40"/>
        <v>5.5550982614146512E-8</v>
      </c>
      <c r="AI702">
        <v>0.22748070000000001</v>
      </c>
      <c r="AJ702">
        <f t="shared" si="39"/>
        <v>0.22748070000000001</v>
      </c>
      <c r="AO702">
        <v>0.22748070000000001</v>
      </c>
      <c r="AR702" s="8">
        <v>0</v>
      </c>
      <c r="AS702">
        <v>10.09918</v>
      </c>
    </row>
    <row r="703" spans="1:45" x14ac:dyDescent="0.25">
      <c r="A703">
        <v>131</v>
      </c>
      <c r="B703">
        <v>2002</v>
      </c>
      <c r="C703" s="8">
        <v>0</v>
      </c>
      <c r="D703">
        <v>0.39326129999999998</v>
      </c>
      <c r="E703">
        <v>-2.0242E-2</v>
      </c>
      <c r="F703">
        <v>6.2448900000000002E-2</v>
      </c>
      <c r="G703">
        <v>8.1945049999999995</v>
      </c>
      <c r="H703">
        <v>0.14625070000000001</v>
      </c>
      <c r="Q703" s="10">
        <f t="shared" si="40"/>
        <v>1.3490531654277899E-7</v>
      </c>
      <c r="AI703">
        <v>0.24563660000000001</v>
      </c>
      <c r="AJ703">
        <f t="shared" si="39"/>
        <v>0.24563660000000001</v>
      </c>
      <c r="AO703">
        <v>0.24563660000000001</v>
      </c>
      <c r="AR703" s="8">
        <v>0</v>
      </c>
      <c r="AS703">
        <v>13.8931</v>
      </c>
    </row>
    <row r="704" spans="1:45" x14ac:dyDescent="0.25">
      <c r="A704">
        <v>131</v>
      </c>
      <c r="B704">
        <v>2003</v>
      </c>
      <c r="C704" s="8">
        <v>0</v>
      </c>
      <c r="D704">
        <v>0.22748070000000001</v>
      </c>
      <c r="E704">
        <v>7.8008900000000006E-2</v>
      </c>
      <c r="F704">
        <v>3.6848100000000002E-2</v>
      </c>
      <c r="G704">
        <v>6.1544920000000003</v>
      </c>
      <c r="H704">
        <v>0.15468090000000001</v>
      </c>
      <c r="Q704" s="10">
        <f t="shared" si="40"/>
        <v>3.4771632645819731E-6</v>
      </c>
      <c r="AI704">
        <v>0.1037796</v>
      </c>
      <c r="AJ704">
        <f t="shared" si="39"/>
        <v>0.1037796</v>
      </c>
      <c r="AO704">
        <v>0.1037796</v>
      </c>
      <c r="AR704" s="8">
        <v>0</v>
      </c>
      <c r="AS704">
        <v>8.9657549999999997</v>
      </c>
    </row>
    <row r="705" spans="1:45" x14ac:dyDescent="0.25">
      <c r="A705">
        <v>131</v>
      </c>
      <c r="B705">
        <v>2004</v>
      </c>
      <c r="C705" s="8">
        <v>0</v>
      </c>
      <c r="D705">
        <v>0.24563660000000001</v>
      </c>
      <c r="E705">
        <v>8.7758500000000003E-2</v>
      </c>
      <c r="F705">
        <v>1.7680600000000001E-2</v>
      </c>
      <c r="G705">
        <v>3.7024050000000002</v>
      </c>
      <c r="H705">
        <v>0.126361</v>
      </c>
      <c r="Q705" s="10">
        <f t="shared" si="40"/>
        <v>1.9691538416108988E-4</v>
      </c>
      <c r="AI705">
        <v>6.0602499999999997E-2</v>
      </c>
      <c r="AJ705">
        <f t="shared" si="39"/>
        <v>6.0602499999999997E-2</v>
      </c>
      <c r="AO705">
        <v>6.0602499999999997E-2</v>
      </c>
      <c r="AR705" s="8">
        <v>0</v>
      </c>
      <c r="AS705">
        <v>8.1945049999999995</v>
      </c>
    </row>
    <row r="706" spans="1:45" x14ac:dyDescent="0.25">
      <c r="A706">
        <v>132</v>
      </c>
      <c r="B706">
        <v>1999</v>
      </c>
      <c r="C706" s="8">
        <v>0</v>
      </c>
      <c r="D706">
        <v>0.1037796</v>
      </c>
      <c r="E706">
        <v>0.55059020000000003</v>
      </c>
      <c r="F706">
        <v>6.4364199999999996E-2</v>
      </c>
      <c r="G706">
        <v>4.1872959999999999</v>
      </c>
      <c r="H706">
        <v>0.408188</v>
      </c>
      <c r="Q706" s="10">
        <f t="shared" si="40"/>
        <v>3.5862539849104171E-5</v>
      </c>
      <c r="AI706">
        <v>0.14156530000000001</v>
      </c>
      <c r="AJ706">
        <f t="shared" si="39"/>
        <v>0.14156530000000001</v>
      </c>
      <c r="AO706">
        <v>0.14156530000000001</v>
      </c>
      <c r="AR706" s="8">
        <v>0</v>
      </c>
      <c r="AS706">
        <v>6.1544920000000003</v>
      </c>
    </row>
    <row r="707" spans="1:45" x14ac:dyDescent="0.25">
      <c r="A707">
        <v>132</v>
      </c>
      <c r="B707">
        <v>2000</v>
      </c>
      <c r="C707" s="8">
        <v>0</v>
      </c>
      <c r="D707">
        <v>6.0602499999999997E-2</v>
      </c>
      <c r="E707">
        <v>0.62523340000000005</v>
      </c>
      <c r="F707">
        <v>5.1710600000000002E-2</v>
      </c>
      <c r="G707">
        <v>3.8730449999999998</v>
      </c>
      <c r="H707">
        <v>0.46497369999999999</v>
      </c>
      <c r="Q707" s="10">
        <f t="shared" si="40"/>
        <v>5.9766245678964514E-5</v>
      </c>
      <c r="AI707">
        <v>0.13030649999999999</v>
      </c>
      <c r="AJ707">
        <f t="shared" si="39"/>
        <v>0.13030649999999999</v>
      </c>
      <c r="AO707">
        <v>0.13030649999999999</v>
      </c>
      <c r="AR707" s="8">
        <v>0</v>
      </c>
      <c r="AS707">
        <v>3.7024050000000002</v>
      </c>
    </row>
    <row r="708" spans="1:45" x14ac:dyDescent="0.25">
      <c r="A708">
        <v>132</v>
      </c>
      <c r="B708">
        <v>2001</v>
      </c>
      <c r="C708" s="8">
        <v>0</v>
      </c>
      <c r="D708">
        <v>0.14156530000000001</v>
      </c>
      <c r="E708">
        <v>0.3605815</v>
      </c>
      <c r="F708">
        <v>5.0718899999999997E-2</v>
      </c>
      <c r="G708">
        <v>1.5859460000000001</v>
      </c>
      <c r="H708">
        <v>0.30428670000000002</v>
      </c>
      <c r="Q708" s="10">
        <f t="shared" si="40"/>
        <v>3.1613474222412846E-3</v>
      </c>
      <c r="AI708">
        <v>7.4612700000000004E-2</v>
      </c>
      <c r="AJ708">
        <f t="shared" si="39"/>
        <v>7.4612700000000004E-2</v>
      </c>
      <c r="AO708">
        <v>7.4612700000000004E-2</v>
      </c>
      <c r="AR708" s="8">
        <v>0</v>
      </c>
      <c r="AS708">
        <v>4.1872959999999999</v>
      </c>
    </row>
    <row r="709" spans="1:45" x14ac:dyDescent="0.25">
      <c r="A709">
        <v>132</v>
      </c>
      <c r="B709">
        <v>2002</v>
      </c>
      <c r="C709" s="8">
        <v>0</v>
      </c>
      <c r="D709">
        <v>0.13030649999999999</v>
      </c>
      <c r="E709">
        <v>0.38418730000000001</v>
      </c>
      <c r="F709">
        <v>4.9785299999999998E-2</v>
      </c>
      <c r="G709">
        <v>1.9250290000000001</v>
      </c>
      <c r="H709">
        <v>0.30516700000000002</v>
      </c>
      <c r="Q709" s="10">
        <f t="shared" si="40"/>
        <v>1.7878951815374336E-3</v>
      </c>
      <c r="AI709">
        <v>0.10555299999999999</v>
      </c>
      <c r="AJ709">
        <f t="shared" ref="AJ709:AJ772" si="41">MAX(MIN(AI709,AM$5),AM$4)</f>
        <v>0.10555299999999999</v>
      </c>
      <c r="AO709">
        <v>0.10555299999999999</v>
      </c>
      <c r="AR709" s="8">
        <v>0</v>
      </c>
      <c r="AS709">
        <v>3.8730449999999998</v>
      </c>
    </row>
    <row r="710" spans="1:45" x14ac:dyDescent="0.25">
      <c r="A710">
        <v>132</v>
      </c>
      <c r="B710">
        <v>2003</v>
      </c>
      <c r="C710" s="8">
        <v>0</v>
      </c>
      <c r="D710">
        <v>7.4612700000000004E-2</v>
      </c>
      <c r="E710">
        <v>0.40501340000000002</v>
      </c>
      <c r="F710">
        <v>6.6520700000000002E-2</v>
      </c>
      <c r="G710">
        <v>2.3895919999999999</v>
      </c>
      <c r="H710">
        <v>0.28841220000000001</v>
      </c>
      <c r="Q710" s="10">
        <f t="shared" si="40"/>
        <v>7.0060661184167996E-4</v>
      </c>
      <c r="AI710">
        <v>1.30727E-2</v>
      </c>
      <c r="AJ710">
        <f t="shared" si="41"/>
        <v>1.30727E-2</v>
      </c>
      <c r="AO710">
        <v>1.30727E-2</v>
      </c>
      <c r="AR710" s="8">
        <v>0</v>
      </c>
      <c r="AS710">
        <v>1.5859460000000001</v>
      </c>
    </row>
    <row r="711" spans="1:45" x14ac:dyDescent="0.25">
      <c r="A711">
        <v>132</v>
      </c>
      <c r="B711">
        <v>2004</v>
      </c>
      <c r="C711" s="8">
        <v>0</v>
      </c>
      <c r="D711">
        <v>0.10555299999999999</v>
      </c>
      <c r="E711">
        <v>0.28680480000000003</v>
      </c>
      <c r="F711">
        <v>4.6202899999999998E-2</v>
      </c>
      <c r="G711">
        <v>1.609642</v>
      </c>
      <c r="H711">
        <v>0.23854549999999999</v>
      </c>
      <c r="Q711" s="10">
        <f t="shared" ref="Q711:Q774" si="42">1/(1+EXP(-(J$6+SUMPRODUCT(K$6:O$6,D711:H711))))</f>
        <v>3.322796276974173E-3</v>
      </c>
      <c r="AI711">
        <v>-1.85249E-2</v>
      </c>
      <c r="AJ711">
        <f t="shared" si="41"/>
        <v>-1.85249E-2</v>
      </c>
      <c r="AO711">
        <v>-1.85249E-2</v>
      </c>
      <c r="AR711" s="8">
        <v>0</v>
      </c>
      <c r="AS711">
        <v>1.9250290000000001</v>
      </c>
    </row>
    <row r="712" spans="1:45" x14ac:dyDescent="0.25">
      <c r="A712">
        <v>133</v>
      </c>
      <c r="B712">
        <v>1999</v>
      </c>
      <c r="C712" s="8">
        <v>0</v>
      </c>
      <c r="D712">
        <v>1.30727E-2</v>
      </c>
      <c r="E712">
        <v>6.3094499999999998E-2</v>
      </c>
      <c r="F712">
        <v>2.8781500000000002E-2</v>
      </c>
      <c r="G712">
        <v>1.957557</v>
      </c>
      <c r="H712">
        <v>8.3061200000000002E-2</v>
      </c>
      <c r="Q712" s="10">
        <f t="shared" si="42"/>
        <v>2.6564582711589681E-3</v>
      </c>
      <c r="AI712">
        <v>-4.2443000000000002E-2</v>
      </c>
      <c r="AJ712">
        <f t="shared" si="41"/>
        <v>-4.2443000000000002E-2</v>
      </c>
      <c r="AO712">
        <v>-4.2443000000000002E-2</v>
      </c>
      <c r="AR712" s="8">
        <v>0</v>
      </c>
      <c r="AS712">
        <v>2.3895919999999999</v>
      </c>
    </row>
    <row r="713" spans="1:45" x14ac:dyDescent="0.25">
      <c r="A713">
        <v>133</v>
      </c>
      <c r="B713">
        <v>2000</v>
      </c>
      <c r="C713" s="8">
        <v>0</v>
      </c>
      <c r="D713">
        <v>-1.85249E-2</v>
      </c>
      <c r="E713">
        <v>-2.7607900000000001E-2</v>
      </c>
      <c r="F713">
        <v>3.2360399999999998E-2</v>
      </c>
      <c r="G713">
        <v>1.1377219999999999</v>
      </c>
      <c r="H713">
        <v>0.1101757</v>
      </c>
      <c r="Q713" s="10">
        <f t="shared" si="42"/>
        <v>1.0828862538647595E-2</v>
      </c>
      <c r="AI713">
        <v>-0.1856863</v>
      </c>
      <c r="AJ713">
        <f t="shared" si="41"/>
        <v>-0.113345184</v>
      </c>
      <c r="AO713">
        <v>-0.113345184</v>
      </c>
      <c r="AR713" s="8">
        <v>0</v>
      </c>
      <c r="AS713">
        <v>1.609642</v>
      </c>
    </row>
    <row r="714" spans="1:45" x14ac:dyDescent="0.25">
      <c r="A714">
        <v>133</v>
      </c>
      <c r="B714">
        <v>2001</v>
      </c>
      <c r="C714" s="8">
        <v>0</v>
      </c>
      <c r="D714">
        <v>-4.2443000000000002E-2</v>
      </c>
      <c r="E714">
        <v>-8.5122799999999998E-2</v>
      </c>
      <c r="F714">
        <v>2.05685E-2</v>
      </c>
      <c r="G714">
        <v>0.46877530000000001</v>
      </c>
      <c r="H714">
        <v>0.12530730000000001</v>
      </c>
      <c r="Q714" s="10">
        <f t="shared" si="42"/>
        <v>3.6572348920020016E-2</v>
      </c>
      <c r="AI714">
        <v>-2.0969000000000001E-3</v>
      </c>
      <c r="AJ714">
        <f t="shared" si="41"/>
        <v>-2.0969000000000001E-3</v>
      </c>
      <c r="AO714">
        <v>-2.0969000000000001E-3</v>
      </c>
      <c r="AR714" s="8">
        <v>0</v>
      </c>
      <c r="AS714">
        <v>1.957557</v>
      </c>
    </row>
    <row r="715" spans="1:45" x14ac:dyDescent="0.25">
      <c r="A715">
        <v>133</v>
      </c>
      <c r="B715">
        <v>2002</v>
      </c>
      <c r="C715" s="8">
        <v>0</v>
      </c>
      <c r="D715">
        <v>-0.1856863</v>
      </c>
      <c r="E715">
        <v>-3.3124199999999999</v>
      </c>
      <c r="F715">
        <v>5.0890400000000002E-2</v>
      </c>
      <c r="G715">
        <v>0.2205136</v>
      </c>
      <c r="H715">
        <v>0.38342340000000003</v>
      </c>
      <c r="Q715" s="10">
        <f t="shared" si="42"/>
        <v>0.84224586931847978</v>
      </c>
      <c r="AI715">
        <v>1.07332E-2</v>
      </c>
      <c r="AJ715">
        <f t="shared" si="41"/>
        <v>1.07332E-2</v>
      </c>
      <c r="AO715">
        <v>1.07332E-2</v>
      </c>
      <c r="AR715" s="8">
        <v>0</v>
      </c>
      <c r="AS715">
        <v>1.1377219999999999</v>
      </c>
    </row>
    <row r="716" spans="1:45" x14ac:dyDescent="0.25">
      <c r="A716">
        <v>133</v>
      </c>
      <c r="B716">
        <v>2003</v>
      </c>
      <c r="C716" s="8">
        <v>0</v>
      </c>
      <c r="D716">
        <v>-2.0969000000000001E-3</v>
      </c>
      <c r="E716">
        <v>-1.7147460000000001</v>
      </c>
      <c r="F716">
        <v>7.3722999999999997E-2</v>
      </c>
      <c r="G716">
        <v>0.46646860000000001</v>
      </c>
      <c r="H716">
        <v>0.1908589</v>
      </c>
      <c r="Q716" s="10">
        <f t="shared" si="42"/>
        <v>0.21996568764838331</v>
      </c>
      <c r="AI716">
        <v>0.13555610000000001</v>
      </c>
      <c r="AJ716">
        <f t="shared" si="41"/>
        <v>0.13555610000000001</v>
      </c>
      <c r="AO716">
        <v>0.13555610000000001</v>
      </c>
      <c r="AR716" s="8">
        <v>0</v>
      </c>
      <c r="AS716">
        <v>0.46877530000000001</v>
      </c>
    </row>
    <row r="717" spans="1:45" x14ac:dyDescent="0.25">
      <c r="A717">
        <v>133</v>
      </c>
      <c r="B717">
        <v>2004</v>
      </c>
      <c r="C717" s="8">
        <v>0</v>
      </c>
      <c r="D717">
        <v>1.07332E-2</v>
      </c>
      <c r="E717">
        <v>-1.7880119999999999</v>
      </c>
      <c r="F717">
        <v>7.2344500000000006E-2</v>
      </c>
      <c r="G717">
        <v>0.42548170000000002</v>
      </c>
      <c r="H717">
        <v>0.1721512</v>
      </c>
      <c r="Q717" s="10">
        <f t="shared" si="42"/>
        <v>0.25175582258480778</v>
      </c>
      <c r="AI717">
        <v>0.20444570000000001</v>
      </c>
      <c r="AJ717">
        <f t="shared" si="41"/>
        <v>0.20444570000000001</v>
      </c>
      <c r="AO717">
        <v>0.20444570000000001</v>
      </c>
      <c r="AR717" s="8">
        <v>0</v>
      </c>
      <c r="AS717">
        <v>0.2205136</v>
      </c>
    </row>
    <row r="718" spans="1:45" x14ac:dyDescent="0.25">
      <c r="A718">
        <v>134</v>
      </c>
      <c r="B718">
        <v>1999</v>
      </c>
      <c r="C718" s="8">
        <v>0</v>
      </c>
      <c r="D718">
        <v>0.13555610000000001</v>
      </c>
      <c r="E718">
        <v>0.1109435</v>
      </c>
      <c r="F718">
        <v>6.6838700000000001E-2</v>
      </c>
      <c r="G718">
        <v>0.56642479999999995</v>
      </c>
      <c r="H718">
        <v>0.33185369999999997</v>
      </c>
      <c r="Q718" s="10">
        <f t="shared" si="42"/>
        <v>2.0227877801170791E-2</v>
      </c>
      <c r="AI718">
        <v>0.2097627</v>
      </c>
      <c r="AJ718">
        <f t="shared" si="41"/>
        <v>0.2097627</v>
      </c>
      <c r="AO718">
        <v>0.2097627</v>
      </c>
      <c r="AR718" s="8">
        <v>0</v>
      </c>
      <c r="AS718">
        <v>0.46646860000000001</v>
      </c>
    </row>
    <row r="719" spans="1:45" x14ac:dyDescent="0.25">
      <c r="A719">
        <v>134</v>
      </c>
      <c r="B719">
        <v>2000</v>
      </c>
      <c r="C719" s="8">
        <v>0</v>
      </c>
      <c r="D719">
        <v>0.20444570000000001</v>
      </c>
      <c r="E719">
        <v>0.13705210000000001</v>
      </c>
      <c r="F719">
        <v>6.2889500000000001E-2</v>
      </c>
      <c r="G719">
        <v>0.57798890000000003</v>
      </c>
      <c r="H719">
        <v>0.31106319999999998</v>
      </c>
      <c r="Q719" s="10">
        <f t="shared" si="42"/>
        <v>2.0047568131935121E-2</v>
      </c>
      <c r="AI719">
        <v>4.8565799999999999E-2</v>
      </c>
      <c r="AJ719">
        <f t="shared" si="41"/>
        <v>4.8565799999999999E-2</v>
      </c>
      <c r="AO719">
        <v>4.8565799999999999E-2</v>
      </c>
      <c r="AR719" s="8">
        <v>0</v>
      </c>
      <c r="AS719">
        <v>0.42548170000000002</v>
      </c>
    </row>
    <row r="720" spans="1:45" x14ac:dyDescent="0.25">
      <c r="A720">
        <v>134</v>
      </c>
      <c r="B720">
        <v>2002</v>
      </c>
      <c r="C720" s="8">
        <v>0</v>
      </c>
      <c r="D720">
        <v>0.2097627</v>
      </c>
      <c r="E720">
        <v>-0.179872</v>
      </c>
      <c r="F720">
        <v>8.8283000000000007E-3</v>
      </c>
      <c r="G720">
        <v>0.28939169999999997</v>
      </c>
      <c r="H720">
        <v>0.23458809999999999</v>
      </c>
      <c r="Q720" s="10">
        <f t="shared" si="42"/>
        <v>7.0343401725949259E-2</v>
      </c>
      <c r="AI720">
        <v>0.28633219999999998</v>
      </c>
      <c r="AJ720">
        <f t="shared" si="41"/>
        <v>0.28633219999999998</v>
      </c>
      <c r="AO720">
        <v>0.28633219999999998</v>
      </c>
      <c r="AR720" s="8">
        <v>0</v>
      </c>
      <c r="AS720">
        <v>0.56642479999999995</v>
      </c>
    </row>
    <row r="721" spans="1:45" x14ac:dyDescent="0.25">
      <c r="A721">
        <v>134</v>
      </c>
      <c r="B721">
        <v>2003</v>
      </c>
      <c r="C721" s="8">
        <v>0</v>
      </c>
      <c r="D721">
        <v>4.8565799999999999E-2</v>
      </c>
      <c r="E721">
        <v>-0.46881410000000001</v>
      </c>
      <c r="F721">
        <v>5.1105400000000002E-2</v>
      </c>
      <c r="G721">
        <v>0.22251399999999999</v>
      </c>
      <c r="H721">
        <v>0.31274020000000002</v>
      </c>
      <c r="Q721" s="10">
        <f t="shared" si="42"/>
        <v>8.2317617760141057E-2</v>
      </c>
      <c r="AI721">
        <v>4.6310200000000003E-2</v>
      </c>
      <c r="AJ721">
        <f t="shared" si="41"/>
        <v>4.6310200000000003E-2</v>
      </c>
      <c r="AO721">
        <v>4.6310200000000003E-2</v>
      </c>
      <c r="AR721" s="8">
        <v>0</v>
      </c>
      <c r="AS721">
        <v>0.57798890000000003</v>
      </c>
    </row>
    <row r="722" spans="1:45" x14ac:dyDescent="0.25">
      <c r="A722">
        <v>134</v>
      </c>
      <c r="B722">
        <v>2004</v>
      </c>
      <c r="C722" s="8">
        <v>0</v>
      </c>
      <c r="D722">
        <v>0.28633219999999998</v>
      </c>
      <c r="E722">
        <v>-0.53464129999999999</v>
      </c>
      <c r="F722">
        <v>4.7992100000000003E-2</v>
      </c>
      <c r="G722">
        <v>0.26841369999999998</v>
      </c>
      <c r="H722">
        <v>0.31774599999999997</v>
      </c>
      <c r="Q722" s="10">
        <f t="shared" si="42"/>
        <v>9.4305468094829273E-2</v>
      </c>
      <c r="AI722">
        <v>3.8810900000000002E-2</v>
      </c>
      <c r="AJ722">
        <f t="shared" si="41"/>
        <v>3.8810900000000002E-2</v>
      </c>
      <c r="AO722">
        <v>3.8810900000000002E-2</v>
      </c>
      <c r="AR722" s="8">
        <v>0</v>
      </c>
      <c r="AS722">
        <v>0.28939169999999997</v>
      </c>
    </row>
    <row r="723" spans="1:45" x14ac:dyDescent="0.25">
      <c r="A723">
        <v>135</v>
      </c>
      <c r="B723">
        <v>1999</v>
      </c>
      <c r="C723" s="8">
        <v>0</v>
      </c>
      <c r="D723">
        <v>4.6310200000000003E-2</v>
      </c>
      <c r="E723">
        <v>0.31312250000000003</v>
      </c>
      <c r="F723">
        <v>3.6121E-2</v>
      </c>
      <c r="G723">
        <v>0.47974929999999999</v>
      </c>
      <c r="H723">
        <v>0.15201909999999999</v>
      </c>
      <c r="Q723" s="10">
        <f t="shared" si="42"/>
        <v>1.9099242027760484E-2</v>
      </c>
      <c r="AI723">
        <v>2.0551699999999999E-2</v>
      </c>
      <c r="AJ723">
        <f t="shared" si="41"/>
        <v>2.0551699999999999E-2</v>
      </c>
      <c r="AO723">
        <v>2.0551699999999999E-2</v>
      </c>
      <c r="AR723" s="8">
        <v>0</v>
      </c>
      <c r="AS723">
        <v>0.22251399999999999</v>
      </c>
    </row>
    <row r="724" spans="1:45" x14ac:dyDescent="0.25">
      <c r="A724">
        <v>135</v>
      </c>
      <c r="B724">
        <v>2000</v>
      </c>
      <c r="C724" s="8">
        <v>0</v>
      </c>
      <c r="D724">
        <v>3.8810900000000002E-2</v>
      </c>
      <c r="E724">
        <v>0.34140209999999999</v>
      </c>
      <c r="F724">
        <v>4.2772400000000002E-2</v>
      </c>
      <c r="G724">
        <v>0.53722150000000002</v>
      </c>
      <c r="H724">
        <v>0.1610219</v>
      </c>
      <c r="Q724" s="10">
        <f t="shared" si="42"/>
        <v>1.594929942201959E-2</v>
      </c>
      <c r="AI724">
        <v>2.2923700000000002E-2</v>
      </c>
      <c r="AJ724">
        <f t="shared" si="41"/>
        <v>2.2923700000000002E-2</v>
      </c>
      <c r="AO724">
        <v>2.2923700000000002E-2</v>
      </c>
      <c r="AR724" s="8">
        <v>0</v>
      </c>
      <c r="AS724">
        <v>0.26841369999999998</v>
      </c>
    </row>
    <row r="725" spans="1:45" x14ac:dyDescent="0.25">
      <c r="A725">
        <v>135</v>
      </c>
      <c r="B725">
        <v>2001</v>
      </c>
      <c r="C725" s="8">
        <v>0</v>
      </c>
      <c r="D725">
        <v>2.0551699999999999E-2</v>
      </c>
      <c r="E725">
        <v>0.37297720000000001</v>
      </c>
      <c r="F725">
        <v>3.66164E-2</v>
      </c>
      <c r="G725">
        <v>0.64577399999999996</v>
      </c>
      <c r="H725">
        <v>0.15880810000000001</v>
      </c>
      <c r="Q725" s="10">
        <f t="shared" si="42"/>
        <v>1.3375587295020927E-2</v>
      </c>
      <c r="AI725">
        <v>2.4530099999999999E-2</v>
      </c>
      <c r="AJ725">
        <f t="shared" si="41"/>
        <v>2.4530099999999999E-2</v>
      </c>
      <c r="AO725">
        <v>2.4530099999999999E-2</v>
      </c>
      <c r="AR725" s="8">
        <v>0</v>
      </c>
      <c r="AS725">
        <v>0.47974929999999999</v>
      </c>
    </row>
    <row r="726" spans="1:45" x14ac:dyDescent="0.25">
      <c r="A726">
        <v>135</v>
      </c>
      <c r="B726">
        <v>2002</v>
      </c>
      <c r="C726" s="8">
        <v>0</v>
      </c>
      <c r="D726">
        <v>2.2923700000000002E-2</v>
      </c>
      <c r="E726">
        <v>0.37242629999999999</v>
      </c>
      <c r="F726">
        <v>5.1922200000000002E-2</v>
      </c>
      <c r="G726">
        <v>0.5195824</v>
      </c>
      <c r="H726">
        <v>0.15168590000000001</v>
      </c>
      <c r="Q726" s="10">
        <f t="shared" si="42"/>
        <v>1.4417048784052642E-2</v>
      </c>
      <c r="AI726">
        <v>2.93672E-2</v>
      </c>
      <c r="AJ726">
        <f t="shared" si="41"/>
        <v>2.93672E-2</v>
      </c>
      <c r="AO726">
        <v>2.93672E-2</v>
      </c>
      <c r="AR726" s="8">
        <v>0</v>
      </c>
      <c r="AS726">
        <v>0.53722150000000002</v>
      </c>
    </row>
    <row r="727" spans="1:45" x14ac:dyDescent="0.25">
      <c r="A727">
        <v>135</v>
      </c>
      <c r="B727">
        <v>2003</v>
      </c>
      <c r="C727" s="8">
        <v>0</v>
      </c>
      <c r="D727">
        <v>2.4530099999999999E-2</v>
      </c>
      <c r="E727">
        <v>0.3625466</v>
      </c>
      <c r="F727">
        <v>5.5205799999999999E-2</v>
      </c>
      <c r="G727">
        <v>0.83324169999999997</v>
      </c>
      <c r="H727">
        <v>0.17289080000000001</v>
      </c>
      <c r="Q727" s="10">
        <f t="shared" si="42"/>
        <v>8.812250513529199E-3</v>
      </c>
      <c r="AI727">
        <v>6.7547899999999994E-2</v>
      </c>
      <c r="AJ727">
        <f t="shared" si="41"/>
        <v>6.7547899999999994E-2</v>
      </c>
      <c r="AO727">
        <v>6.7547899999999994E-2</v>
      </c>
      <c r="AR727" s="8">
        <v>0</v>
      </c>
      <c r="AS727">
        <v>0.64577399999999996</v>
      </c>
    </row>
    <row r="728" spans="1:45" x14ac:dyDescent="0.25">
      <c r="A728">
        <v>135</v>
      </c>
      <c r="B728">
        <v>2004</v>
      </c>
      <c r="C728" s="8">
        <v>0</v>
      </c>
      <c r="D728">
        <v>2.93672E-2</v>
      </c>
      <c r="E728">
        <v>0.38073360000000001</v>
      </c>
      <c r="F728">
        <v>5.5989499999999998E-2</v>
      </c>
      <c r="G728">
        <v>1.3967909999999999</v>
      </c>
      <c r="H728">
        <v>0.17629700000000001</v>
      </c>
      <c r="Q728" s="10">
        <f t="shared" si="42"/>
        <v>3.5071864511858398E-3</v>
      </c>
      <c r="AI728">
        <v>5.2339700000000003E-2</v>
      </c>
      <c r="AJ728">
        <f t="shared" si="41"/>
        <v>5.2339700000000003E-2</v>
      </c>
      <c r="AO728">
        <v>5.2339700000000003E-2</v>
      </c>
      <c r="AR728" s="8">
        <v>0</v>
      </c>
      <c r="AS728">
        <v>0.5195824</v>
      </c>
    </row>
    <row r="729" spans="1:45" x14ac:dyDescent="0.25">
      <c r="A729">
        <v>136</v>
      </c>
      <c r="B729">
        <v>1997</v>
      </c>
      <c r="C729" s="8">
        <v>0</v>
      </c>
      <c r="D729">
        <v>6.7547899999999994E-2</v>
      </c>
      <c r="E729">
        <v>9.3645999999999993E-2</v>
      </c>
      <c r="F729">
        <v>4.80043E-2</v>
      </c>
      <c r="G729">
        <v>4.5881819999999998</v>
      </c>
      <c r="H729">
        <v>0.1133719</v>
      </c>
      <c r="Q729" s="10">
        <f t="shared" si="42"/>
        <v>3.4411726419829359E-5</v>
      </c>
      <c r="AI729">
        <v>5.1260600000000003E-2</v>
      </c>
      <c r="AJ729">
        <f t="shared" si="41"/>
        <v>5.1260600000000003E-2</v>
      </c>
      <c r="AO729">
        <v>5.1260600000000003E-2</v>
      </c>
      <c r="AR729" s="8">
        <v>0</v>
      </c>
      <c r="AS729">
        <v>0.83324169999999997</v>
      </c>
    </row>
    <row r="730" spans="1:45" x14ac:dyDescent="0.25">
      <c r="A730">
        <v>136</v>
      </c>
      <c r="B730">
        <v>1998</v>
      </c>
      <c r="C730" s="8">
        <v>0</v>
      </c>
      <c r="D730">
        <v>5.2339700000000003E-2</v>
      </c>
      <c r="E730">
        <v>8.7768100000000002E-2</v>
      </c>
      <c r="F730">
        <v>3.1979300000000002E-2</v>
      </c>
      <c r="G730">
        <v>4.7305650000000004</v>
      </c>
      <c r="H730">
        <v>9.1883000000000006E-2</v>
      </c>
      <c r="Q730" s="10">
        <f t="shared" si="42"/>
        <v>3.0833829719324837E-5</v>
      </c>
      <c r="AI730">
        <v>2.1422900000000002E-2</v>
      </c>
      <c r="AJ730">
        <f t="shared" si="41"/>
        <v>2.1422900000000002E-2</v>
      </c>
      <c r="AO730">
        <v>2.1422900000000002E-2</v>
      </c>
      <c r="AR730" s="8">
        <v>0</v>
      </c>
      <c r="AS730">
        <v>1.3967909999999999</v>
      </c>
    </row>
    <row r="731" spans="1:45" x14ac:dyDescent="0.25">
      <c r="A731">
        <v>136</v>
      </c>
      <c r="B731">
        <v>1999</v>
      </c>
      <c r="C731" s="8">
        <v>0</v>
      </c>
      <c r="D731">
        <v>5.1260600000000003E-2</v>
      </c>
      <c r="E731">
        <v>7.0299799999999996E-2</v>
      </c>
      <c r="F731">
        <v>2.5059100000000001E-2</v>
      </c>
      <c r="G731">
        <v>4.4996090000000004</v>
      </c>
      <c r="H731">
        <v>9.1486100000000001E-2</v>
      </c>
      <c r="Q731" s="10">
        <f t="shared" si="42"/>
        <v>4.826498683812969E-5</v>
      </c>
      <c r="AI731">
        <v>2.00825E-2</v>
      </c>
      <c r="AJ731">
        <f t="shared" si="41"/>
        <v>2.00825E-2</v>
      </c>
      <c r="AO731">
        <v>2.00825E-2</v>
      </c>
      <c r="AR731" s="8">
        <v>0</v>
      </c>
      <c r="AS731">
        <v>4.5881819999999998</v>
      </c>
    </row>
    <row r="732" spans="1:45" x14ac:dyDescent="0.25">
      <c r="A732">
        <v>136</v>
      </c>
      <c r="B732">
        <v>2000</v>
      </c>
      <c r="C732" s="8">
        <v>0</v>
      </c>
      <c r="D732">
        <v>2.1422900000000002E-2</v>
      </c>
      <c r="E732">
        <v>3.75968E-2</v>
      </c>
      <c r="F732">
        <v>2.5130300000000001E-2</v>
      </c>
      <c r="G732">
        <v>1.472167</v>
      </c>
      <c r="H732">
        <v>7.40286E-2</v>
      </c>
      <c r="Q732" s="10">
        <f t="shared" si="42"/>
        <v>6.1176311608810759E-3</v>
      </c>
      <c r="AI732">
        <v>7.2087999999999996E-3</v>
      </c>
      <c r="AJ732">
        <f t="shared" si="41"/>
        <v>7.2087999999999996E-3</v>
      </c>
      <c r="AO732">
        <v>7.2087999999999996E-3</v>
      </c>
      <c r="AR732" s="8">
        <v>0</v>
      </c>
      <c r="AS732">
        <v>4.7305650000000004</v>
      </c>
    </row>
    <row r="733" spans="1:45" x14ac:dyDescent="0.25">
      <c r="A733">
        <v>136</v>
      </c>
      <c r="B733">
        <v>2001</v>
      </c>
      <c r="C733" s="8">
        <v>0</v>
      </c>
      <c r="D733">
        <v>2.00825E-2</v>
      </c>
      <c r="E733">
        <v>2.4309799999999999E-2</v>
      </c>
      <c r="F733">
        <v>4.08134E-2</v>
      </c>
      <c r="G733">
        <v>1.7446969999999999</v>
      </c>
      <c r="H733">
        <v>6.9028300000000001E-2</v>
      </c>
      <c r="Q733" s="10">
        <f t="shared" si="42"/>
        <v>3.5596365214938001E-3</v>
      </c>
      <c r="AI733">
        <v>4.6775700000000003E-2</v>
      </c>
      <c r="AJ733">
        <f t="shared" si="41"/>
        <v>4.6775700000000003E-2</v>
      </c>
      <c r="AO733">
        <v>4.6775700000000003E-2</v>
      </c>
      <c r="AR733" s="8">
        <v>0</v>
      </c>
      <c r="AS733">
        <v>4.4996090000000004</v>
      </c>
    </row>
    <row r="734" spans="1:45" x14ac:dyDescent="0.25">
      <c r="A734">
        <v>136</v>
      </c>
      <c r="B734">
        <v>2002</v>
      </c>
      <c r="C734" s="8">
        <v>0</v>
      </c>
      <c r="D734">
        <v>7.2087999999999996E-3</v>
      </c>
      <c r="E734">
        <v>-0.56635170000000001</v>
      </c>
      <c r="F734">
        <v>3.1436600000000002E-2</v>
      </c>
      <c r="G734">
        <v>1.723889</v>
      </c>
      <c r="H734">
        <v>0.12325709999999999</v>
      </c>
      <c r="Q734" s="10">
        <f t="shared" si="42"/>
        <v>9.5723335769366501E-3</v>
      </c>
      <c r="AI734">
        <v>3.6994800000000001E-2</v>
      </c>
      <c r="AJ734">
        <f t="shared" si="41"/>
        <v>3.6994800000000001E-2</v>
      </c>
      <c r="AO734">
        <v>3.6994800000000001E-2</v>
      </c>
      <c r="AR734" s="8">
        <v>0</v>
      </c>
      <c r="AS734">
        <v>1.472167</v>
      </c>
    </row>
    <row r="735" spans="1:45" x14ac:dyDescent="0.25">
      <c r="A735">
        <v>136</v>
      </c>
      <c r="B735">
        <v>2003</v>
      </c>
      <c r="C735" s="8">
        <v>0</v>
      </c>
      <c r="D735">
        <v>4.6775700000000003E-2</v>
      </c>
      <c r="E735">
        <v>-0.50364140000000002</v>
      </c>
      <c r="F735">
        <v>5.3709199999999999E-2</v>
      </c>
      <c r="G735">
        <v>2.275928</v>
      </c>
      <c r="H735">
        <v>0.1032401</v>
      </c>
      <c r="Q735" s="10">
        <f t="shared" si="42"/>
        <v>3.0659212434259921E-3</v>
      </c>
      <c r="AI735">
        <v>2.03254E-2</v>
      </c>
      <c r="AJ735">
        <f t="shared" si="41"/>
        <v>2.03254E-2</v>
      </c>
      <c r="AO735">
        <v>2.03254E-2</v>
      </c>
      <c r="AR735" s="8">
        <v>0</v>
      </c>
      <c r="AS735">
        <v>1.7446969999999999</v>
      </c>
    </row>
    <row r="736" spans="1:45" x14ac:dyDescent="0.25">
      <c r="A736">
        <v>136</v>
      </c>
      <c r="B736">
        <v>2004</v>
      </c>
      <c r="C736" s="8">
        <v>0</v>
      </c>
      <c r="D736">
        <v>3.6994800000000001E-2</v>
      </c>
      <c r="E736">
        <v>-0.96133120000000005</v>
      </c>
      <c r="F736">
        <v>4.7390300000000003E-2</v>
      </c>
      <c r="G736">
        <v>1.8588830000000001</v>
      </c>
      <c r="H736">
        <v>0.14758350000000001</v>
      </c>
      <c r="Q736" s="10">
        <f t="shared" si="42"/>
        <v>1.2367079810264347E-2</v>
      </c>
      <c r="AI736">
        <v>3.0888200000000001E-2</v>
      </c>
      <c r="AJ736">
        <f t="shared" si="41"/>
        <v>3.0888200000000001E-2</v>
      </c>
      <c r="AO736">
        <v>3.0888200000000001E-2</v>
      </c>
      <c r="AR736" s="8">
        <v>0</v>
      </c>
      <c r="AS736">
        <v>1.723889</v>
      </c>
    </row>
    <row r="737" spans="1:45" x14ac:dyDescent="0.25">
      <c r="A737">
        <v>137</v>
      </c>
      <c r="B737">
        <v>2000</v>
      </c>
      <c r="C737" s="8">
        <v>0</v>
      </c>
      <c r="D737">
        <v>2.03254E-2</v>
      </c>
      <c r="E737">
        <v>0.10561429999999999</v>
      </c>
      <c r="F737">
        <v>1.7954899999999999E-2</v>
      </c>
      <c r="G737">
        <v>0.37421349999999998</v>
      </c>
      <c r="H737">
        <v>6.7913299999999996E-2</v>
      </c>
      <c r="Q737" s="10">
        <f t="shared" si="42"/>
        <v>3.2720093701774887E-2</v>
      </c>
      <c r="AI737">
        <v>-0.86150749999999998</v>
      </c>
      <c r="AJ737">
        <f t="shared" si="41"/>
        <v>-0.113345184</v>
      </c>
      <c r="AO737">
        <v>-0.113345184</v>
      </c>
      <c r="AR737" s="8">
        <v>0</v>
      </c>
      <c r="AS737">
        <v>2.275928</v>
      </c>
    </row>
    <row r="738" spans="1:45" x14ac:dyDescent="0.25">
      <c r="A738">
        <v>137</v>
      </c>
      <c r="B738">
        <v>2001</v>
      </c>
      <c r="C738" s="8">
        <v>0</v>
      </c>
      <c r="D738">
        <v>3.0888200000000001E-2</v>
      </c>
      <c r="E738">
        <v>2.0881299999999998E-2</v>
      </c>
      <c r="F738">
        <v>1.8273399999999999E-2</v>
      </c>
      <c r="G738">
        <v>0.37029600000000001</v>
      </c>
      <c r="H738">
        <v>6.9850099999999998E-2</v>
      </c>
      <c r="Q738" s="10">
        <f t="shared" si="42"/>
        <v>3.7182618093593162E-2</v>
      </c>
      <c r="AI738">
        <v>-2.1570499999999999E-2</v>
      </c>
      <c r="AJ738">
        <f t="shared" si="41"/>
        <v>-2.1570499999999999E-2</v>
      </c>
      <c r="AO738">
        <v>-2.1570499999999999E-2</v>
      </c>
      <c r="AR738" s="8">
        <v>0</v>
      </c>
      <c r="AS738">
        <v>1.8588830000000001</v>
      </c>
    </row>
    <row r="739" spans="1:45" x14ac:dyDescent="0.25">
      <c r="A739">
        <v>137</v>
      </c>
      <c r="B739">
        <v>2002</v>
      </c>
      <c r="C739" s="8">
        <v>0</v>
      </c>
      <c r="D739">
        <v>-0.86150749999999998</v>
      </c>
      <c r="E739">
        <v>-0.68383649999999996</v>
      </c>
      <c r="F739">
        <v>4.2715099999999999E-2</v>
      </c>
      <c r="G739">
        <v>2.9757200000000001E-2</v>
      </c>
      <c r="H739">
        <v>0.13808880000000001</v>
      </c>
      <c r="Q739" s="10">
        <f t="shared" si="42"/>
        <v>9.8883455807638937E-2</v>
      </c>
      <c r="AI739">
        <v>1.7089900000000002E-2</v>
      </c>
      <c r="AJ739">
        <f t="shared" si="41"/>
        <v>1.7089900000000002E-2</v>
      </c>
      <c r="AO739">
        <v>1.7089900000000002E-2</v>
      </c>
      <c r="AR739" s="8">
        <v>0</v>
      </c>
      <c r="AS739">
        <v>0.37421349999999998</v>
      </c>
    </row>
    <row r="740" spans="1:45" x14ac:dyDescent="0.25">
      <c r="A740">
        <v>138</v>
      </c>
      <c r="B740">
        <v>1999</v>
      </c>
      <c r="C740" s="8">
        <v>0</v>
      </c>
      <c r="D740">
        <v>-2.1570499999999999E-2</v>
      </c>
      <c r="E740">
        <v>0.43233359999999998</v>
      </c>
      <c r="F740">
        <v>8.23821E-2</v>
      </c>
      <c r="G740">
        <v>4.9419170000000001</v>
      </c>
      <c r="H740">
        <v>0.3009174</v>
      </c>
      <c r="Q740" s="10">
        <f t="shared" si="42"/>
        <v>9.8410142841927771E-6</v>
      </c>
      <c r="AI740">
        <v>4.9456100000000003E-2</v>
      </c>
      <c r="AJ740">
        <f t="shared" si="41"/>
        <v>4.9456100000000003E-2</v>
      </c>
      <c r="AO740">
        <v>4.9456100000000003E-2</v>
      </c>
      <c r="AR740" s="8">
        <v>0</v>
      </c>
      <c r="AS740">
        <v>0.37029600000000001</v>
      </c>
    </row>
    <row r="741" spans="1:45" x14ac:dyDescent="0.25">
      <c r="A741">
        <v>138</v>
      </c>
      <c r="B741">
        <v>2000</v>
      </c>
      <c r="C741" s="8">
        <v>0</v>
      </c>
      <c r="D741">
        <v>1.7089900000000002E-2</v>
      </c>
      <c r="E741">
        <v>0.45219619999999999</v>
      </c>
      <c r="F741">
        <v>8.5750699999999999E-2</v>
      </c>
      <c r="G741">
        <v>4.1462729999999999</v>
      </c>
      <c r="H741">
        <v>0.29957450000000002</v>
      </c>
      <c r="Q741" s="10">
        <f t="shared" si="42"/>
        <v>3.3576649654032859E-5</v>
      </c>
      <c r="AI741">
        <v>-2.41193E-2</v>
      </c>
      <c r="AJ741">
        <f t="shared" si="41"/>
        <v>-2.41193E-2</v>
      </c>
      <c r="AO741">
        <v>-2.41193E-2</v>
      </c>
      <c r="AR741" s="8">
        <v>0</v>
      </c>
      <c r="AS741">
        <v>2.9757200000000001E-2</v>
      </c>
    </row>
    <row r="742" spans="1:45" x14ac:dyDescent="0.25">
      <c r="A742">
        <v>138</v>
      </c>
      <c r="B742">
        <v>2001</v>
      </c>
      <c r="C742" s="8">
        <v>0</v>
      </c>
      <c r="D742">
        <v>4.9456100000000003E-2</v>
      </c>
      <c r="E742">
        <v>0.50583920000000004</v>
      </c>
      <c r="F742">
        <v>8.5522200000000007E-2</v>
      </c>
      <c r="G742">
        <v>3.8542999999999998</v>
      </c>
      <c r="H742">
        <v>0.31891130000000001</v>
      </c>
      <c r="Q742" s="10">
        <f t="shared" si="42"/>
        <v>5.0821812629231179E-5</v>
      </c>
      <c r="AI742">
        <v>-0.1127436</v>
      </c>
      <c r="AJ742">
        <f t="shared" si="41"/>
        <v>-0.1127436</v>
      </c>
      <c r="AO742">
        <v>-0.1127436</v>
      </c>
      <c r="AR742" s="8">
        <v>0</v>
      </c>
      <c r="AS742">
        <v>4.9419170000000001</v>
      </c>
    </row>
    <row r="743" spans="1:45" x14ac:dyDescent="0.25">
      <c r="A743">
        <v>138</v>
      </c>
      <c r="B743">
        <v>2002</v>
      </c>
      <c r="C743" s="8">
        <v>0</v>
      </c>
      <c r="D743">
        <v>-2.41193E-2</v>
      </c>
      <c r="E743">
        <v>0.56448019999999999</v>
      </c>
      <c r="F743">
        <v>0.10790039999999999</v>
      </c>
      <c r="G743">
        <v>4.2112819999999997</v>
      </c>
      <c r="H743">
        <v>0.33049149999999999</v>
      </c>
      <c r="Q743" s="10">
        <f t="shared" si="42"/>
        <v>2.1582610862661576E-5</v>
      </c>
      <c r="AI743">
        <v>-2.45702E-2</v>
      </c>
      <c r="AJ743">
        <f t="shared" si="41"/>
        <v>-2.45702E-2</v>
      </c>
      <c r="AO743">
        <v>-2.45702E-2</v>
      </c>
      <c r="AR743" s="8">
        <v>0</v>
      </c>
      <c r="AS743">
        <v>4.1462729999999999</v>
      </c>
    </row>
    <row r="744" spans="1:45" x14ac:dyDescent="0.25">
      <c r="A744">
        <v>138</v>
      </c>
      <c r="B744">
        <v>2003</v>
      </c>
      <c r="C744" s="8">
        <v>0</v>
      </c>
      <c r="D744">
        <v>-0.1127436</v>
      </c>
      <c r="E744">
        <v>0.63415489999999997</v>
      </c>
      <c r="F744">
        <v>0.1048741</v>
      </c>
      <c r="G744">
        <v>3.8305669999999998</v>
      </c>
      <c r="H744">
        <v>0.35406989999999999</v>
      </c>
      <c r="Q744" s="10">
        <f t="shared" si="42"/>
        <v>3.5850754992448385E-5</v>
      </c>
      <c r="AI744">
        <v>2.3361699999999999E-2</v>
      </c>
      <c r="AJ744">
        <f t="shared" si="41"/>
        <v>2.3361699999999999E-2</v>
      </c>
      <c r="AO744">
        <v>2.3361699999999999E-2</v>
      </c>
      <c r="AR744" s="8">
        <v>0</v>
      </c>
      <c r="AS744">
        <v>3.8542999999999998</v>
      </c>
    </row>
    <row r="745" spans="1:45" x14ac:dyDescent="0.25">
      <c r="A745">
        <v>138</v>
      </c>
      <c r="B745">
        <v>2004</v>
      </c>
      <c r="C745" s="8">
        <v>0</v>
      </c>
      <c r="D745">
        <v>-2.45702E-2</v>
      </c>
      <c r="E745">
        <v>0.69742479999999996</v>
      </c>
      <c r="F745">
        <v>0.108793</v>
      </c>
      <c r="G745">
        <v>5.007206</v>
      </c>
      <c r="H745">
        <v>0.34561809999999998</v>
      </c>
      <c r="Q745" s="10">
        <f t="shared" si="42"/>
        <v>5.0141699418391669E-6</v>
      </c>
      <c r="AI745">
        <v>4.6860499999999999E-2</v>
      </c>
      <c r="AJ745">
        <f t="shared" si="41"/>
        <v>4.6860499999999999E-2</v>
      </c>
      <c r="AO745">
        <v>4.6860499999999999E-2</v>
      </c>
      <c r="AR745" s="8">
        <v>0</v>
      </c>
      <c r="AS745">
        <v>4.2112819999999997</v>
      </c>
    </row>
    <row r="746" spans="1:45" x14ac:dyDescent="0.25">
      <c r="A746">
        <v>139</v>
      </c>
      <c r="B746">
        <v>1999</v>
      </c>
      <c r="C746" s="8">
        <v>0</v>
      </c>
      <c r="D746">
        <v>2.3361699999999999E-2</v>
      </c>
      <c r="E746">
        <v>1.5892E-3</v>
      </c>
      <c r="F746">
        <v>3.9931700000000001E-2</v>
      </c>
      <c r="G746">
        <v>0.31618750000000001</v>
      </c>
      <c r="H746">
        <v>0.25197009999999997</v>
      </c>
      <c r="Q746" s="10">
        <f t="shared" si="42"/>
        <v>3.9043764605941562E-2</v>
      </c>
      <c r="AI746">
        <v>-2.3419200000000001E-2</v>
      </c>
      <c r="AJ746">
        <f t="shared" si="41"/>
        <v>-2.3419200000000001E-2</v>
      </c>
      <c r="AO746">
        <v>-2.3419200000000001E-2</v>
      </c>
      <c r="AR746" s="8">
        <v>0</v>
      </c>
      <c r="AS746">
        <v>3.8305669999999998</v>
      </c>
    </row>
    <row r="747" spans="1:45" x14ac:dyDescent="0.25">
      <c r="A747">
        <v>139</v>
      </c>
      <c r="B747">
        <v>2000</v>
      </c>
      <c r="C747" s="8">
        <v>0</v>
      </c>
      <c r="D747">
        <v>4.6860499999999999E-2</v>
      </c>
      <c r="E747">
        <v>2.7307999999999998E-3</v>
      </c>
      <c r="F747">
        <v>2.7642799999999999E-2</v>
      </c>
      <c r="G747">
        <v>0.25140489999999999</v>
      </c>
      <c r="H747">
        <v>0.2448166</v>
      </c>
      <c r="Q747" s="10">
        <f t="shared" si="42"/>
        <v>4.7513403677536446E-2</v>
      </c>
      <c r="AI747">
        <v>4.8809100000000001E-2</v>
      </c>
      <c r="AJ747">
        <f t="shared" si="41"/>
        <v>4.8809100000000001E-2</v>
      </c>
      <c r="AO747">
        <v>4.8809100000000001E-2</v>
      </c>
      <c r="AR747" s="8">
        <v>0</v>
      </c>
      <c r="AS747">
        <v>5.007206</v>
      </c>
    </row>
    <row r="748" spans="1:45" x14ac:dyDescent="0.25">
      <c r="A748">
        <v>139</v>
      </c>
      <c r="B748">
        <v>2001</v>
      </c>
      <c r="C748" s="8">
        <v>0</v>
      </c>
      <c r="D748">
        <v>-2.3419200000000001E-2</v>
      </c>
      <c r="E748">
        <v>-2.9196999999999999E-3</v>
      </c>
      <c r="F748">
        <v>3.1120100000000001E-2</v>
      </c>
      <c r="G748">
        <v>0.26647880000000002</v>
      </c>
      <c r="H748">
        <v>0.26194889999999998</v>
      </c>
      <c r="Q748" s="10">
        <f t="shared" si="42"/>
        <v>4.4779519712659928E-2</v>
      </c>
      <c r="AI748">
        <v>8.43357E-2</v>
      </c>
      <c r="AJ748">
        <f t="shared" si="41"/>
        <v>8.43357E-2</v>
      </c>
      <c r="AO748">
        <v>8.43357E-2</v>
      </c>
      <c r="AR748" s="8">
        <v>0</v>
      </c>
      <c r="AS748">
        <v>0.31618750000000001</v>
      </c>
    </row>
    <row r="749" spans="1:45" x14ac:dyDescent="0.25">
      <c r="A749">
        <v>139</v>
      </c>
      <c r="B749">
        <v>2002</v>
      </c>
      <c r="C749" s="8">
        <v>0</v>
      </c>
      <c r="D749">
        <v>4.8809100000000001E-2</v>
      </c>
      <c r="E749">
        <v>2.6256600000000001E-2</v>
      </c>
      <c r="F749">
        <v>3.9513600000000003E-2</v>
      </c>
      <c r="G749">
        <v>0.35741699999999998</v>
      </c>
      <c r="H749">
        <v>0.23315520000000001</v>
      </c>
      <c r="Q749" s="10">
        <f t="shared" si="42"/>
        <v>3.5482580488726267E-2</v>
      </c>
      <c r="AI749">
        <v>6.1300800000000003E-2</v>
      </c>
      <c r="AJ749">
        <f t="shared" si="41"/>
        <v>6.1300800000000003E-2</v>
      </c>
      <c r="AO749">
        <v>6.1300800000000003E-2</v>
      </c>
      <c r="AR749" s="8">
        <v>0</v>
      </c>
      <c r="AS749">
        <v>0.25140489999999999</v>
      </c>
    </row>
    <row r="750" spans="1:45" x14ac:dyDescent="0.25">
      <c r="A750">
        <v>139</v>
      </c>
      <c r="B750">
        <v>2003</v>
      </c>
      <c r="C750" s="8">
        <v>0</v>
      </c>
      <c r="D750">
        <v>8.43357E-2</v>
      </c>
      <c r="E750">
        <v>2.7949700000000001E-2</v>
      </c>
      <c r="F750">
        <v>3.9598099999999997E-2</v>
      </c>
      <c r="G750">
        <v>0.29547810000000002</v>
      </c>
      <c r="H750">
        <v>0.246201</v>
      </c>
      <c r="Q750" s="10">
        <f t="shared" si="42"/>
        <v>3.9764214436914476E-2</v>
      </c>
      <c r="AI750">
        <v>-0.13792499999999999</v>
      </c>
      <c r="AJ750">
        <f t="shared" si="41"/>
        <v>-0.113345184</v>
      </c>
      <c r="AO750">
        <v>-0.113345184</v>
      </c>
      <c r="AR750" s="8">
        <v>0</v>
      </c>
      <c r="AS750">
        <v>0.26647880000000002</v>
      </c>
    </row>
    <row r="751" spans="1:45" x14ac:dyDescent="0.25">
      <c r="A751">
        <v>139</v>
      </c>
      <c r="B751">
        <v>2004</v>
      </c>
      <c r="C751" s="8">
        <v>0</v>
      </c>
      <c r="D751">
        <v>6.1300800000000003E-2</v>
      </c>
      <c r="E751">
        <v>4.6680300000000001E-2</v>
      </c>
      <c r="F751">
        <v>4.5320399999999997E-2</v>
      </c>
      <c r="G751">
        <v>0.32235989999999998</v>
      </c>
      <c r="H751">
        <v>0.26915739999999999</v>
      </c>
      <c r="Q751" s="10">
        <f t="shared" si="42"/>
        <v>3.573013188952897E-2</v>
      </c>
      <c r="AI751">
        <v>-0.1206639</v>
      </c>
      <c r="AJ751">
        <f t="shared" si="41"/>
        <v>-0.113345184</v>
      </c>
      <c r="AO751">
        <v>-0.113345184</v>
      </c>
      <c r="AR751" s="8">
        <v>0</v>
      </c>
      <c r="AS751">
        <v>0.35741699999999998</v>
      </c>
    </row>
    <row r="752" spans="1:45" x14ac:dyDescent="0.25">
      <c r="A752">
        <v>140</v>
      </c>
      <c r="B752">
        <v>1999</v>
      </c>
      <c r="C752" s="8">
        <v>0</v>
      </c>
      <c r="D752">
        <v>-0.13792499999999999</v>
      </c>
      <c r="E752">
        <v>0.91661789999999999</v>
      </c>
      <c r="F752">
        <v>8.6003700000000002E-2</v>
      </c>
      <c r="G752">
        <v>11.919169999999999</v>
      </c>
      <c r="H752">
        <v>0.25479689999999999</v>
      </c>
      <c r="Q752" s="10">
        <f t="shared" si="42"/>
        <v>6.4925599349705146E-11</v>
      </c>
      <c r="AI752">
        <v>-3.37989E-2</v>
      </c>
      <c r="AJ752">
        <f t="shared" si="41"/>
        <v>-3.37989E-2</v>
      </c>
      <c r="AO752">
        <v>-3.37989E-2</v>
      </c>
      <c r="AR752" s="8">
        <v>0</v>
      </c>
      <c r="AS752">
        <v>0.29547810000000002</v>
      </c>
    </row>
    <row r="753" spans="1:45" x14ac:dyDescent="0.25">
      <c r="A753">
        <v>140</v>
      </c>
      <c r="B753">
        <v>2000</v>
      </c>
      <c r="C753" s="8">
        <v>0</v>
      </c>
      <c r="D753">
        <v>-0.1206639</v>
      </c>
      <c r="E753">
        <v>0.93576000000000004</v>
      </c>
      <c r="F753">
        <v>7.7886399999999995E-2</v>
      </c>
      <c r="G753">
        <v>13.14859</v>
      </c>
      <c r="H753">
        <v>0.25169439999999998</v>
      </c>
      <c r="Q753" s="10">
        <f t="shared" si="42"/>
        <v>9.548397768931351E-12</v>
      </c>
      <c r="AI753">
        <v>2.1559999999999999E-2</v>
      </c>
      <c r="AJ753">
        <f t="shared" si="41"/>
        <v>2.1559999999999999E-2</v>
      </c>
      <c r="AO753">
        <v>2.1559999999999999E-2</v>
      </c>
      <c r="AR753" s="8">
        <v>0</v>
      </c>
      <c r="AS753">
        <v>0.32235989999999998</v>
      </c>
    </row>
    <row r="754" spans="1:45" x14ac:dyDescent="0.25">
      <c r="A754">
        <v>140</v>
      </c>
      <c r="B754">
        <v>2001</v>
      </c>
      <c r="C754" s="8">
        <v>0</v>
      </c>
      <c r="D754">
        <v>-3.37989E-2</v>
      </c>
      <c r="E754">
        <v>0.95508230000000005</v>
      </c>
      <c r="F754">
        <v>8.4447700000000001E-2</v>
      </c>
      <c r="G754">
        <v>10.64119</v>
      </c>
      <c r="H754">
        <v>0.22592090000000001</v>
      </c>
      <c r="Q754" s="10">
        <f t="shared" si="42"/>
        <v>4.8862543070475014E-10</v>
      </c>
      <c r="AI754">
        <v>5.0698100000000003E-2</v>
      </c>
      <c r="AJ754">
        <f t="shared" si="41"/>
        <v>5.0698100000000003E-2</v>
      </c>
      <c r="AO754">
        <v>5.0698100000000003E-2</v>
      </c>
      <c r="AR754" s="8">
        <v>0</v>
      </c>
      <c r="AS754">
        <v>11.919169999999999</v>
      </c>
    </row>
    <row r="755" spans="1:45" x14ac:dyDescent="0.25">
      <c r="A755">
        <v>140</v>
      </c>
      <c r="B755">
        <v>2002</v>
      </c>
      <c r="C755" s="8">
        <v>0</v>
      </c>
      <c r="D755">
        <v>2.1559999999999999E-2</v>
      </c>
      <c r="E755">
        <v>0.88991399999999998</v>
      </c>
      <c r="F755">
        <v>8.1004300000000001E-2</v>
      </c>
      <c r="G755">
        <v>8.5928970000000007</v>
      </c>
      <c r="H755">
        <v>0.21841550000000001</v>
      </c>
      <c r="Q755" s="10">
        <f t="shared" si="42"/>
        <v>1.4710741492634037E-8</v>
      </c>
      <c r="AI755">
        <v>7.3733099999999996E-2</v>
      </c>
      <c r="AJ755">
        <f t="shared" si="41"/>
        <v>7.3733099999999996E-2</v>
      </c>
      <c r="AO755">
        <v>7.3733099999999996E-2</v>
      </c>
      <c r="AR755" s="8">
        <v>0</v>
      </c>
      <c r="AS755">
        <v>13.14859</v>
      </c>
    </row>
    <row r="756" spans="1:45" x14ac:dyDescent="0.25">
      <c r="A756">
        <v>140</v>
      </c>
      <c r="B756">
        <v>2003</v>
      </c>
      <c r="C756" s="8">
        <v>0</v>
      </c>
      <c r="D756">
        <v>5.0698100000000003E-2</v>
      </c>
      <c r="E756">
        <v>0.92711860000000001</v>
      </c>
      <c r="F756">
        <v>8.3668900000000004E-2</v>
      </c>
      <c r="G756">
        <v>9.4099389999999996</v>
      </c>
      <c r="H756">
        <v>0.217859</v>
      </c>
      <c r="Q756" s="10">
        <f t="shared" si="42"/>
        <v>3.7541570901866573E-9</v>
      </c>
      <c r="AI756">
        <v>0.47862719999999997</v>
      </c>
      <c r="AJ756">
        <f t="shared" si="41"/>
        <v>0.47862719999999997</v>
      </c>
      <c r="AO756">
        <v>0.47862719999999997</v>
      </c>
      <c r="AR756" s="8">
        <v>0</v>
      </c>
      <c r="AS756">
        <v>10.64119</v>
      </c>
    </row>
    <row r="757" spans="1:45" x14ac:dyDescent="0.25">
      <c r="A757">
        <v>140</v>
      </c>
      <c r="B757">
        <v>2004</v>
      </c>
      <c r="C757" s="8">
        <v>0</v>
      </c>
      <c r="D757">
        <v>7.3733099999999996E-2</v>
      </c>
      <c r="E757">
        <v>0.91873400000000005</v>
      </c>
      <c r="F757">
        <v>8.2495499999999999E-2</v>
      </c>
      <c r="G757">
        <v>6.5832990000000002</v>
      </c>
      <c r="H757">
        <v>0.2007603</v>
      </c>
      <c r="Q757" s="10">
        <f t="shared" si="42"/>
        <v>3.4650844922751414E-7</v>
      </c>
      <c r="AI757">
        <v>0.37201400000000001</v>
      </c>
      <c r="AJ757">
        <f t="shared" si="41"/>
        <v>0.37201400000000001</v>
      </c>
      <c r="AO757">
        <v>0.37201400000000001</v>
      </c>
      <c r="AR757" s="8">
        <v>0</v>
      </c>
      <c r="AS757">
        <v>8.5928970000000007</v>
      </c>
    </row>
    <row r="758" spans="1:45" x14ac:dyDescent="0.25">
      <c r="A758">
        <v>141</v>
      </c>
      <c r="B758">
        <v>1999</v>
      </c>
      <c r="C758" s="8">
        <v>0</v>
      </c>
      <c r="D758">
        <v>0.47862719999999997</v>
      </c>
      <c r="E758">
        <v>-0.94111199999999995</v>
      </c>
      <c r="F758">
        <v>-4.8169700000000003E-2</v>
      </c>
      <c r="G758">
        <v>0.38359310000000002</v>
      </c>
      <c r="H758">
        <v>9.6370800000000006E-2</v>
      </c>
      <c r="Q758" s="10">
        <f t="shared" si="42"/>
        <v>0.24177066476258433</v>
      </c>
      <c r="AI758">
        <v>4.70099E-2</v>
      </c>
      <c r="AJ758">
        <f t="shared" si="41"/>
        <v>4.70099E-2</v>
      </c>
      <c r="AO758">
        <v>4.70099E-2</v>
      </c>
      <c r="AR758" s="8">
        <v>0</v>
      </c>
      <c r="AS758">
        <v>9.4099389999999996</v>
      </c>
    </row>
    <row r="759" spans="1:45" x14ac:dyDescent="0.25">
      <c r="A759">
        <v>141</v>
      </c>
      <c r="B759">
        <v>2000</v>
      </c>
      <c r="C759" s="8">
        <v>1</v>
      </c>
      <c r="D759">
        <v>0.37201400000000001</v>
      </c>
      <c r="E759">
        <v>-1.429416</v>
      </c>
      <c r="F759">
        <v>-4.68376E-2</v>
      </c>
      <c r="G759">
        <v>0.181752</v>
      </c>
      <c r="H759">
        <v>0.10936419999999999</v>
      </c>
      <c r="Q759" s="10">
        <f t="shared" si="42"/>
        <v>0.4605515282512706</v>
      </c>
      <c r="AI759">
        <v>4.5320300000000001E-2</v>
      </c>
      <c r="AJ759">
        <f t="shared" si="41"/>
        <v>4.5320300000000001E-2</v>
      </c>
      <c r="AO759">
        <v>4.5320300000000001E-2</v>
      </c>
      <c r="AR759" s="8">
        <v>0</v>
      </c>
      <c r="AS759">
        <v>6.5832990000000002</v>
      </c>
    </row>
    <row r="760" spans="1:45" x14ac:dyDescent="0.25">
      <c r="A760">
        <v>142</v>
      </c>
      <c r="B760">
        <v>1999</v>
      </c>
      <c r="C760" s="8">
        <v>0</v>
      </c>
      <c r="D760">
        <v>4.70099E-2</v>
      </c>
      <c r="E760">
        <v>0.43959680000000001</v>
      </c>
      <c r="F760">
        <v>0.1025141</v>
      </c>
      <c r="G760">
        <v>6.808662</v>
      </c>
      <c r="H760">
        <v>0.34848210000000002</v>
      </c>
      <c r="Q760" s="10">
        <f t="shared" si="42"/>
        <v>4.4844572957574755E-7</v>
      </c>
      <c r="AI760">
        <v>3.8207199999999997E-2</v>
      </c>
      <c r="AJ760">
        <f t="shared" si="41"/>
        <v>3.8207199999999997E-2</v>
      </c>
      <c r="AO760">
        <v>3.8207199999999997E-2</v>
      </c>
      <c r="AR760" s="8">
        <v>0</v>
      </c>
      <c r="AS760">
        <v>0.38359310000000002</v>
      </c>
    </row>
    <row r="761" spans="1:45" x14ac:dyDescent="0.25">
      <c r="A761">
        <v>142</v>
      </c>
      <c r="B761">
        <v>2000</v>
      </c>
      <c r="C761" s="8">
        <v>0</v>
      </c>
      <c r="D761">
        <v>4.5320300000000001E-2</v>
      </c>
      <c r="E761">
        <v>0.54106410000000005</v>
      </c>
      <c r="F761">
        <v>0.1118334</v>
      </c>
      <c r="G761">
        <v>6.4231100000000003</v>
      </c>
      <c r="H761">
        <v>0.37408390000000002</v>
      </c>
      <c r="Q761" s="10">
        <f t="shared" si="42"/>
        <v>6.7403733392673889E-7</v>
      </c>
      <c r="AI761">
        <v>2.8593899999999998E-2</v>
      </c>
      <c r="AJ761">
        <f t="shared" si="41"/>
        <v>2.8593899999999998E-2</v>
      </c>
      <c r="AO761">
        <v>2.8593899999999998E-2</v>
      </c>
      <c r="AR761" s="8">
        <v>1</v>
      </c>
      <c r="AS761">
        <v>0.181752</v>
      </c>
    </row>
    <row r="762" spans="1:45" x14ac:dyDescent="0.25">
      <c r="A762">
        <v>142</v>
      </c>
      <c r="B762">
        <v>2001</v>
      </c>
      <c r="C762" s="8">
        <v>0</v>
      </c>
      <c r="D762">
        <v>3.8207199999999997E-2</v>
      </c>
      <c r="E762">
        <v>0.60990670000000002</v>
      </c>
      <c r="F762">
        <v>0.1035539</v>
      </c>
      <c r="G762">
        <v>5.2246699999999997</v>
      </c>
      <c r="H762">
        <v>0.35969200000000001</v>
      </c>
      <c r="Q762" s="10">
        <f t="shared" si="42"/>
        <v>4.3475682144461159E-6</v>
      </c>
      <c r="AI762">
        <v>4.1827700000000002E-2</v>
      </c>
      <c r="AJ762">
        <f t="shared" si="41"/>
        <v>4.1827700000000002E-2</v>
      </c>
      <c r="AO762">
        <v>4.1827700000000002E-2</v>
      </c>
      <c r="AR762" s="8">
        <v>0</v>
      </c>
      <c r="AS762">
        <v>6.808662</v>
      </c>
    </row>
    <row r="763" spans="1:45" x14ac:dyDescent="0.25">
      <c r="A763">
        <v>142</v>
      </c>
      <c r="B763">
        <v>2002</v>
      </c>
      <c r="C763" s="8">
        <v>0</v>
      </c>
      <c r="D763">
        <v>2.8593899999999998E-2</v>
      </c>
      <c r="E763">
        <v>0.67481729999999995</v>
      </c>
      <c r="F763">
        <v>8.4932400000000005E-2</v>
      </c>
      <c r="G763">
        <v>4.232329</v>
      </c>
      <c r="H763">
        <v>0.37933820000000001</v>
      </c>
      <c r="Q763" s="10">
        <f t="shared" si="42"/>
        <v>2.2505325439414036E-5</v>
      </c>
      <c r="AI763">
        <v>2.6225200000000001E-2</v>
      </c>
      <c r="AJ763">
        <f t="shared" si="41"/>
        <v>2.6225200000000001E-2</v>
      </c>
      <c r="AO763">
        <v>2.6225200000000001E-2</v>
      </c>
      <c r="AR763" s="8">
        <v>0</v>
      </c>
      <c r="AS763">
        <v>6.4231100000000003</v>
      </c>
    </row>
    <row r="764" spans="1:45" x14ac:dyDescent="0.25">
      <c r="A764">
        <v>142</v>
      </c>
      <c r="B764">
        <v>2003</v>
      </c>
      <c r="C764" s="8">
        <v>0</v>
      </c>
      <c r="D764">
        <v>4.1827700000000002E-2</v>
      </c>
      <c r="E764">
        <v>0.77195409999999998</v>
      </c>
      <c r="F764">
        <v>9.9979999999999999E-2</v>
      </c>
      <c r="G764">
        <v>4.1027189999999996</v>
      </c>
      <c r="H764">
        <v>0.35685670000000003</v>
      </c>
      <c r="Q764" s="10">
        <f t="shared" si="42"/>
        <v>2.1120524512937553E-5</v>
      </c>
      <c r="AI764">
        <v>-5.53868E-2</v>
      </c>
      <c r="AJ764">
        <f t="shared" si="41"/>
        <v>-5.53868E-2</v>
      </c>
      <c r="AO764">
        <v>-5.53868E-2</v>
      </c>
      <c r="AR764" s="8">
        <v>0</v>
      </c>
      <c r="AS764">
        <v>5.2246699999999997</v>
      </c>
    </row>
    <row r="765" spans="1:45" x14ac:dyDescent="0.25">
      <c r="A765">
        <v>142</v>
      </c>
      <c r="B765">
        <v>2004</v>
      </c>
      <c r="C765" s="8">
        <v>0</v>
      </c>
      <c r="D765">
        <v>2.6225200000000001E-2</v>
      </c>
      <c r="E765">
        <v>0.77475839999999996</v>
      </c>
      <c r="F765">
        <v>8.5638000000000006E-2</v>
      </c>
      <c r="G765">
        <v>3.6906059999999998</v>
      </c>
      <c r="H765">
        <v>0.36080289999999998</v>
      </c>
      <c r="Q765" s="10">
        <f t="shared" si="42"/>
        <v>4.531268203594396E-5</v>
      </c>
      <c r="AI765">
        <v>0.19186539999999999</v>
      </c>
      <c r="AJ765">
        <f t="shared" si="41"/>
        <v>0.19186539999999999</v>
      </c>
      <c r="AO765">
        <v>0.19186539999999999</v>
      </c>
      <c r="AR765" s="8">
        <v>0</v>
      </c>
      <c r="AS765">
        <v>4.232329</v>
      </c>
    </row>
    <row r="766" spans="1:45" x14ac:dyDescent="0.25">
      <c r="A766">
        <v>143</v>
      </c>
      <c r="B766">
        <v>1999</v>
      </c>
      <c r="C766" s="8">
        <v>0</v>
      </c>
      <c r="D766">
        <v>-5.53868E-2</v>
      </c>
      <c r="E766">
        <v>9.1258300000000001E-2</v>
      </c>
      <c r="F766">
        <v>7.3519699999999993E-2</v>
      </c>
      <c r="G766">
        <v>1.0695509999999999</v>
      </c>
      <c r="H766">
        <v>0.1311176</v>
      </c>
      <c r="Q766" s="10">
        <f t="shared" si="42"/>
        <v>7.3157560795883122E-3</v>
      </c>
      <c r="AI766">
        <v>6.1453099999999997E-2</v>
      </c>
      <c r="AJ766">
        <f t="shared" si="41"/>
        <v>6.1453099999999997E-2</v>
      </c>
      <c r="AO766">
        <v>6.1453099999999997E-2</v>
      </c>
      <c r="AR766" s="8">
        <v>0</v>
      </c>
      <c r="AS766">
        <v>4.1027189999999996</v>
      </c>
    </row>
    <row r="767" spans="1:45" x14ac:dyDescent="0.25">
      <c r="A767">
        <v>144</v>
      </c>
      <c r="B767">
        <v>1999</v>
      </c>
      <c r="C767" s="8">
        <v>0</v>
      </c>
      <c r="D767">
        <v>0.19186539999999999</v>
      </c>
      <c r="E767">
        <v>0.22024550000000001</v>
      </c>
      <c r="F767">
        <v>5.2483399999999999E-2</v>
      </c>
      <c r="G767">
        <v>2.0572539999999999</v>
      </c>
      <c r="H767">
        <v>9.2913700000000002E-2</v>
      </c>
      <c r="Q767" s="10">
        <f t="shared" si="42"/>
        <v>1.6181127453070076E-3</v>
      </c>
      <c r="AI767">
        <v>7.0484699999999997E-2</v>
      </c>
      <c r="AJ767">
        <f t="shared" si="41"/>
        <v>7.0484699999999997E-2</v>
      </c>
      <c r="AO767">
        <v>7.0484699999999997E-2</v>
      </c>
      <c r="AR767" s="8">
        <v>0</v>
      </c>
      <c r="AS767">
        <v>3.6906059999999998</v>
      </c>
    </row>
    <row r="768" spans="1:45" x14ac:dyDescent="0.25">
      <c r="A768">
        <v>144</v>
      </c>
      <c r="B768">
        <v>2000</v>
      </c>
      <c r="C768" s="8">
        <v>0</v>
      </c>
      <c r="D768">
        <v>6.1453099999999997E-2</v>
      </c>
      <c r="E768">
        <v>7.38182E-2</v>
      </c>
      <c r="F768">
        <v>4.0622999999999999E-2</v>
      </c>
      <c r="G768">
        <v>1.7588710000000001</v>
      </c>
      <c r="H768">
        <v>8.7929999999999994E-2</v>
      </c>
      <c r="Q768" s="10">
        <f t="shared" si="42"/>
        <v>3.3390504750720018E-3</v>
      </c>
      <c r="AI768">
        <v>-4.16908E-2</v>
      </c>
      <c r="AJ768">
        <f t="shared" si="41"/>
        <v>-4.16908E-2</v>
      </c>
      <c r="AO768">
        <v>-4.16908E-2</v>
      </c>
      <c r="AR768" s="8">
        <v>0</v>
      </c>
      <c r="AS768">
        <v>1.0695509999999999</v>
      </c>
    </row>
    <row r="769" spans="1:45" x14ac:dyDescent="0.25">
      <c r="A769">
        <v>144</v>
      </c>
      <c r="B769">
        <v>2001</v>
      </c>
      <c r="C769" s="8">
        <v>0</v>
      </c>
      <c r="D769">
        <v>7.0484699999999997E-2</v>
      </c>
      <c r="E769">
        <v>9.2808600000000005E-2</v>
      </c>
      <c r="F769">
        <v>2.1083899999999999E-2</v>
      </c>
      <c r="G769">
        <v>1.4622809999999999</v>
      </c>
      <c r="H769">
        <v>0.1028346</v>
      </c>
      <c r="Q769" s="10">
        <f t="shared" si="42"/>
        <v>6.1543746376485865E-3</v>
      </c>
      <c r="AI769">
        <v>-8.7223999999999999E-3</v>
      </c>
      <c r="AJ769">
        <f t="shared" si="41"/>
        <v>-8.7223999999999999E-3</v>
      </c>
      <c r="AO769">
        <v>-8.7223999999999999E-3</v>
      </c>
      <c r="AR769" s="8">
        <v>0</v>
      </c>
      <c r="AS769">
        <v>2.0572539999999999</v>
      </c>
    </row>
    <row r="770" spans="1:45" x14ac:dyDescent="0.25">
      <c r="A770">
        <v>144</v>
      </c>
      <c r="B770">
        <v>2002</v>
      </c>
      <c r="C770" s="8">
        <v>0</v>
      </c>
      <c r="D770">
        <v>-4.16908E-2</v>
      </c>
      <c r="E770">
        <v>4.4032799999999997E-2</v>
      </c>
      <c r="F770">
        <v>1.9464499999999999E-2</v>
      </c>
      <c r="G770">
        <v>0.73946400000000001</v>
      </c>
      <c r="H770">
        <v>5.4847300000000002E-2</v>
      </c>
      <c r="Q770" s="10">
        <f t="shared" si="42"/>
        <v>1.9362006707467037E-2</v>
      </c>
      <c r="AI770">
        <v>-2.1090000000000001E-2</v>
      </c>
      <c r="AJ770">
        <f t="shared" si="41"/>
        <v>-2.1090000000000001E-2</v>
      </c>
      <c r="AO770">
        <v>-2.1090000000000001E-2</v>
      </c>
      <c r="AR770" s="8">
        <v>0</v>
      </c>
      <c r="AS770">
        <v>1.7588710000000001</v>
      </c>
    </row>
    <row r="771" spans="1:45" x14ac:dyDescent="0.25">
      <c r="A771">
        <v>144</v>
      </c>
      <c r="B771">
        <v>2003</v>
      </c>
      <c r="C771" s="8">
        <v>0</v>
      </c>
      <c r="D771">
        <v>-8.7223999999999999E-3</v>
      </c>
      <c r="E771">
        <v>7.7627299999999996E-2</v>
      </c>
      <c r="F771">
        <v>4.53316E-2</v>
      </c>
      <c r="G771">
        <v>1.1190560000000001</v>
      </c>
      <c r="H771">
        <v>6.8281400000000006E-2</v>
      </c>
      <c r="Q771" s="10">
        <f t="shared" si="42"/>
        <v>8.4627819847978691E-3</v>
      </c>
      <c r="AI771">
        <v>0.29543550000000002</v>
      </c>
      <c r="AJ771">
        <f t="shared" si="41"/>
        <v>0.29543550000000002</v>
      </c>
      <c r="AO771">
        <v>0.29543550000000002</v>
      </c>
      <c r="AR771" s="8">
        <v>0</v>
      </c>
      <c r="AS771">
        <v>1.4622809999999999</v>
      </c>
    </row>
    <row r="772" spans="1:45" x14ac:dyDescent="0.25">
      <c r="A772">
        <v>144</v>
      </c>
      <c r="B772">
        <v>2004</v>
      </c>
      <c r="C772" s="8">
        <v>0</v>
      </c>
      <c r="D772">
        <v>-2.1090000000000001E-2</v>
      </c>
      <c r="E772">
        <v>9.2626700000000006E-2</v>
      </c>
      <c r="F772">
        <v>3.9639599999999997E-2</v>
      </c>
      <c r="G772">
        <v>1.2045589999999999</v>
      </c>
      <c r="H772">
        <v>6.7844799999999997E-2</v>
      </c>
      <c r="Q772" s="10">
        <f t="shared" si="42"/>
        <v>7.5284435584769714E-3</v>
      </c>
      <c r="AI772">
        <v>0.26754549999999999</v>
      </c>
      <c r="AJ772">
        <f t="shared" si="41"/>
        <v>0.26754549999999999</v>
      </c>
      <c r="AO772">
        <v>0.26754549999999999</v>
      </c>
      <c r="AR772" s="8">
        <v>0</v>
      </c>
      <c r="AS772">
        <v>0.73946400000000001</v>
      </c>
    </row>
    <row r="773" spans="1:45" x14ac:dyDescent="0.25">
      <c r="A773">
        <v>145</v>
      </c>
      <c r="B773">
        <v>1999</v>
      </c>
      <c r="C773" s="8">
        <v>0</v>
      </c>
      <c r="D773">
        <v>0.29543550000000002</v>
      </c>
      <c r="E773">
        <v>0.36665239999999999</v>
      </c>
      <c r="F773">
        <v>6.0622599999999999E-2</v>
      </c>
      <c r="G773">
        <v>0.68670540000000002</v>
      </c>
      <c r="H773">
        <v>0.55491869999999999</v>
      </c>
      <c r="Q773" s="10">
        <f t="shared" si="42"/>
        <v>1.4927226140251474E-2</v>
      </c>
      <c r="AI773">
        <v>0.29337570000000002</v>
      </c>
      <c r="AJ773">
        <f t="shared" ref="AJ773:AJ836" si="43">MAX(MIN(AI773,AM$5),AM$4)</f>
        <v>0.29337570000000002</v>
      </c>
      <c r="AO773">
        <v>0.29337570000000002</v>
      </c>
      <c r="AR773" s="8">
        <v>0</v>
      </c>
      <c r="AS773">
        <v>1.1190560000000001</v>
      </c>
    </row>
    <row r="774" spans="1:45" x14ac:dyDescent="0.25">
      <c r="A774">
        <v>145</v>
      </c>
      <c r="B774">
        <v>2000</v>
      </c>
      <c r="C774" s="8">
        <v>0</v>
      </c>
      <c r="D774">
        <v>0.26754549999999999</v>
      </c>
      <c r="E774">
        <v>0.39767239999999998</v>
      </c>
      <c r="F774">
        <v>5.56911E-2</v>
      </c>
      <c r="G774">
        <v>0.53442690000000004</v>
      </c>
      <c r="H774">
        <v>0.64671210000000001</v>
      </c>
      <c r="Q774" s="10">
        <f t="shared" si="42"/>
        <v>1.9701040853750046E-2</v>
      </c>
      <c r="AI774">
        <v>0.34858630000000002</v>
      </c>
      <c r="AJ774">
        <f t="shared" si="43"/>
        <v>0.34858630000000002</v>
      </c>
      <c r="AO774">
        <v>0.34858630000000002</v>
      </c>
      <c r="AR774" s="8">
        <v>0</v>
      </c>
      <c r="AS774">
        <v>1.2045589999999999</v>
      </c>
    </row>
    <row r="775" spans="1:45" x14ac:dyDescent="0.25">
      <c r="A775">
        <v>145</v>
      </c>
      <c r="B775">
        <v>2001</v>
      </c>
      <c r="C775" s="8">
        <v>0</v>
      </c>
      <c r="D775">
        <v>0.29337570000000002</v>
      </c>
      <c r="E775">
        <v>0.42135640000000002</v>
      </c>
      <c r="F775">
        <v>5.0978099999999998E-2</v>
      </c>
      <c r="G775">
        <v>0.66399739999999996</v>
      </c>
      <c r="H775">
        <v>0.63075490000000001</v>
      </c>
      <c r="Q775" s="10">
        <f t="shared" ref="Q775:Q838" si="44">1/(1+EXP(-(J$6+SUMPRODUCT(K$6:O$6,D775:H775))))</f>
        <v>1.6149394617368373E-2</v>
      </c>
      <c r="AI775">
        <v>0.3469795</v>
      </c>
      <c r="AJ775">
        <f t="shared" si="43"/>
        <v>0.3469795</v>
      </c>
      <c r="AO775">
        <v>0.3469795</v>
      </c>
      <c r="AR775" s="8">
        <v>0</v>
      </c>
      <c r="AS775">
        <v>0.68670540000000002</v>
      </c>
    </row>
    <row r="776" spans="1:45" x14ac:dyDescent="0.25">
      <c r="A776">
        <v>145</v>
      </c>
      <c r="B776">
        <v>2002</v>
      </c>
      <c r="C776" s="8">
        <v>0</v>
      </c>
      <c r="D776">
        <v>0.34858630000000002</v>
      </c>
      <c r="E776">
        <v>0.3634271</v>
      </c>
      <c r="F776">
        <v>3.3932400000000001E-2</v>
      </c>
      <c r="G776">
        <v>0.76822729999999995</v>
      </c>
      <c r="H776">
        <v>0.57524220000000004</v>
      </c>
      <c r="Q776" s="10">
        <f t="shared" si="44"/>
        <v>1.6846288341351441E-2</v>
      </c>
      <c r="AI776">
        <v>0.35668800000000001</v>
      </c>
      <c r="AJ776">
        <f t="shared" si="43"/>
        <v>0.35668800000000001</v>
      </c>
      <c r="AO776">
        <v>0.35668800000000001</v>
      </c>
      <c r="AR776" s="8">
        <v>0</v>
      </c>
      <c r="AS776">
        <v>0.53442690000000004</v>
      </c>
    </row>
    <row r="777" spans="1:45" x14ac:dyDescent="0.25">
      <c r="A777">
        <v>145</v>
      </c>
      <c r="B777">
        <v>2003</v>
      </c>
      <c r="C777" s="8">
        <v>0</v>
      </c>
      <c r="D777">
        <v>0.3469795</v>
      </c>
      <c r="E777">
        <v>0.3483928</v>
      </c>
      <c r="F777">
        <v>4.2032899999999998E-2</v>
      </c>
      <c r="G777">
        <v>0.75913019999999998</v>
      </c>
      <c r="H777">
        <v>0.65250470000000005</v>
      </c>
      <c r="Q777" s="10">
        <f t="shared" si="44"/>
        <v>1.7160106894665249E-2</v>
      </c>
      <c r="AI777">
        <v>0.11832620000000001</v>
      </c>
      <c r="AJ777">
        <f t="shared" si="43"/>
        <v>0.11832620000000001</v>
      </c>
      <c r="AO777">
        <v>0.11832620000000001</v>
      </c>
      <c r="AR777" s="8">
        <v>0</v>
      </c>
      <c r="AS777">
        <v>0.66399739999999996</v>
      </c>
    </row>
    <row r="778" spans="1:45" x14ac:dyDescent="0.25">
      <c r="A778">
        <v>145</v>
      </c>
      <c r="B778">
        <v>2004</v>
      </c>
      <c r="C778" s="8">
        <v>0</v>
      </c>
      <c r="D778">
        <v>0.35668800000000001</v>
      </c>
      <c r="E778">
        <v>0.28799400000000003</v>
      </c>
      <c r="F778">
        <v>6.6697099999999995E-2</v>
      </c>
      <c r="G778">
        <v>0.78966530000000001</v>
      </c>
      <c r="H778">
        <v>0.77336839999999996</v>
      </c>
      <c r="Q778" s="10">
        <f t="shared" si="44"/>
        <v>1.5874117312918167E-2</v>
      </c>
      <c r="AI778">
        <v>9.7781599999999996E-2</v>
      </c>
      <c r="AJ778">
        <f t="shared" si="43"/>
        <v>9.7781599999999996E-2</v>
      </c>
      <c r="AO778">
        <v>9.7781599999999996E-2</v>
      </c>
      <c r="AR778" s="8">
        <v>0</v>
      </c>
      <c r="AS778">
        <v>0.76822729999999995</v>
      </c>
    </row>
    <row r="779" spans="1:45" x14ac:dyDescent="0.25">
      <c r="A779">
        <v>146</v>
      </c>
      <c r="B779">
        <v>1999</v>
      </c>
      <c r="C779" s="8">
        <v>0</v>
      </c>
      <c r="D779">
        <v>0.11832620000000001</v>
      </c>
      <c r="E779">
        <v>0.13991690000000001</v>
      </c>
      <c r="F779">
        <v>4.4230100000000001E-2</v>
      </c>
      <c r="G779">
        <v>1.02536</v>
      </c>
      <c r="H779">
        <v>0.14114460000000001</v>
      </c>
      <c r="Q779" s="10">
        <f t="shared" si="44"/>
        <v>9.9693403429075688E-3</v>
      </c>
      <c r="AI779">
        <v>0.1714793</v>
      </c>
      <c r="AJ779">
        <f t="shared" si="43"/>
        <v>0.1714793</v>
      </c>
      <c r="AO779">
        <v>0.1714793</v>
      </c>
      <c r="AR779" s="8">
        <v>0</v>
      </c>
      <c r="AS779">
        <v>0.75913019999999998</v>
      </c>
    </row>
    <row r="780" spans="1:45" x14ac:dyDescent="0.25">
      <c r="A780">
        <v>147</v>
      </c>
      <c r="B780">
        <v>1999</v>
      </c>
      <c r="C780" s="8">
        <v>0</v>
      </c>
      <c r="D780">
        <v>9.7781599999999996E-2</v>
      </c>
      <c r="E780">
        <v>0.31746220000000003</v>
      </c>
      <c r="F780">
        <v>3.57576E-2</v>
      </c>
      <c r="G780">
        <v>3.7088450000000002</v>
      </c>
      <c r="H780">
        <v>0.39996189999999998</v>
      </c>
      <c r="Q780" s="10">
        <f t="shared" si="44"/>
        <v>1.3459451897604834E-4</v>
      </c>
      <c r="AI780">
        <v>0.13187489999999999</v>
      </c>
      <c r="AJ780">
        <f t="shared" si="43"/>
        <v>0.13187489999999999</v>
      </c>
      <c r="AO780">
        <v>0.13187489999999999</v>
      </c>
      <c r="AR780" s="8">
        <v>0</v>
      </c>
      <c r="AS780">
        <v>0.78966530000000001</v>
      </c>
    </row>
    <row r="781" spans="1:45" x14ac:dyDescent="0.25">
      <c r="A781">
        <v>147</v>
      </c>
      <c r="B781">
        <v>2000</v>
      </c>
      <c r="C781" s="8">
        <v>0</v>
      </c>
      <c r="D781">
        <v>0.1714793</v>
      </c>
      <c r="E781">
        <v>0.26693650000000002</v>
      </c>
      <c r="F781">
        <v>6.3114500000000004E-2</v>
      </c>
      <c r="G781">
        <v>2.0368580000000001</v>
      </c>
      <c r="H781">
        <v>0.49089529999999998</v>
      </c>
      <c r="Q781" s="10">
        <f t="shared" si="44"/>
        <v>1.8199742225728571E-3</v>
      </c>
      <c r="AI781">
        <v>9.3867999999999993E-2</v>
      </c>
      <c r="AJ781">
        <f t="shared" si="43"/>
        <v>9.3867999999999993E-2</v>
      </c>
      <c r="AO781">
        <v>9.3867999999999993E-2</v>
      </c>
      <c r="AR781" s="8">
        <v>0</v>
      </c>
      <c r="AS781">
        <v>1.02536</v>
      </c>
    </row>
    <row r="782" spans="1:45" x14ac:dyDescent="0.25">
      <c r="A782">
        <v>147</v>
      </c>
      <c r="B782">
        <v>2001</v>
      </c>
      <c r="C782" s="8">
        <v>0</v>
      </c>
      <c r="D782">
        <v>0.13187489999999999</v>
      </c>
      <c r="E782">
        <v>0.20613870000000001</v>
      </c>
      <c r="F782">
        <v>4.2645200000000001E-2</v>
      </c>
      <c r="G782">
        <v>1.3554550000000001</v>
      </c>
      <c r="H782">
        <v>0.39729579999999998</v>
      </c>
      <c r="Q782" s="10">
        <f t="shared" si="44"/>
        <v>6.4097004362124923E-3</v>
      </c>
      <c r="AI782">
        <v>6.7092799999999994E-2</v>
      </c>
      <c r="AJ782">
        <f t="shared" si="43"/>
        <v>6.7092799999999994E-2</v>
      </c>
      <c r="AO782">
        <v>6.7092799999999994E-2</v>
      </c>
      <c r="AR782" s="8">
        <v>0</v>
      </c>
      <c r="AS782">
        <v>3.7088450000000002</v>
      </c>
    </row>
    <row r="783" spans="1:45" x14ac:dyDescent="0.25">
      <c r="A783">
        <v>148</v>
      </c>
      <c r="B783">
        <v>1999</v>
      </c>
      <c r="C783" s="8">
        <v>0</v>
      </c>
      <c r="D783">
        <v>9.3867999999999993E-2</v>
      </c>
      <c r="E783">
        <v>0.25630429999999998</v>
      </c>
      <c r="F783">
        <v>8.3613599999999996E-2</v>
      </c>
      <c r="G783">
        <v>3.0968330000000002</v>
      </c>
      <c r="H783">
        <v>0.14666290000000001</v>
      </c>
      <c r="Q783" s="10">
        <f t="shared" si="44"/>
        <v>2.2701100089301128E-4</v>
      </c>
      <c r="AI783">
        <v>9.9807400000000004E-2</v>
      </c>
      <c r="AJ783">
        <f t="shared" si="43"/>
        <v>9.9807400000000004E-2</v>
      </c>
      <c r="AO783">
        <v>9.9807400000000004E-2</v>
      </c>
      <c r="AR783" s="8">
        <v>0</v>
      </c>
      <c r="AS783">
        <v>2.0368580000000001</v>
      </c>
    </row>
    <row r="784" spans="1:45" x14ac:dyDescent="0.25">
      <c r="A784">
        <v>148</v>
      </c>
      <c r="B784">
        <v>2000</v>
      </c>
      <c r="C784" s="8">
        <v>0</v>
      </c>
      <c r="D784">
        <v>6.7092799999999994E-2</v>
      </c>
      <c r="E784">
        <v>0.25632470000000002</v>
      </c>
      <c r="F784">
        <v>-2.6346E-3</v>
      </c>
      <c r="G784">
        <v>1.8944270000000001</v>
      </c>
      <c r="H784">
        <v>7.1788500000000005E-2</v>
      </c>
      <c r="Q784" s="10">
        <f t="shared" si="44"/>
        <v>2.8953212422772167E-3</v>
      </c>
      <c r="AI784">
        <v>7.5903799999999993E-2</v>
      </c>
      <c r="AJ784">
        <f t="shared" si="43"/>
        <v>7.5903799999999993E-2</v>
      </c>
      <c r="AO784">
        <v>7.5903799999999993E-2</v>
      </c>
      <c r="AR784" s="8">
        <v>0</v>
      </c>
      <c r="AS784">
        <v>1.3554550000000001</v>
      </c>
    </row>
    <row r="785" spans="1:45" x14ac:dyDescent="0.25">
      <c r="A785">
        <v>148</v>
      </c>
      <c r="B785">
        <v>2001</v>
      </c>
      <c r="C785" s="8">
        <v>0</v>
      </c>
      <c r="D785">
        <v>9.9807400000000004E-2</v>
      </c>
      <c r="E785">
        <v>0.1911804</v>
      </c>
      <c r="F785">
        <v>1.49698E-2</v>
      </c>
      <c r="G785">
        <v>1.6930540000000001</v>
      </c>
      <c r="H785">
        <v>9.6468700000000004E-2</v>
      </c>
      <c r="Q785" s="10">
        <f t="shared" si="44"/>
        <v>3.9185835131401725E-3</v>
      </c>
      <c r="AI785">
        <v>0.1139365</v>
      </c>
      <c r="AJ785">
        <f t="shared" si="43"/>
        <v>0.1139365</v>
      </c>
      <c r="AO785">
        <v>0.1139365</v>
      </c>
      <c r="AR785" s="8">
        <v>0</v>
      </c>
      <c r="AS785">
        <v>3.0968330000000002</v>
      </c>
    </row>
    <row r="786" spans="1:45" x14ac:dyDescent="0.25">
      <c r="A786">
        <v>148</v>
      </c>
      <c r="B786">
        <v>2002</v>
      </c>
      <c r="C786" s="8">
        <v>0</v>
      </c>
      <c r="D786">
        <v>7.5903799999999993E-2</v>
      </c>
      <c r="E786">
        <v>0.1873504</v>
      </c>
      <c r="F786">
        <v>4.0017799999999999E-2</v>
      </c>
      <c r="G786">
        <v>1.2015439999999999</v>
      </c>
      <c r="H786">
        <v>0.1097481</v>
      </c>
      <c r="Q786" s="10">
        <f t="shared" si="44"/>
        <v>7.0245219767141893E-3</v>
      </c>
      <c r="AI786">
        <v>0.16375439999999999</v>
      </c>
      <c r="AJ786">
        <f t="shared" si="43"/>
        <v>0.16375439999999999</v>
      </c>
      <c r="AO786">
        <v>0.16375439999999999</v>
      </c>
      <c r="AR786" s="8">
        <v>0</v>
      </c>
      <c r="AS786">
        <v>1.8944270000000001</v>
      </c>
    </row>
    <row r="787" spans="1:45" x14ac:dyDescent="0.25">
      <c r="A787">
        <v>148</v>
      </c>
      <c r="B787">
        <v>2003</v>
      </c>
      <c r="C787" s="8">
        <v>0</v>
      </c>
      <c r="D787">
        <v>0.1139365</v>
      </c>
      <c r="E787">
        <v>0.21111530000000001</v>
      </c>
      <c r="F787">
        <v>4.1567199999999999E-2</v>
      </c>
      <c r="G787">
        <v>2.6397810000000002</v>
      </c>
      <c r="H787">
        <v>0.1061933</v>
      </c>
      <c r="Q787" s="10">
        <f t="shared" si="44"/>
        <v>6.9101635433026535E-4</v>
      </c>
      <c r="AI787">
        <v>-2.58222E-2</v>
      </c>
      <c r="AJ787">
        <f t="shared" si="43"/>
        <v>-2.58222E-2</v>
      </c>
      <c r="AO787">
        <v>-2.58222E-2</v>
      </c>
      <c r="AR787" s="8">
        <v>0</v>
      </c>
      <c r="AS787">
        <v>1.6930540000000001</v>
      </c>
    </row>
    <row r="788" spans="1:45" x14ac:dyDescent="0.25">
      <c r="A788">
        <v>149</v>
      </c>
      <c r="B788">
        <v>1999</v>
      </c>
      <c r="C788" s="8">
        <v>0</v>
      </c>
      <c r="D788">
        <v>0.16375439999999999</v>
      </c>
      <c r="E788">
        <v>0.37028719999999998</v>
      </c>
      <c r="F788">
        <v>6.4657500000000007E-2</v>
      </c>
      <c r="G788">
        <v>4.7223680000000003</v>
      </c>
      <c r="H788">
        <v>0.47308149999999999</v>
      </c>
      <c r="Q788" s="10">
        <f t="shared" si="44"/>
        <v>2.1155661920801085E-5</v>
      </c>
      <c r="AI788">
        <v>0.1003028</v>
      </c>
      <c r="AJ788">
        <f t="shared" si="43"/>
        <v>0.1003028</v>
      </c>
      <c r="AO788">
        <v>0.1003028</v>
      </c>
      <c r="AR788" s="8">
        <v>0</v>
      </c>
      <c r="AS788">
        <v>1.2015439999999999</v>
      </c>
    </row>
    <row r="789" spans="1:45" x14ac:dyDescent="0.25">
      <c r="A789">
        <v>149</v>
      </c>
      <c r="B789">
        <v>2000</v>
      </c>
      <c r="C789" s="8">
        <v>0</v>
      </c>
      <c r="D789">
        <v>-2.58222E-2</v>
      </c>
      <c r="E789">
        <v>0.27768209999999999</v>
      </c>
      <c r="F789">
        <v>3.27753E-2</v>
      </c>
      <c r="G789">
        <v>1.1291420000000001</v>
      </c>
      <c r="H789">
        <v>0.3752316</v>
      </c>
      <c r="Q789" s="10">
        <f t="shared" si="44"/>
        <v>8.2688272792791201E-3</v>
      </c>
      <c r="AI789">
        <v>0.1310132</v>
      </c>
      <c r="AJ789">
        <f t="shared" si="43"/>
        <v>0.1310132</v>
      </c>
      <c r="AO789">
        <v>0.1310132</v>
      </c>
      <c r="AR789" s="8">
        <v>0</v>
      </c>
      <c r="AS789">
        <v>2.6397810000000002</v>
      </c>
    </row>
    <row r="790" spans="1:45" x14ac:dyDescent="0.25">
      <c r="A790">
        <v>149</v>
      </c>
      <c r="B790">
        <v>2001</v>
      </c>
      <c r="C790" s="8">
        <v>0</v>
      </c>
      <c r="D790">
        <v>0.1003028</v>
      </c>
      <c r="E790">
        <v>0.2971819</v>
      </c>
      <c r="F790">
        <v>5.3399700000000001E-2</v>
      </c>
      <c r="G790">
        <v>1.7907459999999999</v>
      </c>
      <c r="H790">
        <v>0.3775577</v>
      </c>
      <c r="Q790" s="10">
        <f t="shared" si="44"/>
        <v>2.5201598413097733E-3</v>
      </c>
      <c r="AI790">
        <v>0.17005329999999999</v>
      </c>
      <c r="AJ790">
        <f t="shared" si="43"/>
        <v>0.17005329999999999</v>
      </c>
      <c r="AO790">
        <v>0.17005329999999999</v>
      </c>
      <c r="AR790" s="8">
        <v>0</v>
      </c>
      <c r="AS790">
        <v>4.7223680000000003</v>
      </c>
    </row>
    <row r="791" spans="1:45" x14ac:dyDescent="0.25">
      <c r="A791">
        <v>149</v>
      </c>
      <c r="B791">
        <v>2002</v>
      </c>
      <c r="C791" s="8">
        <v>0</v>
      </c>
      <c r="D791">
        <v>0.1310132</v>
      </c>
      <c r="E791">
        <v>0.31918390000000002</v>
      </c>
      <c r="F791">
        <v>6.7871000000000001E-2</v>
      </c>
      <c r="G791">
        <v>1.08636</v>
      </c>
      <c r="H791">
        <v>0.3352734</v>
      </c>
      <c r="Q791" s="10">
        <f t="shared" si="44"/>
        <v>6.5636016308227851E-3</v>
      </c>
      <c r="AI791">
        <v>0.18051809999999999</v>
      </c>
      <c r="AJ791">
        <f t="shared" si="43"/>
        <v>0.18051809999999999</v>
      </c>
      <c r="AO791">
        <v>0.18051809999999999</v>
      </c>
      <c r="AR791" s="8">
        <v>0</v>
      </c>
      <c r="AS791">
        <v>1.1291420000000001</v>
      </c>
    </row>
    <row r="792" spans="1:45" x14ac:dyDescent="0.25">
      <c r="A792">
        <v>149</v>
      </c>
      <c r="B792">
        <v>2003</v>
      </c>
      <c r="C792" s="8">
        <v>0</v>
      </c>
      <c r="D792">
        <v>0.17005329999999999</v>
      </c>
      <c r="E792">
        <v>0.35495890000000002</v>
      </c>
      <c r="F792">
        <v>4.6871400000000001E-2</v>
      </c>
      <c r="G792">
        <v>1.21245</v>
      </c>
      <c r="H792">
        <v>0.32686219999999999</v>
      </c>
      <c r="Q792" s="10">
        <f t="shared" si="44"/>
        <v>6.0982167370123947E-3</v>
      </c>
      <c r="AI792">
        <v>6.17826E-2</v>
      </c>
      <c r="AJ792">
        <f t="shared" si="43"/>
        <v>6.17826E-2</v>
      </c>
      <c r="AO792">
        <v>6.17826E-2</v>
      </c>
      <c r="AR792" s="8">
        <v>0</v>
      </c>
      <c r="AS792">
        <v>1.7907459999999999</v>
      </c>
    </row>
    <row r="793" spans="1:45" x14ac:dyDescent="0.25">
      <c r="A793">
        <v>149</v>
      </c>
      <c r="B793">
        <v>2004</v>
      </c>
      <c r="C793" s="8">
        <v>0</v>
      </c>
      <c r="D793">
        <v>0.18051809999999999</v>
      </c>
      <c r="E793">
        <v>0.40359349999999999</v>
      </c>
      <c r="F793">
        <v>5.40898E-2</v>
      </c>
      <c r="G793">
        <v>1.4561839999999999</v>
      </c>
      <c r="H793">
        <v>0.34494730000000001</v>
      </c>
      <c r="Q793" s="10">
        <f t="shared" si="44"/>
        <v>3.7027607598527847E-3</v>
      </c>
      <c r="AI793">
        <v>5.1327499999999998E-2</v>
      </c>
      <c r="AJ793">
        <f t="shared" si="43"/>
        <v>5.1327499999999998E-2</v>
      </c>
      <c r="AO793">
        <v>5.1327499999999998E-2</v>
      </c>
      <c r="AR793" s="8">
        <v>0</v>
      </c>
      <c r="AS793">
        <v>1.08636</v>
      </c>
    </row>
    <row r="794" spans="1:45" x14ac:dyDescent="0.25">
      <c r="A794">
        <v>150</v>
      </c>
      <c r="B794">
        <v>1999</v>
      </c>
      <c r="C794" s="8">
        <v>0</v>
      </c>
      <c r="D794">
        <v>6.17826E-2</v>
      </c>
      <c r="E794">
        <v>0.1180987</v>
      </c>
      <c r="F794">
        <v>6.8647700000000006E-2</v>
      </c>
      <c r="G794">
        <v>1.2461580000000001</v>
      </c>
      <c r="H794">
        <v>0.53322539999999996</v>
      </c>
      <c r="Q794" s="10">
        <f t="shared" si="44"/>
        <v>7.4347459135612956E-3</v>
      </c>
      <c r="AI794">
        <v>0.18775710000000001</v>
      </c>
      <c r="AJ794">
        <f t="shared" si="43"/>
        <v>0.18775710000000001</v>
      </c>
      <c r="AO794">
        <v>0.18775710000000001</v>
      </c>
      <c r="AR794" s="8">
        <v>0</v>
      </c>
      <c r="AS794">
        <v>1.21245</v>
      </c>
    </row>
    <row r="795" spans="1:45" x14ac:dyDescent="0.25">
      <c r="A795">
        <v>150</v>
      </c>
      <c r="B795">
        <v>2000</v>
      </c>
      <c r="C795" s="8">
        <v>0</v>
      </c>
      <c r="D795">
        <v>5.1327499999999998E-2</v>
      </c>
      <c r="E795">
        <v>0.1018237</v>
      </c>
      <c r="F795">
        <v>5.2602500000000003E-2</v>
      </c>
      <c r="G795">
        <v>0.93727689999999997</v>
      </c>
      <c r="H795">
        <v>0.4051245</v>
      </c>
      <c r="Q795" s="10">
        <f t="shared" si="44"/>
        <v>1.2950243690972904E-2</v>
      </c>
      <c r="AI795">
        <v>0.17462520000000001</v>
      </c>
      <c r="AJ795">
        <f t="shared" si="43"/>
        <v>0.17462520000000001</v>
      </c>
      <c r="AO795">
        <v>0.17462520000000001</v>
      </c>
      <c r="AR795" s="8">
        <v>0</v>
      </c>
      <c r="AS795">
        <v>1.4561839999999999</v>
      </c>
    </row>
    <row r="796" spans="1:45" x14ac:dyDescent="0.25">
      <c r="A796">
        <v>150</v>
      </c>
      <c r="B796">
        <v>2002</v>
      </c>
      <c r="C796" s="8">
        <v>0</v>
      </c>
      <c r="D796">
        <v>0.18775710000000001</v>
      </c>
      <c r="E796">
        <v>0.15875059999999999</v>
      </c>
      <c r="F796">
        <v>3.6897100000000002E-2</v>
      </c>
      <c r="G796">
        <v>1.272875</v>
      </c>
      <c r="H796">
        <v>0.27828750000000002</v>
      </c>
      <c r="Q796" s="10">
        <f t="shared" si="44"/>
        <v>7.7858931419284433E-3</v>
      </c>
      <c r="AI796">
        <v>-1.8431999999999999E-3</v>
      </c>
      <c r="AJ796">
        <f t="shared" si="43"/>
        <v>-1.8431999999999999E-3</v>
      </c>
      <c r="AO796">
        <v>-1.8431999999999999E-3</v>
      </c>
      <c r="AR796" s="8">
        <v>0</v>
      </c>
      <c r="AS796">
        <v>1.2461580000000001</v>
      </c>
    </row>
    <row r="797" spans="1:45" x14ac:dyDescent="0.25">
      <c r="A797">
        <v>150</v>
      </c>
      <c r="B797">
        <v>2003</v>
      </c>
      <c r="C797" s="8">
        <v>0</v>
      </c>
      <c r="D797">
        <v>0.17462520000000001</v>
      </c>
      <c r="E797">
        <v>0.21435389999999999</v>
      </c>
      <c r="F797">
        <v>6.0322599999999997E-2</v>
      </c>
      <c r="G797">
        <v>1.611853</v>
      </c>
      <c r="H797">
        <v>0.29473120000000003</v>
      </c>
      <c r="Q797" s="10">
        <f t="shared" si="44"/>
        <v>3.5006481062439588E-3</v>
      </c>
      <c r="AI797">
        <v>6.8199999999999999E-4</v>
      </c>
      <c r="AJ797">
        <f t="shared" si="43"/>
        <v>6.8199999999999999E-4</v>
      </c>
      <c r="AO797">
        <v>6.8199999999999999E-4</v>
      </c>
      <c r="AR797" s="8">
        <v>0</v>
      </c>
      <c r="AS797">
        <v>0.93727689999999997</v>
      </c>
    </row>
    <row r="798" spans="1:45" x14ac:dyDescent="0.25">
      <c r="A798">
        <v>151</v>
      </c>
      <c r="B798">
        <v>2002</v>
      </c>
      <c r="C798" s="8">
        <v>0</v>
      </c>
      <c r="D798">
        <v>-1.8431999999999999E-3</v>
      </c>
      <c r="E798">
        <v>0.32800990000000002</v>
      </c>
      <c r="F798">
        <v>3.3257700000000001E-2</v>
      </c>
      <c r="G798">
        <v>0.78019070000000001</v>
      </c>
      <c r="H798">
        <v>0.1300288</v>
      </c>
      <c r="Q798" s="10">
        <f t="shared" si="44"/>
        <v>1.1544556653997539E-2</v>
      </c>
      <c r="AI798">
        <v>3.7843E-3</v>
      </c>
      <c r="AJ798">
        <f t="shared" si="43"/>
        <v>3.7843E-3</v>
      </c>
      <c r="AO798">
        <v>3.7843E-3</v>
      </c>
      <c r="AR798" s="8">
        <v>0</v>
      </c>
      <c r="AS798">
        <v>1.272875</v>
      </c>
    </row>
    <row r="799" spans="1:45" x14ac:dyDescent="0.25">
      <c r="A799">
        <v>151</v>
      </c>
      <c r="B799">
        <v>2003</v>
      </c>
      <c r="C799" s="8">
        <v>0</v>
      </c>
      <c r="D799">
        <v>6.8199999999999999E-4</v>
      </c>
      <c r="E799">
        <v>0.2988169</v>
      </c>
      <c r="F799">
        <v>5.7078700000000003E-2</v>
      </c>
      <c r="G799">
        <v>0.72032260000000004</v>
      </c>
      <c r="H799">
        <v>0.14201449999999999</v>
      </c>
      <c r="Q799" s="10">
        <f t="shared" si="44"/>
        <v>1.1050711664809001E-2</v>
      </c>
      <c r="AI799">
        <v>8.8183200000000003E-2</v>
      </c>
      <c r="AJ799">
        <f t="shared" si="43"/>
        <v>8.8183200000000003E-2</v>
      </c>
      <c r="AO799">
        <v>8.8183200000000003E-2</v>
      </c>
      <c r="AR799" s="8">
        <v>0</v>
      </c>
      <c r="AS799">
        <v>1.611853</v>
      </c>
    </row>
    <row r="800" spans="1:45" x14ac:dyDescent="0.25">
      <c r="A800">
        <v>151</v>
      </c>
      <c r="B800">
        <v>2004</v>
      </c>
      <c r="C800" s="8">
        <v>0</v>
      </c>
      <c r="D800">
        <v>3.7843E-3</v>
      </c>
      <c r="E800">
        <v>0.26486090000000001</v>
      </c>
      <c r="F800">
        <v>4.6356099999999997E-2</v>
      </c>
      <c r="G800">
        <v>0.7532702</v>
      </c>
      <c r="H800">
        <v>0.13036400000000001</v>
      </c>
      <c r="Q800" s="10">
        <f t="shared" si="44"/>
        <v>1.1921197093503422E-2</v>
      </c>
      <c r="AI800">
        <v>0.1254354</v>
      </c>
      <c r="AJ800">
        <f t="shared" si="43"/>
        <v>0.1254354</v>
      </c>
      <c r="AO800">
        <v>0.1254354</v>
      </c>
      <c r="AR800" s="8">
        <v>0</v>
      </c>
      <c r="AS800">
        <v>0.78019070000000001</v>
      </c>
    </row>
    <row r="801" spans="1:45" x14ac:dyDescent="0.25">
      <c r="A801">
        <v>152</v>
      </c>
      <c r="B801">
        <v>1999</v>
      </c>
      <c r="C801" s="8">
        <v>0</v>
      </c>
      <c r="D801">
        <v>8.8183200000000003E-2</v>
      </c>
      <c r="E801">
        <v>0.27482529999999999</v>
      </c>
      <c r="F801">
        <v>5.1450500000000003E-2</v>
      </c>
      <c r="G801">
        <v>0.82378130000000005</v>
      </c>
      <c r="H801">
        <v>0.48847160000000001</v>
      </c>
      <c r="Q801" s="10">
        <f t="shared" si="44"/>
        <v>1.3020192199360415E-2</v>
      </c>
      <c r="AI801">
        <v>0.176702</v>
      </c>
      <c r="AJ801">
        <f t="shared" si="43"/>
        <v>0.176702</v>
      </c>
      <c r="AO801">
        <v>0.176702</v>
      </c>
      <c r="AR801" s="8">
        <v>0</v>
      </c>
      <c r="AS801">
        <v>0.72032260000000004</v>
      </c>
    </row>
    <row r="802" spans="1:45" x14ac:dyDescent="0.25">
      <c r="A802">
        <v>152</v>
      </c>
      <c r="B802">
        <v>2000</v>
      </c>
      <c r="C802" s="8">
        <v>0</v>
      </c>
      <c r="D802">
        <v>0.1254354</v>
      </c>
      <c r="E802">
        <v>0.27792630000000002</v>
      </c>
      <c r="F802">
        <v>4.3679900000000001E-2</v>
      </c>
      <c r="G802">
        <v>0.78375939999999999</v>
      </c>
      <c r="H802">
        <v>0.46170450000000002</v>
      </c>
      <c r="Q802" s="10">
        <f t="shared" si="44"/>
        <v>1.4659885686642334E-2</v>
      </c>
      <c r="AI802">
        <v>0.1660808</v>
      </c>
      <c r="AJ802">
        <f t="shared" si="43"/>
        <v>0.1660808</v>
      </c>
      <c r="AO802">
        <v>0.1660808</v>
      </c>
      <c r="AR802" s="8">
        <v>0</v>
      </c>
      <c r="AS802">
        <v>0.7532702</v>
      </c>
    </row>
    <row r="803" spans="1:45" x14ac:dyDescent="0.25">
      <c r="A803">
        <v>152</v>
      </c>
      <c r="B803">
        <v>2001</v>
      </c>
      <c r="C803" s="8">
        <v>0</v>
      </c>
      <c r="D803">
        <v>0.176702</v>
      </c>
      <c r="E803">
        <v>0.1595393</v>
      </c>
      <c r="F803">
        <v>2.64297E-2</v>
      </c>
      <c r="G803">
        <v>0.72394639999999999</v>
      </c>
      <c r="H803">
        <v>0.40360620000000003</v>
      </c>
      <c r="Q803" s="10">
        <f t="shared" si="44"/>
        <v>2.1516329214882331E-2</v>
      </c>
      <c r="AI803">
        <v>0.21397179999999999</v>
      </c>
      <c r="AJ803">
        <f t="shared" si="43"/>
        <v>0.21397179999999999</v>
      </c>
      <c r="AO803">
        <v>0.21397179999999999</v>
      </c>
      <c r="AR803" s="8">
        <v>0</v>
      </c>
      <c r="AS803">
        <v>0.82378130000000005</v>
      </c>
    </row>
    <row r="804" spans="1:45" x14ac:dyDescent="0.25">
      <c r="A804">
        <v>152</v>
      </c>
      <c r="B804">
        <v>2002</v>
      </c>
      <c r="C804" s="8">
        <v>0</v>
      </c>
      <c r="D804">
        <v>0.1660808</v>
      </c>
      <c r="E804">
        <v>0.19451570000000001</v>
      </c>
      <c r="F804">
        <v>5.5505100000000002E-2</v>
      </c>
      <c r="G804">
        <v>0.84549890000000005</v>
      </c>
      <c r="H804">
        <v>0.49391849999999998</v>
      </c>
      <c r="Q804" s="10">
        <f t="shared" si="44"/>
        <v>1.4164334384358991E-2</v>
      </c>
      <c r="AI804">
        <v>0.34087509999999999</v>
      </c>
      <c r="AJ804">
        <f t="shared" si="43"/>
        <v>0.34087509999999999</v>
      </c>
      <c r="AO804">
        <v>0.34087509999999999</v>
      </c>
      <c r="AR804" s="8">
        <v>0</v>
      </c>
      <c r="AS804">
        <v>0.78375939999999999</v>
      </c>
    </row>
    <row r="805" spans="1:45" x14ac:dyDescent="0.25">
      <c r="A805">
        <v>152</v>
      </c>
      <c r="B805">
        <v>2003</v>
      </c>
      <c r="C805" s="8">
        <v>0</v>
      </c>
      <c r="D805">
        <v>0.21397179999999999</v>
      </c>
      <c r="E805">
        <v>0.20724329999999999</v>
      </c>
      <c r="F805">
        <v>4.77811E-2</v>
      </c>
      <c r="G805">
        <v>0.89730069999999995</v>
      </c>
      <c r="H805">
        <v>0.3303797</v>
      </c>
      <c r="Q805" s="10">
        <f t="shared" si="44"/>
        <v>1.2573164292978544E-2</v>
      </c>
      <c r="AI805">
        <v>4.3567599999999998E-2</v>
      </c>
      <c r="AJ805">
        <f t="shared" si="43"/>
        <v>4.3567599999999998E-2</v>
      </c>
      <c r="AO805">
        <v>4.3567599999999998E-2</v>
      </c>
      <c r="AR805" s="8">
        <v>0</v>
      </c>
      <c r="AS805">
        <v>0.72394639999999999</v>
      </c>
    </row>
    <row r="806" spans="1:45" x14ac:dyDescent="0.25">
      <c r="A806">
        <v>152</v>
      </c>
      <c r="B806">
        <v>2004</v>
      </c>
      <c r="C806" s="8">
        <v>0</v>
      </c>
      <c r="D806">
        <v>0.34087509999999999</v>
      </c>
      <c r="E806">
        <v>0.194938</v>
      </c>
      <c r="F806">
        <v>5.5754600000000001E-2</v>
      </c>
      <c r="G806">
        <v>1.544953</v>
      </c>
      <c r="H806">
        <v>0.4164756</v>
      </c>
      <c r="Q806" s="10">
        <f t="shared" si="44"/>
        <v>4.7940335700110302E-3</v>
      </c>
      <c r="AI806">
        <v>-4.9915500000000002E-2</v>
      </c>
      <c r="AJ806">
        <f t="shared" si="43"/>
        <v>-4.9915500000000002E-2</v>
      </c>
      <c r="AO806">
        <v>-4.9915500000000002E-2</v>
      </c>
      <c r="AR806" s="8">
        <v>0</v>
      </c>
      <c r="AS806">
        <v>0.84549890000000005</v>
      </c>
    </row>
    <row r="807" spans="1:45" x14ac:dyDescent="0.25">
      <c r="A807">
        <v>153</v>
      </c>
      <c r="B807">
        <v>1999</v>
      </c>
      <c r="C807" s="8">
        <v>0</v>
      </c>
      <c r="D807">
        <v>4.3567599999999998E-2</v>
      </c>
      <c r="E807">
        <v>0.27154260000000002</v>
      </c>
      <c r="F807">
        <v>4.64375E-2</v>
      </c>
      <c r="G807">
        <v>1.535566</v>
      </c>
      <c r="H807">
        <v>0.1785764</v>
      </c>
      <c r="Q807" s="10">
        <f t="shared" si="44"/>
        <v>3.5824884883438077E-3</v>
      </c>
      <c r="AI807">
        <v>-5.02195E-2</v>
      </c>
      <c r="AJ807">
        <f t="shared" si="43"/>
        <v>-5.02195E-2</v>
      </c>
      <c r="AO807">
        <v>-5.02195E-2</v>
      </c>
      <c r="AR807" s="8">
        <v>0</v>
      </c>
      <c r="AS807">
        <v>0.89730069999999995</v>
      </c>
    </row>
    <row r="808" spans="1:45" x14ac:dyDescent="0.25">
      <c r="A808">
        <v>154</v>
      </c>
      <c r="B808">
        <v>1995</v>
      </c>
      <c r="C808" s="8">
        <v>0</v>
      </c>
      <c r="D808">
        <v>-4.9915500000000002E-2</v>
      </c>
      <c r="E808">
        <v>-2.4221699999999999E-2</v>
      </c>
      <c r="F808">
        <v>6.1810499999999997E-2</v>
      </c>
      <c r="G808">
        <v>0.49300539999999998</v>
      </c>
      <c r="H808">
        <v>0.1711771</v>
      </c>
      <c r="Q808" s="10">
        <f t="shared" si="44"/>
        <v>2.4057974981341674E-2</v>
      </c>
      <c r="AI808">
        <v>-6.4973699999999995E-2</v>
      </c>
      <c r="AJ808">
        <f t="shared" si="43"/>
        <v>-6.4973699999999995E-2</v>
      </c>
      <c r="AO808">
        <v>-6.4973699999999995E-2</v>
      </c>
      <c r="AR808" s="8">
        <v>0</v>
      </c>
      <c r="AS808">
        <v>1.544953</v>
      </c>
    </row>
    <row r="809" spans="1:45" x14ac:dyDescent="0.25">
      <c r="A809">
        <v>154</v>
      </c>
      <c r="B809">
        <v>1996</v>
      </c>
      <c r="C809" s="8">
        <v>0</v>
      </c>
      <c r="D809">
        <v>-5.02195E-2</v>
      </c>
      <c r="E809">
        <v>-5.7494E-3</v>
      </c>
      <c r="F809">
        <v>4.5847300000000001E-2</v>
      </c>
      <c r="G809">
        <v>0.56884880000000004</v>
      </c>
      <c r="H809">
        <v>0.16718910000000001</v>
      </c>
      <c r="Q809" s="10">
        <f t="shared" si="44"/>
        <v>2.3532335387195097E-2</v>
      </c>
      <c r="AI809">
        <v>-1.2114099999999999E-2</v>
      </c>
      <c r="AJ809">
        <f t="shared" si="43"/>
        <v>-1.2114099999999999E-2</v>
      </c>
      <c r="AO809">
        <v>-1.2114099999999999E-2</v>
      </c>
      <c r="AR809" s="8">
        <v>0</v>
      </c>
      <c r="AS809">
        <v>1.535566</v>
      </c>
    </row>
    <row r="810" spans="1:45" x14ac:dyDescent="0.25">
      <c r="A810">
        <v>154</v>
      </c>
      <c r="B810">
        <v>1997</v>
      </c>
      <c r="C810" s="8">
        <v>0</v>
      </c>
      <c r="D810">
        <v>-6.4973699999999995E-2</v>
      </c>
      <c r="E810">
        <v>-9.5186000000000003E-3</v>
      </c>
      <c r="F810">
        <v>5.5564500000000003E-2</v>
      </c>
      <c r="G810">
        <v>0.65578800000000004</v>
      </c>
      <c r="H810">
        <v>0.18185809999999999</v>
      </c>
      <c r="Q810" s="10">
        <f t="shared" si="44"/>
        <v>1.9201411607079041E-2</v>
      </c>
      <c r="AI810">
        <v>-8.7417999999999992E-3</v>
      </c>
      <c r="AJ810">
        <f t="shared" si="43"/>
        <v>-8.7417999999999992E-3</v>
      </c>
      <c r="AO810">
        <v>-8.7417999999999992E-3</v>
      </c>
      <c r="AR810" s="8">
        <v>0</v>
      </c>
      <c r="AS810">
        <v>0.49300539999999998</v>
      </c>
    </row>
    <row r="811" spans="1:45" x14ac:dyDescent="0.25">
      <c r="A811">
        <v>154</v>
      </c>
      <c r="B811">
        <v>1998</v>
      </c>
      <c r="C811" s="8">
        <v>0</v>
      </c>
      <c r="D811">
        <v>-1.2114099999999999E-2</v>
      </c>
      <c r="E811">
        <v>-8.2942999999999992E-3</v>
      </c>
      <c r="F811">
        <v>3.0300500000000001E-2</v>
      </c>
      <c r="G811">
        <v>0.62368469999999998</v>
      </c>
      <c r="H811">
        <v>0.1624302</v>
      </c>
      <c r="Q811" s="10">
        <f t="shared" si="44"/>
        <v>2.4793909611564999E-2</v>
      </c>
      <c r="AI811">
        <v>-2.43752E-2</v>
      </c>
      <c r="AJ811">
        <f t="shared" si="43"/>
        <v>-2.43752E-2</v>
      </c>
      <c r="AO811">
        <v>-2.43752E-2</v>
      </c>
      <c r="AR811" s="8">
        <v>0</v>
      </c>
      <c r="AS811">
        <v>0.56884880000000004</v>
      </c>
    </row>
    <row r="812" spans="1:45" x14ac:dyDescent="0.25">
      <c r="A812">
        <v>154</v>
      </c>
      <c r="B812">
        <v>1999</v>
      </c>
      <c r="C812" s="8">
        <v>0</v>
      </c>
      <c r="D812">
        <v>-8.7417999999999992E-3</v>
      </c>
      <c r="E812">
        <v>1.8074900000000001E-2</v>
      </c>
      <c r="F812">
        <v>3.6568400000000001E-2</v>
      </c>
      <c r="G812">
        <v>0.31043730000000003</v>
      </c>
      <c r="H812">
        <v>0.14081840000000001</v>
      </c>
      <c r="Q812" s="10">
        <f t="shared" si="44"/>
        <v>3.649733448943062E-2</v>
      </c>
      <c r="AI812">
        <v>-1.30177E-2</v>
      </c>
      <c r="AJ812">
        <f t="shared" si="43"/>
        <v>-1.30177E-2</v>
      </c>
      <c r="AO812">
        <v>-1.30177E-2</v>
      </c>
      <c r="AR812" s="8">
        <v>0</v>
      </c>
      <c r="AS812">
        <v>0.65578800000000004</v>
      </c>
    </row>
    <row r="813" spans="1:45" x14ac:dyDescent="0.25">
      <c r="A813">
        <v>154</v>
      </c>
      <c r="B813">
        <v>2000</v>
      </c>
      <c r="C813" s="8">
        <v>0</v>
      </c>
      <c r="D813">
        <v>-2.43752E-2</v>
      </c>
      <c r="E813">
        <v>-2.7536000000000001E-3</v>
      </c>
      <c r="F813">
        <v>3.55882E-2</v>
      </c>
      <c r="G813">
        <v>0.32979429999999998</v>
      </c>
      <c r="H813">
        <v>0.25136639999999999</v>
      </c>
      <c r="Q813" s="10">
        <f t="shared" si="44"/>
        <v>3.9014461401314614E-2</v>
      </c>
      <c r="AI813">
        <v>2.28258E-2</v>
      </c>
      <c r="AJ813">
        <f t="shared" si="43"/>
        <v>2.28258E-2</v>
      </c>
      <c r="AO813">
        <v>2.28258E-2</v>
      </c>
      <c r="AR813" s="8">
        <v>0</v>
      </c>
      <c r="AS813">
        <v>0.62368469999999998</v>
      </c>
    </row>
    <row r="814" spans="1:45" x14ac:dyDescent="0.25">
      <c r="A814">
        <v>154</v>
      </c>
      <c r="B814">
        <v>2001</v>
      </c>
      <c r="C814" s="8">
        <v>0</v>
      </c>
      <c r="D814">
        <v>-1.30177E-2</v>
      </c>
      <c r="E814">
        <v>-5.7533300000000002E-2</v>
      </c>
      <c r="F814">
        <v>2.9693000000000001E-2</v>
      </c>
      <c r="G814">
        <v>0.2320295</v>
      </c>
      <c r="H814">
        <v>0.24044509999999999</v>
      </c>
      <c r="Q814" s="10">
        <f t="shared" si="44"/>
        <v>5.1004782138462608E-2</v>
      </c>
      <c r="AI814">
        <v>9.65728E-2</v>
      </c>
      <c r="AJ814">
        <f t="shared" si="43"/>
        <v>9.65728E-2</v>
      </c>
      <c r="AO814">
        <v>9.65728E-2</v>
      </c>
      <c r="AR814" s="8">
        <v>0</v>
      </c>
      <c r="AS814">
        <v>0.31043730000000003</v>
      </c>
    </row>
    <row r="815" spans="1:45" x14ac:dyDescent="0.25">
      <c r="A815">
        <v>154</v>
      </c>
      <c r="B815">
        <v>2002</v>
      </c>
      <c r="C815" s="8">
        <v>0</v>
      </c>
      <c r="D815">
        <v>2.28258E-2</v>
      </c>
      <c r="E815">
        <v>-0.1552153</v>
      </c>
      <c r="F815">
        <v>-1.2479499999999999E-2</v>
      </c>
      <c r="G815">
        <v>0.13682620000000001</v>
      </c>
      <c r="H815">
        <v>0.15771850000000001</v>
      </c>
      <c r="Q815" s="10">
        <f t="shared" si="44"/>
        <v>8.8764788304288383E-2</v>
      </c>
      <c r="AI815">
        <v>0.11229740000000001</v>
      </c>
      <c r="AJ815">
        <f t="shared" si="43"/>
        <v>0.11229740000000001</v>
      </c>
      <c r="AO815">
        <v>0.11229740000000001</v>
      </c>
      <c r="AR815" s="8">
        <v>0</v>
      </c>
      <c r="AS815">
        <v>0.32979429999999998</v>
      </c>
    </row>
    <row r="816" spans="1:45" x14ac:dyDescent="0.25">
      <c r="A816">
        <v>154</v>
      </c>
      <c r="B816">
        <v>2003</v>
      </c>
      <c r="C816" s="8">
        <v>0</v>
      </c>
      <c r="D816">
        <v>9.65728E-2</v>
      </c>
      <c r="E816">
        <v>-0.13058439999999999</v>
      </c>
      <c r="F816">
        <v>3.9275299999999999E-2</v>
      </c>
      <c r="G816">
        <v>0.15398909999999999</v>
      </c>
      <c r="H816">
        <v>0.1202529</v>
      </c>
      <c r="Q816" s="10">
        <f t="shared" si="44"/>
        <v>5.73986231589435E-2</v>
      </c>
      <c r="AI816">
        <v>0.23832249999999999</v>
      </c>
      <c r="AJ816">
        <f t="shared" si="43"/>
        <v>0.23832249999999999</v>
      </c>
      <c r="AO816">
        <v>0.23832249999999999</v>
      </c>
      <c r="AR816" s="8">
        <v>0</v>
      </c>
      <c r="AS816">
        <v>0.2320295</v>
      </c>
    </row>
    <row r="817" spans="1:45" x14ac:dyDescent="0.25">
      <c r="A817">
        <v>154</v>
      </c>
      <c r="B817">
        <v>2004</v>
      </c>
      <c r="C817" s="8">
        <v>0</v>
      </c>
      <c r="D817">
        <v>0.11229740000000001</v>
      </c>
      <c r="E817">
        <v>-9.8862500000000006E-2</v>
      </c>
      <c r="F817">
        <v>2.8629999999999999E-2</v>
      </c>
      <c r="G817">
        <v>0.1735197</v>
      </c>
      <c r="H817">
        <v>0.13535730000000001</v>
      </c>
      <c r="Q817" s="10">
        <f t="shared" si="44"/>
        <v>5.8698891817378675E-2</v>
      </c>
      <c r="AI817">
        <v>0.1807539</v>
      </c>
      <c r="AJ817">
        <f t="shared" si="43"/>
        <v>0.1807539</v>
      </c>
      <c r="AO817">
        <v>0.1807539</v>
      </c>
      <c r="AR817" s="8">
        <v>0</v>
      </c>
      <c r="AS817">
        <v>0.13682620000000001</v>
      </c>
    </row>
    <row r="818" spans="1:45" x14ac:dyDescent="0.25">
      <c r="A818">
        <v>155</v>
      </c>
      <c r="B818">
        <v>1999</v>
      </c>
      <c r="C818" s="8">
        <v>0</v>
      </c>
      <c r="D818">
        <v>0.23832249999999999</v>
      </c>
      <c r="E818">
        <v>0.40608100000000003</v>
      </c>
      <c r="F818">
        <v>5.85706E-2</v>
      </c>
      <c r="G818">
        <v>0.70600010000000002</v>
      </c>
      <c r="H818">
        <v>0.2910722</v>
      </c>
      <c r="Q818" s="10">
        <f t="shared" si="44"/>
        <v>1.1562354838193173E-2</v>
      </c>
      <c r="AI818">
        <v>0.1356193</v>
      </c>
      <c r="AJ818">
        <f t="shared" si="43"/>
        <v>0.1356193</v>
      </c>
      <c r="AO818">
        <v>0.1356193</v>
      </c>
      <c r="AR818" s="8">
        <v>0</v>
      </c>
      <c r="AS818">
        <v>0.15398909999999999</v>
      </c>
    </row>
    <row r="819" spans="1:45" x14ac:dyDescent="0.25">
      <c r="A819">
        <v>155</v>
      </c>
      <c r="B819">
        <v>2000</v>
      </c>
      <c r="C819" s="8">
        <v>0</v>
      </c>
      <c r="D819">
        <v>0.1807539</v>
      </c>
      <c r="E819">
        <v>0.38971709999999998</v>
      </c>
      <c r="F819">
        <v>4.5145699999999997E-2</v>
      </c>
      <c r="G819">
        <v>0.42661070000000001</v>
      </c>
      <c r="H819">
        <v>0.3190963</v>
      </c>
      <c r="Q819" s="10">
        <f t="shared" si="44"/>
        <v>2.0263813444394881E-2</v>
      </c>
      <c r="AI819">
        <v>0.1919167</v>
      </c>
      <c r="AJ819">
        <f t="shared" si="43"/>
        <v>0.1919167</v>
      </c>
      <c r="AO819">
        <v>0.1919167</v>
      </c>
      <c r="AR819" s="8">
        <v>0</v>
      </c>
      <c r="AS819">
        <v>0.1735197</v>
      </c>
    </row>
    <row r="820" spans="1:45" x14ac:dyDescent="0.25">
      <c r="A820">
        <v>155</v>
      </c>
      <c r="B820">
        <v>2001</v>
      </c>
      <c r="C820" s="8">
        <v>0</v>
      </c>
      <c r="D820">
        <v>0.1356193</v>
      </c>
      <c r="E820">
        <v>0.39585730000000002</v>
      </c>
      <c r="F820">
        <v>4.9516400000000002E-2</v>
      </c>
      <c r="G820">
        <v>0.64591270000000001</v>
      </c>
      <c r="H820">
        <v>0.30855510000000003</v>
      </c>
      <c r="Q820" s="10">
        <f t="shared" si="44"/>
        <v>1.3425928493248985E-2</v>
      </c>
      <c r="AI820">
        <v>0.2296241</v>
      </c>
      <c r="AJ820">
        <f t="shared" si="43"/>
        <v>0.2296241</v>
      </c>
      <c r="AO820">
        <v>0.2296241</v>
      </c>
      <c r="AR820" s="8">
        <v>0</v>
      </c>
      <c r="AS820">
        <v>0.70600010000000002</v>
      </c>
    </row>
    <row r="821" spans="1:45" x14ac:dyDescent="0.25">
      <c r="A821">
        <v>155</v>
      </c>
      <c r="B821">
        <v>2002</v>
      </c>
      <c r="C821" s="8">
        <v>0</v>
      </c>
      <c r="D821">
        <v>0.1919167</v>
      </c>
      <c r="E821">
        <v>0.41049239999999998</v>
      </c>
      <c r="F821">
        <v>5.36839E-2</v>
      </c>
      <c r="G821">
        <v>0.66853390000000001</v>
      </c>
      <c r="H821">
        <v>0.33638249999999997</v>
      </c>
      <c r="Q821" s="10">
        <f t="shared" si="44"/>
        <v>1.2778366895853148E-2</v>
      </c>
      <c r="AI821">
        <v>0.53121439999999998</v>
      </c>
      <c r="AJ821">
        <f t="shared" si="43"/>
        <v>0.52051970800000003</v>
      </c>
      <c r="AO821">
        <v>0.52051970800000003</v>
      </c>
      <c r="AR821" s="8">
        <v>0</v>
      </c>
      <c r="AS821">
        <v>0.42661070000000001</v>
      </c>
    </row>
    <row r="822" spans="1:45" x14ac:dyDescent="0.25">
      <c r="A822">
        <v>155</v>
      </c>
      <c r="B822">
        <v>2003</v>
      </c>
      <c r="C822" s="8">
        <v>0</v>
      </c>
      <c r="D822">
        <v>0.2296241</v>
      </c>
      <c r="E822">
        <v>0.42804389999999998</v>
      </c>
      <c r="F822">
        <v>4.16785E-2</v>
      </c>
      <c r="G822">
        <v>0.88645609999999997</v>
      </c>
      <c r="H822">
        <v>0.2124635</v>
      </c>
      <c r="Q822" s="10">
        <f t="shared" si="44"/>
        <v>9.1475617301718642E-3</v>
      </c>
      <c r="AI822">
        <v>0.2430464</v>
      </c>
      <c r="AJ822">
        <f t="shared" si="43"/>
        <v>0.2430464</v>
      </c>
      <c r="AO822">
        <v>0.2430464</v>
      </c>
      <c r="AR822" s="8">
        <v>0</v>
      </c>
      <c r="AS822">
        <v>0.64591270000000001</v>
      </c>
    </row>
    <row r="823" spans="1:45" x14ac:dyDescent="0.25">
      <c r="A823">
        <v>155</v>
      </c>
      <c r="B823">
        <v>2004</v>
      </c>
      <c r="C823" s="8">
        <v>0</v>
      </c>
      <c r="D823">
        <v>0.53121439999999998</v>
      </c>
      <c r="E823">
        <v>0.5468807</v>
      </c>
      <c r="F823">
        <v>3.3623599999999997E-2</v>
      </c>
      <c r="G823">
        <v>1.120112</v>
      </c>
      <c r="H823">
        <v>0.23181099999999999</v>
      </c>
      <c r="Q823" s="10">
        <f t="shared" si="44"/>
        <v>6.5039319650500201E-3</v>
      </c>
      <c r="AI823">
        <v>0.1613484</v>
      </c>
      <c r="AJ823">
        <f t="shared" si="43"/>
        <v>0.1613484</v>
      </c>
      <c r="AO823">
        <v>0.1613484</v>
      </c>
      <c r="AR823" s="8">
        <v>0</v>
      </c>
      <c r="AS823">
        <v>0.66853390000000001</v>
      </c>
    </row>
    <row r="824" spans="1:45" x14ac:dyDescent="0.25">
      <c r="A824">
        <v>156</v>
      </c>
      <c r="B824">
        <v>1999</v>
      </c>
      <c r="C824" s="8">
        <v>0</v>
      </c>
      <c r="D824">
        <v>0.2430464</v>
      </c>
      <c r="E824">
        <v>-0.23028380000000001</v>
      </c>
      <c r="F824">
        <v>6.6599500000000006E-2</v>
      </c>
      <c r="G824">
        <v>2.8981309999999998</v>
      </c>
      <c r="H824">
        <v>0.1867915</v>
      </c>
      <c r="Q824" s="10">
        <f t="shared" si="44"/>
        <v>7.8948370616993601E-4</v>
      </c>
      <c r="AI824">
        <v>0.25399189999999999</v>
      </c>
      <c r="AJ824">
        <f t="shared" si="43"/>
        <v>0.25399189999999999</v>
      </c>
      <c r="AO824">
        <v>0.25399189999999999</v>
      </c>
      <c r="AR824" s="8">
        <v>0</v>
      </c>
      <c r="AS824">
        <v>0.88645609999999997</v>
      </c>
    </row>
    <row r="825" spans="1:45" x14ac:dyDescent="0.25">
      <c r="A825">
        <v>156</v>
      </c>
      <c r="B825">
        <v>2000</v>
      </c>
      <c r="C825" s="8">
        <v>0</v>
      </c>
      <c r="D825">
        <v>0.1613484</v>
      </c>
      <c r="E825">
        <v>-0.11420370000000001</v>
      </c>
      <c r="F825">
        <v>6.1572799999999997E-2</v>
      </c>
      <c r="G825">
        <v>4.1519310000000003</v>
      </c>
      <c r="H825">
        <v>0.2017516</v>
      </c>
      <c r="Q825" s="10">
        <f t="shared" si="44"/>
        <v>9.191558271485505E-5</v>
      </c>
      <c r="AI825">
        <v>0.15427660000000001</v>
      </c>
      <c r="AJ825">
        <f t="shared" si="43"/>
        <v>0.15427660000000001</v>
      </c>
      <c r="AO825">
        <v>0.15427660000000001</v>
      </c>
      <c r="AR825" s="8">
        <v>0</v>
      </c>
      <c r="AS825">
        <v>1.120112</v>
      </c>
    </row>
    <row r="826" spans="1:45" x14ac:dyDescent="0.25">
      <c r="A826">
        <v>156</v>
      </c>
      <c r="B826">
        <v>2001</v>
      </c>
      <c r="C826" s="8">
        <v>0</v>
      </c>
      <c r="D826">
        <v>0.25399189999999999</v>
      </c>
      <c r="E826">
        <v>-2.0075000000000002E-3</v>
      </c>
      <c r="F826">
        <v>7.5248499999999996E-2</v>
      </c>
      <c r="G826">
        <v>5.2009550000000004</v>
      </c>
      <c r="H826">
        <v>0.21131369999999999</v>
      </c>
      <c r="Q826" s="10">
        <f t="shared" si="44"/>
        <v>1.3749721882925996E-5</v>
      </c>
      <c r="AI826">
        <v>0.24671180000000001</v>
      </c>
      <c r="AJ826">
        <f t="shared" si="43"/>
        <v>0.24671180000000001</v>
      </c>
      <c r="AO826">
        <v>0.24671180000000001</v>
      </c>
      <c r="AR826" s="8">
        <v>0</v>
      </c>
      <c r="AS826">
        <v>2.8981309999999998</v>
      </c>
    </row>
    <row r="827" spans="1:45" x14ac:dyDescent="0.25">
      <c r="A827">
        <v>156</v>
      </c>
      <c r="B827">
        <v>2002</v>
      </c>
      <c r="C827" s="8">
        <v>0</v>
      </c>
      <c r="D827">
        <v>0.15427660000000001</v>
      </c>
      <c r="E827">
        <v>8.9819700000000002E-2</v>
      </c>
      <c r="F827">
        <v>7.3549699999999996E-2</v>
      </c>
      <c r="G827">
        <v>3.1535679999999999</v>
      </c>
      <c r="H827">
        <v>0.20387669999999999</v>
      </c>
      <c r="Q827" s="10">
        <f t="shared" si="44"/>
        <v>3.0416553134476963E-4</v>
      </c>
      <c r="AI827">
        <v>0.26290000000000002</v>
      </c>
      <c r="AJ827">
        <f t="shared" si="43"/>
        <v>0.26290000000000002</v>
      </c>
      <c r="AO827">
        <v>0.26290000000000002</v>
      </c>
      <c r="AR827" s="8">
        <v>0</v>
      </c>
      <c r="AS827">
        <v>4.1519310000000003</v>
      </c>
    </row>
    <row r="828" spans="1:45" x14ac:dyDescent="0.25">
      <c r="A828">
        <v>156</v>
      </c>
      <c r="B828">
        <v>2003</v>
      </c>
      <c r="C828" s="8">
        <v>0</v>
      </c>
      <c r="D828">
        <v>0.24671180000000001</v>
      </c>
      <c r="E828">
        <v>0.19491559999999999</v>
      </c>
      <c r="F828">
        <v>7.5855000000000006E-2</v>
      </c>
      <c r="G828">
        <v>4.855766</v>
      </c>
      <c r="H828">
        <v>0.19136909999999999</v>
      </c>
      <c r="Q828" s="10">
        <f t="shared" si="44"/>
        <v>1.7541112310191963E-5</v>
      </c>
      <c r="AI828">
        <v>0.18014450000000001</v>
      </c>
      <c r="AJ828">
        <f t="shared" si="43"/>
        <v>0.18014450000000001</v>
      </c>
      <c r="AO828">
        <v>0.18014450000000001</v>
      </c>
      <c r="AR828" s="8">
        <v>0</v>
      </c>
      <c r="AS828">
        <v>5.2009550000000004</v>
      </c>
    </row>
    <row r="829" spans="1:45" x14ac:dyDescent="0.25">
      <c r="A829">
        <v>156</v>
      </c>
      <c r="B829">
        <v>2004</v>
      </c>
      <c r="C829" s="8">
        <v>0</v>
      </c>
      <c r="D829">
        <v>0.26290000000000002</v>
      </c>
      <c r="E829">
        <v>0.30000080000000001</v>
      </c>
      <c r="F829">
        <v>6.9085499999999994E-2</v>
      </c>
      <c r="G829">
        <v>8.6412289999999992</v>
      </c>
      <c r="H829">
        <v>0.20243259999999999</v>
      </c>
      <c r="Q829" s="10">
        <f t="shared" si="44"/>
        <v>3.8657717193832889E-8</v>
      </c>
      <c r="AI829">
        <v>0.11212419999999999</v>
      </c>
      <c r="AJ829">
        <f t="shared" si="43"/>
        <v>0.11212419999999999</v>
      </c>
      <c r="AO829">
        <v>0.11212419999999999</v>
      </c>
      <c r="AR829" s="8">
        <v>0</v>
      </c>
      <c r="AS829">
        <v>3.1535679999999999</v>
      </c>
    </row>
    <row r="830" spans="1:45" x14ac:dyDescent="0.25">
      <c r="A830">
        <v>157</v>
      </c>
      <c r="B830">
        <v>1999</v>
      </c>
      <c r="C830" s="8">
        <v>0</v>
      </c>
      <c r="D830">
        <v>0.18014450000000001</v>
      </c>
      <c r="E830">
        <v>0.56217309999999998</v>
      </c>
      <c r="F830">
        <v>2.7098400000000002E-2</v>
      </c>
      <c r="G830">
        <v>2.6848350000000001</v>
      </c>
      <c r="H830">
        <v>0.34190910000000002</v>
      </c>
      <c r="Q830" s="10">
        <f t="shared" si="44"/>
        <v>5.1560805460741438E-4</v>
      </c>
      <c r="AI830">
        <v>7.0382600000000003E-2</v>
      </c>
      <c r="AJ830">
        <f t="shared" si="43"/>
        <v>7.0382600000000003E-2</v>
      </c>
      <c r="AO830">
        <v>7.0382600000000003E-2</v>
      </c>
      <c r="AR830" s="8">
        <v>0</v>
      </c>
      <c r="AS830">
        <v>4.855766</v>
      </c>
    </row>
    <row r="831" spans="1:45" x14ac:dyDescent="0.25">
      <c r="A831">
        <v>157</v>
      </c>
      <c r="B831">
        <v>2000</v>
      </c>
      <c r="C831" s="8">
        <v>0</v>
      </c>
      <c r="D831">
        <v>0.11212419999999999</v>
      </c>
      <c r="E831">
        <v>0.5820149</v>
      </c>
      <c r="F831">
        <v>4.8610500000000001E-2</v>
      </c>
      <c r="G831">
        <v>4.1252700000000004</v>
      </c>
      <c r="H831">
        <v>0.39169589999999999</v>
      </c>
      <c r="Q831" s="10">
        <f t="shared" si="44"/>
        <v>4.2610082174668221E-5</v>
      </c>
      <c r="AI831">
        <v>7.4827000000000001E-3</v>
      </c>
      <c r="AJ831">
        <f t="shared" si="43"/>
        <v>7.4827000000000001E-3</v>
      </c>
      <c r="AO831">
        <v>7.4827000000000001E-3</v>
      </c>
      <c r="AR831" s="8">
        <v>0</v>
      </c>
      <c r="AS831">
        <v>8.6412289999999992</v>
      </c>
    </row>
    <row r="832" spans="1:45" x14ac:dyDescent="0.25">
      <c r="A832">
        <v>157</v>
      </c>
      <c r="B832">
        <v>2001</v>
      </c>
      <c r="C832" s="8">
        <v>0</v>
      </c>
      <c r="D832">
        <v>7.0382600000000003E-2</v>
      </c>
      <c r="E832">
        <v>0.56490759999999995</v>
      </c>
      <c r="F832">
        <v>4.81713E-2</v>
      </c>
      <c r="G832">
        <v>2.3772669999999998</v>
      </c>
      <c r="H832">
        <v>0.35237590000000002</v>
      </c>
      <c r="Q832" s="10">
        <f t="shared" si="44"/>
        <v>6.8114979474470736E-4</v>
      </c>
      <c r="AI832">
        <v>1.7457400000000001E-2</v>
      </c>
      <c r="AJ832">
        <f t="shared" si="43"/>
        <v>1.7457400000000001E-2</v>
      </c>
      <c r="AO832">
        <v>1.7457400000000001E-2</v>
      </c>
      <c r="AR832" s="8">
        <v>0</v>
      </c>
      <c r="AS832">
        <v>2.6848350000000001</v>
      </c>
    </row>
    <row r="833" spans="1:45" x14ac:dyDescent="0.25">
      <c r="A833">
        <v>157</v>
      </c>
      <c r="B833">
        <v>2002</v>
      </c>
      <c r="C833" s="8">
        <v>0</v>
      </c>
      <c r="D833">
        <v>7.4827000000000001E-3</v>
      </c>
      <c r="E833">
        <v>0.25264920000000002</v>
      </c>
      <c r="F833">
        <v>4.2210200000000003E-2</v>
      </c>
      <c r="G833">
        <v>0.67355330000000002</v>
      </c>
      <c r="H833">
        <v>0.26256119999999999</v>
      </c>
      <c r="Q833" s="10">
        <f t="shared" si="44"/>
        <v>1.5427883302256402E-2</v>
      </c>
      <c r="AI833">
        <v>5.6776300000000002E-2</v>
      </c>
      <c r="AJ833">
        <f t="shared" si="43"/>
        <v>5.6776300000000002E-2</v>
      </c>
      <c r="AO833">
        <v>5.6776300000000002E-2</v>
      </c>
      <c r="AR833" s="8">
        <v>0</v>
      </c>
      <c r="AS833">
        <v>4.1252700000000004</v>
      </c>
    </row>
    <row r="834" spans="1:45" x14ac:dyDescent="0.25">
      <c r="A834">
        <v>157</v>
      </c>
      <c r="B834">
        <v>2003</v>
      </c>
      <c r="C834" s="8">
        <v>0</v>
      </c>
      <c r="D834">
        <v>1.7457400000000001E-2</v>
      </c>
      <c r="E834">
        <v>0.30407899999999999</v>
      </c>
      <c r="F834">
        <v>4.2632700000000003E-2</v>
      </c>
      <c r="G834">
        <v>0.64459379999999999</v>
      </c>
      <c r="H834">
        <v>0.2551388</v>
      </c>
      <c r="Q834" s="10">
        <f t="shared" si="44"/>
        <v>1.494225833105485E-2</v>
      </c>
      <c r="AI834">
        <v>9.2355699999999999E-2</v>
      </c>
      <c r="AJ834">
        <f t="shared" si="43"/>
        <v>9.2355699999999999E-2</v>
      </c>
      <c r="AO834">
        <v>9.2355699999999999E-2</v>
      </c>
      <c r="AR834" s="8">
        <v>0</v>
      </c>
      <c r="AS834">
        <v>2.3772669999999998</v>
      </c>
    </row>
    <row r="835" spans="1:45" x14ac:dyDescent="0.25">
      <c r="A835">
        <v>157</v>
      </c>
      <c r="B835">
        <v>2004</v>
      </c>
      <c r="C835" s="8">
        <v>0</v>
      </c>
      <c r="D835">
        <v>5.6776300000000002E-2</v>
      </c>
      <c r="E835">
        <v>0.35713089999999997</v>
      </c>
      <c r="F835">
        <v>5.8945299999999999E-2</v>
      </c>
      <c r="G835">
        <v>0.92668159999999999</v>
      </c>
      <c r="H835">
        <v>0.26095449999999998</v>
      </c>
      <c r="Q835" s="10">
        <f t="shared" si="44"/>
        <v>7.9565864319330725E-3</v>
      </c>
      <c r="AI835">
        <v>0.16731219999999999</v>
      </c>
      <c r="AJ835">
        <f t="shared" si="43"/>
        <v>0.16731219999999999</v>
      </c>
      <c r="AO835">
        <v>0.16731219999999999</v>
      </c>
      <c r="AR835" s="8">
        <v>0</v>
      </c>
      <c r="AS835">
        <v>0.67355330000000002</v>
      </c>
    </row>
    <row r="836" spans="1:45" x14ac:dyDescent="0.25">
      <c r="A836">
        <v>158</v>
      </c>
      <c r="B836">
        <v>1999</v>
      </c>
      <c r="C836" s="8">
        <v>0</v>
      </c>
      <c r="D836">
        <v>9.2355699999999999E-2</v>
      </c>
      <c r="E836">
        <v>0.3088921</v>
      </c>
      <c r="F836">
        <v>5.5200100000000002E-2</v>
      </c>
      <c r="G836">
        <v>7.8221319999999999</v>
      </c>
      <c r="H836">
        <v>0.22692519999999999</v>
      </c>
      <c r="Q836" s="10">
        <f t="shared" si="44"/>
        <v>1.488147996056097E-7</v>
      </c>
      <c r="AI836">
        <v>0.1976454</v>
      </c>
      <c r="AJ836">
        <f t="shared" si="43"/>
        <v>0.1976454</v>
      </c>
      <c r="AO836">
        <v>0.1976454</v>
      </c>
      <c r="AR836" s="8">
        <v>0</v>
      </c>
      <c r="AS836">
        <v>0.64459379999999999</v>
      </c>
    </row>
    <row r="837" spans="1:45" x14ac:dyDescent="0.25">
      <c r="A837">
        <v>158</v>
      </c>
      <c r="B837">
        <v>2000</v>
      </c>
      <c r="C837" s="8">
        <v>0</v>
      </c>
      <c r="D837">
        <v>0.16731219999999999</v>
      </c>
      <c r="E837">
        <v>0.15179480000000001</v>
      </c>
      <c r="F837">
        <v>5.534E-2</v>
      </c>
      <c r="G837">
        <v>6.807137</v>
      </c>
      <c r="H837">
        <v>0.13054740000000001</v>
      </c>
      <c r="Q837" s="10">
        <f t="shared" si="44"/>
        <v>9.1491377255225987E-7</v>
      </c>
      <c r="AI837">
        <v>0.21896560000000001</v>
      </c>
      <c r="AJ837">
        <f t="shared" ref="AJ837:AJ900" si="45">MAX(MIN(AI837,AM$5),AM$4)</f>
        <v>0.21896560000000001</v>
      </c>
      <c r="AO837">
        <v>0.21896560000000001</v>
      </c>
      <c r="AR837" s="8">
        <v>0</v>
      </c>
      <c r="AS837">
        <v>0.92668159999999999</v>
      </c>
    </row>
    <row r="838" spans="1:45" x14ac:dyDescent="0.25">
      <c r="A838">
        <v>158</v>
      </c>
      <c r="B838">
        <v>2001</v>
      </c>
      <c r="C838" s="8">
        <v>0</v>
      </c>
      <c r="D838">
        <v>0.1976454</v>
      </c>
      <c r="E838">
        <v>-0.26703690000000002</v>
      </c>
      <c r="F838">
        <v>-3.9538999999999998E-3</v>
      </c>
      <c r="G838">
        <v>1.1752229999999999</v>
      </c>
      <c r="H838">
        <v>0.110239</v>
      </c>
      <c r="Q838" s="10">
        <f t="shared" si="44"/>
        <v>2.0914427282922709E-2</v>
      </c>
      <c r="AI838">
        <v>0.13242689999999999</v>
      </c>
      <c r="AJ838">
        <f t="shared" si="45"/>
        <v>0.13242689999999999</v>
      </c>
      <c r="AO838">
        <v>0.13242689999999999</v>
      </c>
      <c r="AR838" s="8">
        <v>0</v>
      </c>
      <c r="AS838">
        <v>7.8221319999999999</v>
      </c>
    </row>
    <row r="839" spans="1:45" x14ac:dyDescent="0.25">
      <c r="A839">
        <v>158</v>
      </c>
      <c r="B839">
        <v>2002</v>
      </c>
      <c r="C839" s="8">
        <v>0</v>
      </c>
      <c r="D839">
        <v>0.21896560000000001</v>
      </c>
      <c r="E839">
        <v>-0.42107929999999999</v>
      </c>
      <c r="F839">
        <v>8.3829999999999998E-3</v>
      </c>
      <c r="G839">
        <v>0.57326509999999997</v>
      </c>
      <c r="H839">
        <v>9.4755699999999998E-2</v>
      </c>
      <c r="Q839" s="10">
        <f t="shared" ref="Q839:Q902" si="46">1/(1+EXP(-(J$6+SUMPRODUCT(K$6:O$6,D839:H839))))</f>
        <v>5.9392034182218986E-2</v>
      </c>
      <c r="AI839">
        <v>0.124177</v>
      </c>
      <c r="AJ839">
        <f t="shared" si="45"/>
        <v>0.124177</v>
      </c>
      <c r="AO839">
        <v>0.124177</v>
      </c>
      <c r="AR839" s="8">
        <v>0</v>
      </c>
      <c r="AS839">
        <v>6.807137</v>
      </c>
    </row>
    <row r="840" spans="1:45" x14ac:dyDescent="0.25">
      <c r="A840">
        <v>158</v>
      </c>
      <c r="B840">
        <v>2003</v>
      </c>
      <c r="C840" s="8">
        <v>0</v>
      </c>
      <c r="D840">
        <v>0.13242689999999999</v>
      </c>
      <c r="E840">
        <v>-0.45475779999999999</v>
      </c>
      <c r="F840">
        <v>4.8377000000000003E-2</v>
      </c>
      <c r="G840">
        <v>2.6476069999999998</v>
      </c>
      <c r="H840">
        <v>0.1075334</v>
      </c>
      <c r="Q840" s="10">
        <f t="shared" si="46"/>
        <v>1.7145078350928591E-3</v>
      </c>
      <c r="AI840">
        <v>-3.2628400000000002E-2</v>
      </c>
      <c r="AJ840">
        <f t="shared" si="45"/>
        <v>-3.2628400000000002E-2</v>
      </c>
      <c r="AO840">
        <v>-3.2628400000000002E-2</v>
      </c>
      <c r="AR840" s="8">
        <v>0</v>
      </c>
      <c r="AS840">
        <v>1.1752229999999999</v>
      </c>
    </row>
    <row r="841" spans="1:45" x14ac:dyDescent="0.25">
      <c r="A841">
        <v>158</v>
      </c>
      <c r="B841">
        <v>2004</v>
      </c>
      <c r="C841" s="8">
        <v>0</v>
      </c>
      <c r="D841">
        <v>0.124177</v>
      </c>
      <c r="E841">
        <v>-0.71751759999999998</v>
      </c>
      <c r="F841">
        <v>3.6189600000000002E-2</v>
      </c>
      <c r="G841">
        <v>2.8343639999999999</v>
      </c>
      <c r="H841">
        <v>0.13527790000000001</v>
      </c>
      <c r="Q841" s="10">
        <f t="shared" si="46"/>
        <v>2.0843596359441437E-3</v>
      </c>
      <c r="AI841">
        <v>-2.13536E-2</v>
      </c>
      <c r="AJ841">
        <f t="shared" si="45"/>
        <v>-2.13536E-2</v>
      </c>
      <c r="AO841">
        <v>-2.13536E-2</v>
      </c>
      <c r="AR841" s="8">
        <v>0</v>
      </c>
      <c r="AS841">
        <v>0.57326509999999997</v>
      </c>
    </row>
    <row r="842" spans="1:45" x14ac:dyDescent="0.25">
      <c r="A842">
        <v>159</v>
      </c>
      <c r="B842">
        <v>2002</v>
      </c>
      <c r="C842" s="8">
        <v>0</v>
      </c>
      <c r="D842">
        <v>-3.2628400000000002E-2</v>
      </c>
      <c r="E842">
        <v>0.65311889999999995</v>
      </c>
      <c r="F842">
        <v>6.2147899999999999E-2</v>
      </c>
      <c r="G842">
        <v>3.3057989999999999</v>
      </c>
      <c r="H842">
        <v>0.46668470000000001</v>
      </c>
      <c r="Q842" s="10">
        <f t="shared" si="46"/>
        <v>1.2555281754613338E-4</v>
      </c>
      <c r="AI842">
        <v>-3.6289999999999998E-4</v>
      </c>
      <c r="AJ842">
        <f t="shared" si="45"/>
        <v>-3.6289999999999998E-4</v>
      </c>
      <c r="AO842">
        <v>-3.6289999999999998E-4</v>
      </c>
      <c r="AR842" s="8">
        <v>0</v>
      </c>
      <c r="AS842">
        <v>2.6476069999999998</v>
      </c>
    </row>
    <row r="843" spans="1:45" x14ac:dyDescent="0.25">
      <c r="A843">
        <v>159</v>
      </c>
      <c r="B843">
        <v>2003</v>
      </c>
      <c r="C843" s="8">
        <v>0</v>
      </c>
      <c r="D843">
        <v>-2.13536E-2</v>
      </c>
      <c r="E843">
        <v>0.62438830000000001</v>
      </c>
      <c r="F843">
        <v>8.0568000000000001E-2</v>
      </c>
      <c r="G843">
        <v>3.2201409999999999</v>
      </c>
      <c r="H843">
        <v>0.46542040000000001</v>
      </c>
      <c r="Q843" s="10">
        <f t="shared" si="46"/>
        <v>1.3000153761089678E-4</v>
      </c>
      <c r="AI843">
        <v>0.25902120000000001</v>
      </c>
      <c r="AJ843">
        <f t="shared" si="45"/>
        <v>0.25902120000000001</v>
      </c>
      <c r="AO843">
        <v>0.25902120000000001</v>
      </c>
      <c r="AR843" s="8">
        <v>0</v>
      </c>
      <c r="AS843">
        <v>2.8343639999999999</v>
      </c>
    </row>
    <row r="844" spans="1:45" x14ac:dyDescent="0.25">
      <c r="A844">
        <v>159</v>
      </c>
      <c r="B844">
        <v>2004</v>
      </c>
      <c r="C844" s="8">
        <v>0</v>
      </c>
      <c r="D844">
        <v>-3.6289999999999998E-4</v>
      </c>
      <c r="E844">
        <v>0.6416115</v>
      </c>
      <c r="F844">
        <v>8.21963E-2</v>
      </c>
      <c r="G844">
        <v>2.909751</v>
      </c>
      <c r="H844">
        <v>0.45115509999999998</v>
      </c>
      <c r="Q844" s="10">
        <f t="shared" si="46"/>
        <v>2.0518191060098565E-4</v>
      </c>
      <c r="AI844">
        <v>0.25930429999999999</v>
      </c>
      <c r="AJ844">
        <f t="shared" si="45"/>
        <v>0.25930429999999999</v>
      </c>
      <c r="AO844">
        <v>0.25930429999999999</v>
      </c>
      <c r="AR844" s="8">
        <v>0</v>
      </c>
      <c r="AS844">
        <v>3.3057989999999999</v>
      </c>
    </row>
    <row r="845" spans="1:45" x14ac:dyDescent="0.25">
      <c r="A845">
        <v>160</v>
      </c>
      <c r="B845">
        <v>1999</v>
      </c>
      <c r="C845" s="8">
        <v>0</v>
      </c>
      <c r="D845">
        <v>0.25902120000000001</v>
      </c>
      <c r="E845">
        <v>0.54011989999999999</v>
      </c>
      <c r="F845">
        <v>8.5756499999999999E-2</v>
      </c>
      <c r="G845">
        <v>2.1999499999999999</v>
      </c>
      <c r="H845">
        <v>0.34606779999999998</v>
      </c>
      <c r="Q845" s="10">
        <f t="shared" si="46"/>
        <v>7.469100938673059E-4</v>
      </c>
      <c r="AI845">
        <v>0.24024429999999999</v>
      </c>
      <c r="AJ845">
        <f t="shared" si="45"/>
        <v>0.24024429999999999</v>
      </c>
      <c r="AO845">
        <v>0.24024429999999999</v>
      </c>
      <c r="AR845" s="8">
        <v>0</v>
      </c>
      <c r="AS845">
        <v>3.2201409999999999</v>
      </c>
    </row>
    <row r="846" spans="1:45" x14ac:dyDescent="0.25">
      <c r="A846">
        <v>160</v>
      </c>
      <c r="B846">
        <v>2000</v>
      </c>
      <c r="C846" s="8">
        <v>0</v>
      </c>
      <c r="D846">
        <v>0.25930429999999999</v>
      </c>
      <c r="E846">
        <v>0.62520330000000002</v>
      </c>
      <c r="F846">
        <v>6.5704299999999993E-2</v>
      </c>
      <c r="G846">
        <v>3.2303120000000001</v>
      </c>
      <c r="H846">
        <v>0.33354339999999999</v>
      </c>
      <c r="Q846" s="10">
        <f t="shared" si="46"/>
        <v>1.4894923425348675E-4</v>
      </c>
      <c r="AI846">
        <v>0.1978567</v>
      </c>
      <c r="AJ846">
        <f t="shared" si="45"/>
        <v>0.1978567</v>
      </c>
      <c r="AO846">
        <v>0.1978567</v>
      </c>
      <c r="AR846" s="8">
        <v>0</v>
      </c>
      <c r="AS846">
        <v>2.909751</v>
      </c>
    </row>
    <row r="847" spans="1:45" x14ac:dyDescent="0.25">
      <c r="A847">
        <v>160</v>
      </c>
      <c r="B847">
        <v>2001</v>
      </c>
      <c r="C847" s="8">
        <v>0</v>
      </c>
      <c r="D847">
        <v>0.24024429999999999</v>
      </c>
      <c r="E847">
        <v>0.61565150000000002</v>
      </c>
      <c r="F847">
        <v>5.1575500000000003E-2</v>
      </c>
      <c r="G847">
        <v>2.4234200000000001</v>
      </c>
      <c r="H847">
        <v>0.33141759999999998</v>
      </c>
      <c r="Q847" s="10">
        <f t="shared" si="46"/>
        <v>6.05888948969981E-4</v>
      </c>
      <c r="AI847">
        <v>0.15519930000000001</v>
      </c>
      <c r="AJ847">
        <f t="shared" si="45"/>
        <v>0.15519930000000001</v>
      </c>
      <c r="AO847">
        <v>0.15519930000000001</v>
      </c>
      <c r="AR847" s="8">
        <v>0</v>
      </c>
      <c r="AS847">
        <v>2.1999499999999999</v>
      </c>
    </row>
    <row r="848" spans="1:45" x14ac:dyDescent="0.25">
      <c r="A848">
        <v>160</v>
      </c>
      <c r="B848">
        <v>2002</v>
      </c>
      <c r="C848" s="8">
        <v>0</v>
      </c>
      <c r="D848">
        <v>0.1978567</v>
      </c>
      <c r="E848">
        <v>0.5510157</v>
      </c>
      <c r="F848">
        <v>-1.4895E-2</v>
      </c>
      <c r="G848">
        <v>1.5862970000000001</v>
      </c>
      <c r="H848">
        <v>0.27590379999999998</v>
      </c>
      <c r="Q848" s="10">
        <f t="shared" si="46"/>
        <v>4.0682801523745423E-3</v>
      </c>
      <c r="AI848">
        <v>0.17287739999999999</v>
      </c>
      <c r="AJ848">
        <f t="shared" si="45"/>
        <v>0.17287739999999999</v>
      </c>
      <c r="AO848">
        <v>0.17287739999999999</v>
      </c>
      <c r="AR848" s="8">
        <v>0</v>
      </c>
      <c r="AS848">
        <v>3.2303120000000001</v>
      </c>
    </row>
    <row r="849" spans="1:45" x14ac:dyDescent="0.25">
      <c r="A849">
        <v>160</v>
      </c>
      <c r="B849">
        <v>2003</v>
      </c>
      <c r="C849" s="8">
        <v>0</v>
      </c>
      <c r="D849">
        <v>0.15519930000000001</v>
      </c>
      <c r="E849">
        <v>0.52467350000000001</v>
      </c>
      <c r="F849">
        <v>5.7657600000000003E-2</v>
      </c>
      <c r="G849">
        <v>1.815874</v>
      </c>
      <c r="H849">
        <v>0.26920250000000001</v>
      </c>
      <c r="Q849" s="10">
        <f t="shared" si="46"/>
        <v>1.6095475731200985E-3</v>
      </c>
      <c r="AI849">
        <v>0.12735850000000001</v>
      </c>
      <c r="AJ849">
        <f t="shared" si="45"/>
        <v>0.12735850000000001</v>
      </c>
      <c r="AO849">
        <v>0.12735850000000001</v>
      </c>
      <c r="AR849" s="8">
        <v>0</v>
      </c>
      <c r="AS849">
        <v>2.4234200000000001</v>
      </c>
    </row>
    <row r="850" spans="1:45" x14ac:dyDescent="0.25">
      <c r="A850">
        <v>160</v>
      </c>
      <c r="B850">
        <v>2004</v>
      </c>
      <c r="C850" s="8">
        <v>0</v>
      </c>
      <c r="D850">
        <v>0.17287739999999999</v>
      </c>
      <c r="E850">
        <v>0.40035179999999998</v>
      </c>
      <c r="F850">
        <v>5.36528E-2</v>
      </c>
      <c r="G850">
        <v>1.193892</v>
      </c>
      <c r="H850">
        <v>0.27031840000000001</v>
      </c>
      <c r="Q850" s="10">
        <f t="shared" si="46"/>
        <v>5.3879585208478015E-3</v>
      </c>
      <c r="AI850">
        <v>7.3953400000000002E-2</v>
      </c>
      <c r="AJ850">
        <f t="shared" si="45"/>
        <v>7.3953400000000002E-2</v>
      </c>
      <c r="AO850">
        <v>7.3953400000000002E-2</v>
      </c>
      <c r="AR850" s="8">
        <v>0</v>
      </c>
      <c r="AS850">
        <v>1.5862970000000001</v>
      </c>
    </row>
    <row r="851" spans="1:45" x14ac:dyDescent="0.25">
      <c r="A851">
        <v>161</v>
      </c>
      <c r="B851">
        <v>2000</v>
      </c>
      <c r="C851" s="8">
        <v>0</v>
      </c>
      <c r="D851">
        <v>0.12735850000000001</v>
      </c>
      <c r="E851">
        <v>-2.8640800000000001E-2</v>
      </c>
      <c r="F851">
        <v>4.0116400000000003E-2</v>
      </c>
      <c r="G851">
        <v>0.45774350000000003</v>
      </c>
      <c r="H851">
        <v>0.2369328</v>
      </c>
      <c r="Q851" s="10">
        <f t="shared" si="46"/>
        <v>3.3810971336894209E-2</v>
      </c>
      <c r="AI851">
        <v>6.6902900000000001E-2</v>
      </c>
      <c r="AJ851">
        <f t="shared" si="45"/>
        <v>6.6902900000000001E-2</v>
      </c>
      <c r="AO851">
        <v>6.6902900000000001E-2</v>
      </c>
      <c r="AR851" s="8">
        <v>0</v>
      </c>
      <c r="AS851">
        <v>1.815874</v>
      </c>
    </row>
    <row r="852" spans="1:45" x14ac:dyDescent="0.25">
      <c r="A852">
        <v>161</v>
      </c>
      <c r="B852">
        <v>2001</v>
      </c>
      <c r="C852" s="8">
        <v>0</v>
      </c>
      <c r="D852">
        <v>7.3953400000000002E-2</v>
      </c>
      <c r="E852">
        <v>-0.10368869999999999</v>
      </c>
      <c r="F852">
        <v>2.9429500000000001E-2</v>
      </c>
      <c r="G852">
        <v>0.41408919999999999</v>
      </c>
      <c r="H852">
        <v>0.212949</v>
      </c>
      <c r="Q852" s="10">
        <f t="shared" si="46"/>
        <v>4.2071822615818114E-2</v>
      </c>
      <c r="AI852">
        <v>6.6347000000000003E-2</v>
      </c>
      <c r="AJ852">
        <f t="shared" si="45"/>
        <v>6.6347000000000003E-2</v>
      </c>
      <c r="AO852">
        <v>6.6347000000000003E-2</v>
      </c>
      <c r="AR852" s="8">
        <v>0</v>
      </c>
      <c r="AS852">
        <v>1.193892</v>
      </c>
    </row>
    <row r="853" spans="1:45" x14ac:dyDescent="0.25">
      <c r="A853">
        <v>161</v>
      </c>
      <c r="B853">
        <v>2002</v>
      </c>
      <c r="C853" s="8">
        <v>0</v>
      </c>
      <c r="D853">
        <v>6.6902900000000001E-2</v>
      </c>
      <c r="E853">
        <v>-0.25119710000000001</v>
      </c>
      <c r="F853">
        <v>1.9974599999999999E-2</v>
      </c>
      <c r="G853">
        <v>0.28568579999999999</v>
      </c>
      <c r="H853">
        <v>0.21228269999999999</v>
      </c>
      <c r="Q853" s="10">
        <f t="shared" si="46"/>
        <v>6.6982303688678899E-2</v>
      </c>
      <c r="AI853">
        <v>0.15143419999999999</v>
      </c>
      <c r="AJ853">
        <f t="shared" si="45"/>
        <v>0.15143419999999999</v>
      </c>
      <c r="AO853">
        <v>0.15143419999999999</v>
      </c>
      <c r="AR853" s="8">
        <v>0</v>
      </c>
      <c r="AS853">
        <v>0.45774350000000003</v>
      </c>
    </row>
    <row r="854" spans="1:45" x14ac:dyDescent="0.25">
      <c r="A854">
        <v>161</v>
      </c>
      <c r="B854">
        <v>2003</v>
      </c>
      <c r="C854" s="8">
        <v>0</v>
      </c>
      <c r="D854">
        <v>6.6347000000000003E-2</v>
      </c>
      <c r="E854">
        <v>-0.23508799999999999</v>
      </c>
      <c r="F854">
        <v>3.0238000000000001E-2</v>
      </c>
      <c r="G854">
        <v>0.40033390000000002</v>
      </c>
      <c r="H854">
        <v>0.25055860000000002</v>
      </c>
      <c r="Q854" s="10">
        <f t="shared" si="46"/>
        <v>5.2216440868831038E-2</v>
      </c>
      <c r="AI854">
        <v>-3.8057E-3</v>
      </c>
      <c r="AJ854">
        <f t="shared" si="45"/>
        <v>-3.8057E-3</v>
      </c>
      <c r="AO854">
        <v>-3.8057E-3</v>
      </c>
      <c r="AR854" s="8">
        <v>0</v>
      </c>
      <c r="AS854">
        <v>0.41408919999999999</v>
      </c>
    </row>
    <row r="855" spans="1:45" x14ac:dyDescent="0.25">
      <c r="A855">
        <v>161</v>
      </c>
      <c r="B855">
        <v>2004</v>
      </c>
      <c r="C855" s="8">
        <v>0</v>
      </c>
      <c r="D855">
        <v>0.15143419999999999</v>
      </c>
      <c r="E855">
        <v>-0.22208700000000001</v>
      </c>
      <c r="F855">
        <v>3.5232699999999999E-2</v>
      </c>
      <c r="G855">
        <v>0.60880120000000004</v>
      </c>
      <c r="H855">
        <v>0.25992130000000002</v>
      </c>
      <c r="Q855" s="10">
        <f t="shared" si="46"/>
        <v>3.7372342170283429E-2</v>
      </c>
      <c r="AI855">
        <v>-1.95239E-2</v>
      </c>
      <c r="AJ855">
        <f t="shared" si="45"/>
        <v>-1.95239E-2</v>
      </c>
      <c r="AO855">
        <v>-1.95239E-2</v>
      </c>
      <c r="AR855" s="8">
        <v>0</v>
      </c>
      <c r="AS855">
        <v>0.28568579999999999</v>
      </c>
    </row>
    <row r="856" spans="1:45" x14ac:dyDescent="0.25">
      <c r="A856">
        <v>162</v>
      </c>
      <c r="B856">
        <v>1999</v>
      </c>
      <c r="C856" s="8">
        <v>0</v>
      </c>
      <c r="D856">
        <v>-3.8057E-3</v>
      </c>
      <c r="E856">
        <v>4.2614100000000002E-2</v>
      </c>
      <c r="F856">
        <v>2.0269599999999999E-2</v>
      </c>
      <c r="G856">
        <v>0.18410389999999999</v>
      </c>
      <c r="H856">
        <v>0.80493340000000002</v>
      </c>
      <c r="Q856" s="10">
        <f t="shared" si="46"/>
        <v>7.1511087081999908E-2</v>
      </c>
      <c r="AI856">
        <v>8.6745699999999995E-2</v>
      </c>
      <c r="AJ856">
        <f t="shared" si="45"/>
        <v>8.6745699999999995E-2</v>
      </c>
      <c r="AO856">
        <v>8.6745699999999995E-2</v>
      </c>
      <c r="AR856" s="8">
        <v>0</v>
      </c>
      <c r="AS856">
        <v>0.40033390000000002</v>
      </c>
    </row>
    <row r="857" spans="1:45" x14ac:dyDescent="0.25">
      <c r="A857">
        <v>163</v>
      </c>
      <c r="B857">
        <v>1999</v>
      </c>
      <c r="C857" s="8">
        <v>0</v>
      </c>
      <c r="D857">
        <v>-1.95239E-2</v>
      </c>
      <c r="E857">
        <v>8.0557599999999993E-2</v>
      </c>
      <c r="F857">
        <v>2.1847700000000001E-2</v>
      </c>
      <c r="G857">
        <v>0.33729029999999999</v>
      </c>
      <c r="H857">
        <v>0.17860090000000001</v>
      </c>
      <c r="Q857" s="10">
        <f t="shared" si="46"/>
        <v>3.6604895321204999E-2</v>
      </c>
      <c r="AI857">
        <v>1.62898E-2</v>
      </c>
      <c r="AJ857">
        <f t="shared" si="45"/>
        <v>1.62898E-2</v>
      </c>
      <c r="AO857">
        <v>1.62898E-2</v>
      </c>
      <c r="AR857" s="8">
        <v>0</v>
      </c>
      <c r="AS857">
        <v>0.60880120000000004</v>
      </c>
    </row>
    <row r="858" spans="1:45" x14ac:dyDescent="0.25">
      <c r="A858">
        <v>163</v>
      </c>
      <c r="B858">
        <v>2000</v>
      </c>
      <c r="C858" s="8">
        <v>0</v>
      </c>
      <c r="D858">
        <v>8.6745699999999995E-2</v>
      </c>
      <c r="E858">
        <v>1.6139899999999999E-2</v>
      </c>
      <c r="F858">
        <v>3.14551E-2</v>
      </c>
      <c r="G858">
        <v>0.1378935</v>
      </c>
      <c r="H858">
        <v>0.17916860000000001</v>
      </c>
      <c r="Q858" s="10">
        <f t="shared" si="46"/>
        <v>5.2584306728026907E-2</v>
      </c>
      <c r="AI858">
        <v>9.6574999999999994E-3</v>
      </c>
      <c r="AJ858">
        <f t="shared" si="45"/>
        <v>9.6574999999999994E-3</v>
      </c>
      <c r="AO858">
        <v>9.6574999999999994E-3</v>
      </c>
      <c r="AR858" s="8">
        <v>0</v>
      </c>
      <c r="AS858">
        <v>0.18410389999999999</v>
      </c>
    </row>
    <row r="859" spans="1:45" x14ac:dyDescent="0.25">
      <c r="A859">
        <v>163</v>
      </c>
      <c r="B859">
        <v>2001</v>
      </c>
      <c r="C859" s="8">
        <v>0</v>
      </c>
      <c r="D859">
        <v>1.62898E-2</v>
      </c>
      <c r="E859">
        <v>-0.12864429999999999</v>
      </c>
      <c r="F859">
        <v>2.1917200000000001E-2</v>
      </c>
      <c r="G859">
        <v>6.7236099999999993E-2</v>
      </c>
      <c r="H859">
        <v>0.19633220000000001</v>
      </c>
      <c r="Q859" s="10">
        <f t="shared" si="46"/>
        <v>7.5127624278864047E-2</v>
      </c>
      <c r="AI859">
        <v>3.4738600000000001E-2</v>
      </c>
      <c r="AJ859">
        <f t="shared" si="45"/>
        <v>3.4738600000000001E-2</v>
      </c>
      <c r="AO859">
        <v>3.4738600000000001E-2</v>
      </c>
      <c r="AR859" s="8">
        <v>0</v>
      </c>
      <c r="AS859">
        <v>0.33729029999999999</v>
      </c>
    </row>
    <row r="860" spans="1:45" x14ac:dyDescent="0.25">
      <c r="A860">
        <v>163</v>
      </c>
      <c r="B860">
        <v>2002</v>
      </c>
      <c r="C860" s="8">
        <v>0</v>
      </c>
      <c r="D860">
        <v>9.6574999999999994E-3</v>
      </c>
      <c r="E860">
        <v>-0.30944480000000002</v>
      </c>
      <c r="F860">
        <v>5.02342E-2</v>
      </c>
      <c r="G860">
        <v>0.20953369999999999</v>
      </c>
      <c r="H860">
        <v>0.23943490000000001</v>
      </c>
      <c r="Q860" s="10">
        <f t="shared" si="46"/>
        <v>6.4350844335048202E-2</v>
      </c>
      <c r="AI860">
        <v>5.5093000000000003E-2</v>
      </c>
      <c r="AJ860">
        <f t="shared" si="45"/>
        <v>5.5093000000000003E-2</v>
      </c>
      <c r="AO860">
        <v>5.5093000000000003E-2</v>
      </c>
      <c r="AR860" s="8">
        <v>0</v>
      </c>
      <c r="AS860">
        <v>0.1378935</v>
      </c>
    </row>
    <row r="861" spans="1:45" x14ac:dyDescent="0.25">
      <c r="A861">
        <v>163</v>
      </c>
      <c r="B861">
        <v>2003</v>
      </c>
      <c r="C861" s="8">
        <v>0</v>
      </c>
      <c r="D861">
        <v>3.4738600000000001E-2</v>
      </c>
      <c r="E861">
        <v>-0.27178029999999997</v>
      </c>
      <c r="F861">
        <v>4.5730300000000002E-2</v>
      </c>
      <c r="G861">
        <v>0.23431089999999999</v>
      </c>
      <c r="H861">
        <v>0.2268289</v>
      </c>
      <c r="Q861" s="10">
        <f t="shared" si="46"/>
        <v>6.1080788063772921E-2</v>
      </c>
      <c r="AI861">
        <v>0.2206891</v>
      </c>
      <c r="AJ861">
        <f t="shared" si="45"/>
        <v>0.2206891</v>
      </c>
      <c r="AO861">
        <v>0.2206891</v>
      </c>
      <c r="AR861" s="8">
        <v>0</v>
      </c>
      <c r="AS861">
        <v>6.7236099999999993E-2</v>
      </c>
    </row>
    <row r="862" spans="1:45" x14ac:dyDescent="0.25">
      <c r="A862">
        <v>163</v>
      </c>
      <c r="B862">
        <v>2004</v>
      </c>
      <c r="C862" s="8">
        <v>0</v>
      </c>
      <c r="D862">
        <v>5.5093000000000003E-2</v>
      </c>
      <c r="E862">
        <v>-0.25651819999999997</v>
      </c>
      <c r="F862">
        <v>5.5626000000000002E-2</v>
      </c>
      <c r="G862">
        <v>0.32587569999999999</v>
      </c>
      <c r="H862">
        <v>0.25778040000000002</v>
      </c>
      <c r="Q862" s="10">
        <f t="shared" si="46"/>
        <v>4.9633539045180843E-2</v>
      </c>
      <c r="AI862">
        <v>0.16661010000000001</v>
      </c>
      <c r="AJ862">
        <f t="shared" si="45"/>
        <v>0.16661010000000001</v>
      </c>
      <c r="AO862">
        <v>0.16661010000000001</v>
      </c>
      <c r="AR862" s="8">
        <v>0</v>
      </c>
      <c r="AS862">
        <v>0.20953369999999999</v>
      </c>
    </row>
    <row r="863" spans="1:45" x14ac:dyDescent="0.25">
      <c r="A863">
        <v>164</v>
      </c>
      <c r="B863">
        <v>1999</v>
      </c>
      <c r="C863" s="8">
        <v>0</v>
      </c>
      <c r="D863">
        <v>0.2206891</v>
      </c>
      <c r="E863">
        <v>0.1703982</v>
      </c>
      <c r="F863">
        <v>5.6987599999999999E-2</v>
      </c>
      <c r="G863">
        <v>0.63248450000000001</v>
      </c>
      <c r="H863">
        <v>0.41795470000000001</v>
      </c>
      <c r="Q863" s="10">
        <f t="shared" si="46"/>
        <v>1.9752166182846656E-2</v>
      </c>
      <c r="AI863">
        <v>0.18548010000000001</v>
      </c>
      <c r="AJ863">
        <f t="shared" si="45"/>
        <v>0.18548010000000001</v>
      </c>
      <c r="AO863">
        <v>0.18548010000000001</v>
      </c>
      <c r="AR863" s="8">
        <v>0</v>
      </c>
      <c r="AS863">
        <v>0.23431089999999999</v>
      </c>
    </row>
    <row r="864" spans="1:45" x14ac:dyDescent="0.25">
      <c r="A864">
        <v>164</v>
      </c>
      <c r="B864">
        <v>2000</v>
      </c>
      <c r="C864" s="8">
        <v>0</v>
      </c>
      <c r="D864">
        <v>0.16661010000000001</v>
      </c>
      <c r="E864">
        <v>0.16181090000000001</v>
      </c>
      <c r="F864">
        <v>2.4369999999999999E-2</v>
      </c>
      <c r="G864">
        <v>0.52210160000000005</v>
      </c>
      <c r="H864">
        <v>0.38750479999999998</v>
      </c>
      <c r="Q864" s="10">
        <f t="shared" si="46"/>
        <v>2.9411382932031205E-2</v>
      </c>
      <c r="AI864">
        <v>0.16984060000000001</v>
      </c>
      <c r="AJ864">
        <f t="shared" si="45"/>
        <v>0.16984060000000001</v>
      </c>
      <c r="AO864">
        <v>0.16984060000000001</v>
      </c>
      <c r="AR864" s="8">
        <v>0</v>
      </c>
      <c r="AS864">
        <v>0.32587569999999999</v>
      </c>
    </row>
    <row r="865" spans="1:45" x14ac:dyDescent="0.25">
      <c r="A865">
        <v>164</v>
      </c>
      <c r="B865">
        <v>2001</v>
      </c>
      <c r="C865" s="8">
        <v>0</v>
      </c>
      <c r="D865">
        <v>0.18548010000000001</v>
      </c>
      <c r="E865">
        <v>9.10276E-2</v>
      </c>
      <c r="F865">
        <v>4.0389599999999998E-2</v>
      </c>
      <c r="G865">
        <v>0.52567149999999996</v>
      </c>
      <c r="H865">
        <v>0.37183660000000002</v>
      </c>
      <c r="Q865" s="10">
        <f t="shared" si="46"/>
        <v>2.8489359554023413E-2</v>
      </c>
      <c r="AI865">
        <v>0.17841000000000001</v>
      </c>
      <c r="AJ865">
        <f t="shared" si="45"/>
        <v>0.17841000000000001</v>
      </c>
      <c r="AO865">
        <v>0.17841000000000001</v>
      </c>
      <c r="AR865" s="8">
        <v>0</v>
      </c>
      <c r="AS865">
        <v>0.63248450000000001</v>
      </c>
    </row>
    <row r="866" spans="1:45" x14ac:dyDescent="0.25">
      <c r="A866">
        <v>164</v>
      </c>
      <c r="B866">
        <v>2002</v>
      </c>
      <c r="C866" s="8">
        <v>0</v>
      </c>
      <c r="D866">
        <v>0.16984060000000001</v>
      </c>
      <c r="E866">
        <v>4.4757199999999997E-2</v>
      </c>
      <c r="F866">
        <v>3.2961299999999999E-2</v>
      </c>
      <c r="G866">
        <v>0.32263039999999998</v>
      </c>
      <c r="H866">
        <v>0.31232189999999999</v>
      </c>
      <c r="Q866" s="10">
        <f t="shared" si="46"/>
        <v>4.2191773617406024E-2</v>
      </c>
      <c r="AI866">
        <v>0.1959728</v>
      </c>
      <c r="AJ866">
        <f t="shared" si="45"/>
        <v>0.1959728</v>
      </c>
      <c r="AO866">
        <v>0.1959728</v>
      </c>
      <c r="AR866" s="8">
        <v>0</v>
      </c>
      <c r="AS866">
        <v>0.52210160000000005</v>
      </c>
    </row>
    <row r="867" spans="1:45" x14ac:dyDescent="0.25">
      <c r="A867">
        <v>164</v>
      </c>
      <c r="B867">
        <v>2003</v>
      </c>
      <c r="C867" s="8">
        <v>0</v>
      </c>
      <c r="D867">
        <v>0.17841000000000001</v>
      </c>
      <c r="E867">
        <v>5.3948900000000001E-2</v>
      </c>
      <c r="F867">
        <v>4.4968300000000003E-2</v>
      </c>
      <c r="G867">
        <v>0.53603389999999995</v>
      </c>
      <c r="H867">
        <v>0.37973309999999999</v>
      </c>
      <c r="Q867" s="10">
        <f t="shared" si="46"/>
        <v>2.8565246224412928E-2</v>
      </c>
      <c r="AI867">
        <v>0.19929259999999999</v>
      </c>
      <c r="AJ867">
        <f t="shared" si="45"/>
        <v>0.19929259999999999</v>
      </c>
      <c r="AO867">
        <v>0.19929259999999999</v>
      </c>
      <c r="AR867" s="8">
        <v>0</v>
      </c>
      <c r="AS867">
        <v>0.52567149999999996</v>
      </c>
    </row>
    <row r="868" spans="1:45" x14ac:dyDescent="0.25">
      <c r="A868">
        <v>164</v>
      </c>
      <c r="B868">
        <v>2004</v>
      </c>
      <c r="C868" s="8">
        <v>0</v>
      </c>
      <c r="D868">
        <v>0.1959728</v>
      </c>
      <c r="E868">
        <v>7.9909300000000003E-2</v>
      </c>
      <c r="F868">
        <v>4.8036700000000002E-2</v>
      </c>
      <c r="G868">
        <v>0.75310840000000001</v>
      </c>
      <c r="H868">
        <v>0.37942179999999998</v>
      </c>
      <c r="Q868" s="10">
        <f t="shared" si="46"/>
        <v>1.930839189546775E-2</v>
      </c>
      <c r="AI868">
        <v>0.20121700000000001</v>
      </c>
      <c r="AJ868">
        <f t="shared" si="45"/>
        <v>0.20121700000000001</v>
      </c>
      <c r="AO868">
        <v>0.20121700000000001</v>
      </c>
      <c r="AR868" s="8">
        <v>0</v>
      </c>
      <c r="AS868">
        <v>0.32263039999999998</v>
      </c>
    </row>
    <row r="869" spans="1:45" x14ac:dyDescent="0.25">
      <c r="A869">
        <v>165</v>
      </c>
      <c r="B869">
        <v>1997</v>
      </c>
      <c r="C869" s="8">
        <v>0</v>
      </c>
      <c r="D869">
        <v>0.19929259999999999</v>
      </c>
      <c r="E869">
        <v>-0.16928380000000001</v>
      </c>
      <c r="F869">
        <v>2.6798800000000001E-2</v>
      </c>
      <c r="G869">
        <v>0.52891639999999995</v>
      </c>
      <c r="H869">
        <v>0.30356909999999998</v>
      </c>
      <c r="Q869" s="10">
        <f t="shared" si="46"/>
        <v>4.3777786053510306E-2</v>
      </c>
      <c r="AI869">
        <v>2.54852E-2</v>
      </c>
      <c r="AJ869">
        <f t="shared" si="45"/>
        <v>2.54852E-2</v>
      </c>
      <c r="AO869">
        <v>2.54852E-2</v>
      </c>
      <c r="AR869" s="8">
        <v>0</v>
      </c>
      <c r="AS869">
        <v>0.53603389999999995</v>
      </c>
    </row>
    <row r="870" spans="1:45" x14ac:dyDescent="0.25">
      <c r="A870">
        <v>165</v>
      </c>
      <c r="B870">
        <v>1998</v>
      </c>
      <c r="C870" s="8">
        <v>0</v>
      </c>
      <c r="D870">
        <v>0.20121700000000001</v>
      </c>
      <c r="E870">
        <v>-0.39125520000000003</v>
      </c>
      <c r="F870">
        <v>-9.3246000000000006E-3</v>
      </c>
      <c r="G870">
        <v>0.21600220000000001</v>
      </c>
      <c r="H870">
        <v>0.36117840000000001</v>
      </c>
      <c r="Q870" s="10">
        <f t="shared" si="46"/>
        <v>0.1259775676309626</v>
      </c>
      <c r="AI870">
        <v>-8.0449099999999996E-2</v>
      </c>
      <c r="AJ870">
        <f t="shared" si="45"/>
        <v>-8.0449099999999996E-2</v>
      </c>
      <c r="AO870">
        <v>-8.0449099999999996E-2</v>
      </c>
      <c r="AR870" s="8">
        <v>0</v>
      </c>
      <c r="AS870">
        <v>0.75310840000000001</v>
      </c>
    </row>
    <row r="871" spans="1:45" x14ac:dyDescent="0.25">
      <c r="A871">
        <v>166</v>
      </c>
      <c r="B871">
        <v>1999</v>
      </c>
      <c r="C871" s="8">
        <v>0</v>
      </c>
      <c r="D871">
        <v>2.54852E-2</v>
      </c>
      <c r="E871">
        <v>-2.2998600000000001E-2</v>
      </c>
      <c r="F871">
        <v>1.04974E-2</v>
      </c>
      <c r="G871">
        <v>0.1171452</v>
      </c>
      <c r="H871">
        <v>0.74611170000000004</v>
      </c>
      <c r="Q871" s="10">
        <f t="shared" si="46"/>
        <v>9.0483521542526923E-2</v>
      </c>
      <c r="AI871">
        <v>0.1068716</v>
      </c>
      <c r="AJ871">
        <f t="shared" si="45"/>
        <v>0.1068716</v>
      </c>
      <c r="AO871">
        <v>0.1068716</v>
      </c>
      <c r="AR871" s="8">
        <v>0</v>
      </c>
      <c r="AS871">
        <v>0.52891639999999995</v>
      </c>
    </row>
    <row r="872" spans="1:45" x14ac:dyDescent="0.25">
      <c r="A872">
        <v>166</v>
      </c>
      <c r="B872">
        <v>2000</v>
      </c>
      <c r="C872" s="8">
        <v>0</v>
      </c>
      <c r="D872">
        <v>-8.0449099999999996E-2</v>
      </c>
      <c r="E872">
        <v>-0.1748931</v>
      </c>
      <c r="F872">
        <v>-7.868E-3</v>
      </c>
      <c r="G872">
        <v>8.2213499999999995E-2</v>
      </c>
      <c r="H872">
        <v>0.93397859999999999</v>
      </c>
      <c r="Q872" s="10">
        <f t="shared" si="46"/>
        <v>0.14042213558452579</v>
      </c>
      <c r="AI872">
        <v>2.6578600000000001E-2</v>
      </c>
      <c r="AJ872">
        <f t="shared" si="45"/>
        <v>2.6578600000000001E-2</v>
      </c>
      <c r="AO872">
        <v>2.6578600000000001E-2</v>
      </c>
      <c r="AR872" s="8">
        <v>0</v>
      </c>
      <c r="AS872">
        <v>0.21600220000000001</v>
      </c>
    </row>
    <row r="873" spans="1:45" x14ac:dyDescent="0.25">
      <c r="A873">
        <v>167</v>
      </c>
      <c r="B873">
        <v>1999</v>
      </c>
      <c r="C873" s="8">
        <v>0</v>
      </c>
      <c r="D873">
        <v>0.1068716</v>
      </c>
      <c r="E873">
        <v>0.2219912</v>
      </c>
      <c r="F873">
        <v>5.2571300000000001E-2</v>
      </c>
      <c r="G873">
        <v>0.643868</v>
      </c>
      <c r="H873">
        <v>0.32836179999999998</v>
      </c>
      <c r="Q873" s="10">
        <f t="shared" si="46"/>
        <v>1.6872365170166555E-2</v>
      </c>
      <c r="AI873">
        <v>5.2892099999999997E-2</v>
      </c>
      <c r="AJ873">
        <f t="shared" si="45"/>
        <v>5.2892099999999997E-2</v>
      </c>
      <c r="AO873">
        <v>5.2892099999999997E-2</v>
      </c>
      <c r="AR873" s="8">
        <v>0</v>
      </c>
      <c r="AS873">
        <v>0.1171452</v>
      </c>
    </row>
    <row r="874" spans="1:45" x14ac:dyDescent="0.25">
      <c r="A874">
        <v>167</v>
      </c>
      <c r="B874">
        <v>2000</v>
      </c>
      <c r="C874" s="8">
        <v>0</v>
      </c>
      <c r="D874">
        <v>2.6578600000000001E-2</v>
      </c>
      <c r="E874">
        <v>0.23879539999999999</v>
      </c>
      <c r="F874">
        <v>2.2116799999999999E-2</v>
      </c>
      <c r="G874">
        <v>0.28636440000000002</v>
      </c>
      <c r="H874">
        <v>0.29453580000000001</v>
      </c>
      <c r="Q874" s="10">
        <f t="shared" si="46"/>
        <v>3.4542617221559227E-2</v>
      </c>
      <c r="AI874">
        <v>0.1705972</v>
      </c>
      <c r="AJ874">
        <f t="shared" si="45"/>
        <v>0.1705972</v>
      </c>
      <c r="AO874">
        <v>0.1705972</v>
      </c>
      <c r="AR874" s="8">
        <v>0</v>
      </c>
      <c r="AS874">
        <v>8.2213499999999995E-2</v>
      </c>
    </row>
    <row r="875" spans="1:45" x14ac:dyDescent="0.25">
      <c r="A875">
        <v>167</v>
      </c>
      <c r="B875">
        <v>2001</v>
      </c>
      <c r="C875" s="8">
        <v>0</v>
      </c>
      <c r="D875">
        <v>5.2892099999999997E-2</v>
      </c>
      <c r="E875">
        <v>0.191749</v>
      </c>
      <c r="F875">
        <v>3.7493100000000001E-2</v>
      </c>
      <c r="G875">
        <v>0.2744972</v>
      </c>
      <c r="H875">
        <v>0.27498640000000002</v>
      </c>
      <c r="Q875" s="10">
        <f t="shared" si="46"/>
        <v>3.3333291531579663E-2</v>
      </c>
      <c r="AI875">
        <v>0.18392149999999999</v>
      </c>
      <c r="AJ875">
        <f t="shared" si="45"/>
        <v>0.18392149999999999</v>
      </c>
      <c r="AO875">
        <v>0.18392149999999999</v>
      </c>
      <c r="AR875" s="8">
        <v>0</v>
      </c>
      <c r="AS875">
        <v>0.643868</v>
      </c>
    </row>
    <row r="876" spans="1:45" x14ac:dyDescent="0.25">
      <c r="A876">
        <v>167</v>
      </c>
      <c r="B876">
        <v>2002</v>
      </c>
      <c r="C876" s="8">
        <v>0</v>
      </c>
      <c r="D876">
        <v>0.1705972</v>
      </c>
      <c r="E876">
        <v>0.15487020000000001</v>
      </c>
      <c r="F876">
        <v>4.2427399999999997E-2</v>
      </c>
      <c r="G876">
        <v>0.2514093</v>
      </c>
      <c r="H876">
        <v>0.27037610000000001</v>
      </c>
      <c r="Q876" s="10">
        <f t="shared" si="46"/>
        <v>3.659957857961544E-2</v>
      </c>
      <c r="AI876">
        <v>0.1228224</v>
      </c>
      <c r="AJ876">
        <f t="shared" si="45"/>
        <v>0.1228224</v>
      </c>
      <c r="AO876">
        <v>0.1228224</v>
      </c>
      <c r="AR876" s="8">
        <v>0</v>
      </c>
      <c r="AS876">
        <v>0.28636440000000002</v>
      </c>
    </row>
    <row r="877" spans="1:45" x14ac:dyDescent="0.25">
      <c r="A877">
        <v>167</v>
      </c>
      <c r="B877">
        <v>2003</v>
      </c>
      <c r="C877" s="8">
        <v>0</v>
      </c>
      <c r="D877">
        <v>0.18392149999999999</v>
      </c>
      <c r="E877">
        <v>0.2144588</v>
      </c>
      <c r="F877">
        <v>4.2610000000000002E-2</v>
      </c>
      <c r="G877">
        <v>0.39339990000000002</v>
      </c>
      <c r="H877">
        <v>0.2471807</v>
      </c>
      <c r="Q877" s="10">
        <f t="shared" si="46"/>
        <v>2.676150616259184E-2</v>
      </c>
      <c r="AI877">
        <v>0.19350000000000001</v>
      </c>
      <c r="AJ877">
        <f t="shared" si="45"/>
        <v>0.19350000000000001</v>
      </c>
      <c r="AO877">
        <v>0.19350000000000001</v>
      </c>
      <c r="AR877" s="8">
        <v>0</v>
      </c>
      <c r="AS877">
        <v>0.2744972</v>
      </c>
    </row>
    <row r="878" spans="1:45" x14ac:dyDescent="0.25">
      <c r="A878">
        <v>167</v>
      </c>
      <c r="B878">
        <v>2004</v>
      </c>
      <c r="C878" s="8">
        <v>0</v>
      </c>
      <c r="D878">
        <v>0.1228224</v>
      </c>
      <c r="E878">
        <v>0.25025629999999999</v>
      </c>
      <c r="F878">
        <v>2.3647600000000001E-2</v>
      </c>
      <c r="G878">
        <v>0.41970210000000002</v>
      </c>
      <c r="H878">
        <v>0.2580789</v>
      </c>
      <c r="Q878" s="10">
        <f t="shared" si="46"/>
        <v>2.7800314587698827E-2</v>
      </c>
      <c r="AI878">
        <v>0.13825979999999999</v>
      </c>
      <c r="AJ878">
        <f t="shared" si="45"/>
        <v>0.13825979999999999</v>
      </c>
      <c r="AO878">
        <v>0.13825979999999999</v>
      </c>
      <c r="AR878" s="8">
        <v>0</v>
      </c>
      <c r="AS878">
        <v>0.2514093</v>
      </c>
    </row>
    <row r="879" spans="1:45" x14ac:dyDescent="0.25">
      <c r="A879">
        <v>168</v>
      </c>
      <c r="B879">
        <v>1999</v>
      </c>
      <c r="C879" s="8">
        <v>0</v>
      </c>
      <c r="D879">
        <v>0.19350000000000001</v>
      </c>
      <c r="E879">
        <v>0.45001950000000002</v>
      </c>
      <c r="F879">
        <v>6.8164799999999998E-2</v>
      </c>
      <c r="G879">
        <v>5.1604320000000001</v>
      </c>
      <c r="H879">
        <v>0.31408789999999998</v>
      </c>
      <c r="Q879" s="10">
        <f t="shared" si="46"/>
        <v>8.3614459096139275E-6</v>
      </c>
      <c r="AI879">
        <v>0.2132117</v>
      </c>
      <c r="AJ879">
        <f t="shared" si="45"/>
        <v>0.2132117</v>
      </c>
      <c r="AO879">
        <v>0.2132117</v>
      </c>
      <c r="AR879" s="8">
        <v>0</v>
      </c>
      <c r="AS879">
        <v>0.39339990000000002</v>
      </c>
    </row>
    <row r="880" spans="1:45" x14ac:dyDescent="0.25">
      <c r="A880">
        <v>168</v>
      </c>
      <c r="B880">
        <v>2000</v>
      </c>
      <c r="C880" s="8">
        <v>0</v>
      </c>
      <c r="D880">
        <v>0.13825979999999999</v>
      </c>
      <c r="E880">
        <v>0.42585790000000001</v>
      </c>
      <c r="F880">
        <v>7.6983300000000005E-2</v>
      </c>
      <c r="G880">
        <v>4.6517770000000001</v>
      </c>
      <c r="H880">
        <v>0.30149969999999998</v>
      </c>
      <c r="Q880" s="10">
        <f t="shared" si="46"/>
        <v>1.760373622898642E-5</v>
      </c>
      <c r="AI880">
        <v>0.2163369</v>
      </c>
      <c r="AJ880">
        <f t="shared" si="45"/>
        <v>0.2163369</v>
      </c>
      <c r="AO880">
        <v>0.2163369</v>
      </c>
      <c r="AR880" s="8">
        <v>0</v>
      </c>
      <c r="AS880">
        <v>0.41970210000000002</v>
      </c>
    </row>
    <row r="881" spans="1:45" x14ac:dyDescent="0.25">
      <c r="A881">
        <v>168</v>
      </c>
      <c r="B881">
        <v>2001</v>
      </c>
      <c r="C881" s="8">
        <v>0</v>
      </c>
      <c r="D881">
        <v>0.2132117</v>
      </c>
      <c r="E881">
        <v>0.41574280000000002</v>
      </c>
      <c r="F881">
        <v>4.55997E-2</v>
      </c>
      <c r="G881">
        <v>3.3632949999999999</v>
      </c>
      <c r="H881">
        <v>0.21958430000000001</v>
      </c>
      <c r="Q881" s="10">
        <f t="shared" si="46"/>
        <v>1.7544271224882371E-4</v>
      </c>
      <c r="AI881">
        <v>0.25101469999999998</v>
      </c>
      <c r="AJ881">
        <f t="shared" si="45"/>
        <v>0.25101469999999998</v>
      </c>
      <c r="AO881">
        <v>0.25101469999999998</v>
      </c>
      <c r="AR881" s="8">
        <v>0</v>
      </c>
      <c r="AS881">
        <v>5.1604320000000001</v>
      </c>
    </row>
    <row r="882" spans="1:45" x14ac:dyDescent="0.25">
      <c r="A882">
        <v>168</v>
      </c>
      <c r="B882">
        <v>2002</v>
      </c>
      <c r="C882" s="8">
        <v>0</v>
      </c>
      <c r="D882">
        <v>0.2163369</v>
      </c>
      <c r="E882">
        <v>0.37666090000000002</v>
      </c>
      <c r="F882">
        <v>5.8456800000000003E-2</v>
      </c>
      <c r="G882">
        <v>3.3594919999999999</v>
      </c>
      <c r="H882">
        <v>0.24932280000000001</v>
      </c>
      <c r="Q882" s="10">
        <f t="shared" si="46"/>
        <v>1.7192912516374758E-4</v>
      </c>
      <c r="AI882">
        <v>0.1076853</v>
      </c>
      <c r="AJ882">
        <f t="shared" si="45"/>
        <v>0.1076853</v>
      </c>
      <c r="AO882">
        <v>0.1076853</v>
      </c>
      <c r="AR882" s="8">
        <v>0</v>
      </c>
      <c r="AS882">
        <v>4.6517770000000001</v>
      </c>
    </row>
    <row r="883" spans="1:45" x14ac:dyDescent="0.25">
      <c r="A883">
        <v>168</v>
      </c>
      <c r="B883">
        <v>2003</v>
      </c>
      <c r="C883" s="8">
        <v>0</v>
      </c>
      <c r="D883">
        <v>0.25101469999999998</v>
      </c>
      <c r="E883">
        <v>0.42297659999999998</v>
      </c>
      <c r="F883">
        <v>6.2302700000000003E-2</v>
      </c>
      <c r="G883">
        <v>4.3757640000000002</v>
      </c>
      <c r="H883">
        <v>0.24817210000000001</v>
      </c>
      <c r="Q883" s="10">
        <f t="shared" si="46"/>
        <v>3.1288399495478774E-5</v>
      </c>
      <c r="AI883">
        <v>6.5013899999999999E-2</v>
      </c>
      <c r="AJ883">
        <f t="shared" si="45"/>
        <v>6.5013899999999999E-2</v>
      </c>
      <c r="AO883">
        <v>6.5013899999999999E-2</v>
      </c>
      <c r="AR883" s="8">
        <v>0</v>
      </c>
      <c r="AS883">
        <v>3.3632949999999999</v>
      </c>
    </row>
    <row r="884" spans="1:45" x14ac:dyDescent="0.25">
      <c r="A884">
        <v>168</v>
      </c>
      <c r="B884">
        <v>2004</v>
      </c>
      <c r="C884" s="8">
        <v>0</v>
      </c>
      <c r="D884">
        <v>0.1076853</v>
      </c>
      <c r="E884">
        <v>0.44542280000000001</v>
      </c>
      <c r="F884">
        <v>7.0942099999999994E-2</v>
      </c>
      <c r="G884">
        <v>4.6121119999999998</v>
      </c>
      <c r="H884">
        <v>0.25619360000000002</v>
      </c>
      <c r="Q884" s="10">
        <f t="shared" si="46"/>
        <v>1.8365050784411125E-5</v>
      </c>
      <c r="AI884">
        <v>7.7096999999999999E-2</v>
      </c>
      <c r="AJ884">
        <f t="shared" si="45"/>
        <v>7.7096999999999999E-2</v>
      </c>
      <c r="AO884">
        <v>7.7096999999999999E-2</v>
      </c>
      <c r="AR884" s="8">
        <v>0</v>
      </c>
      <c r="AS884">
        <v>3.3594919999999999</v>
      </c>
    </row>
    <row r="885" spans="1:45" x14ac:dyDescent="0.25">
      <c r="A885">
        <v>169</v>
      </c>
      <c r="B885">
        <v>1999</v>
      </c>
      <c r="C885" s="8">
        <v>0</v>
      </c>
      <c r="D885">
        <v>6.5013899999999999E-2</v>
      </c>
      <c r="E885">
        <v>0.31216630000000001</v>
      </c>
      <c r="F885">
        <v>9.82513E-2</v>
      </c>
      <c r="G885">
        <v>2.5815570000000001</v>
      </c>
      <c r="H885">
        <v>0.67138140000000002</v>
      </c>
      <c r="Q885" s="10">
        <f t="shared" si="46"/>
        <v>5.7864964605229313E-4</v>
      </c>
      <c r="AI885">
        <v>0.13737840000000001</v>
      </c>
      <c r="AJ885">
        <f t="shared" si="45"/>
        <v>0.13737840000000001</v>
      </c>
      <c r="AO885">
        <v>0.13737840000000001</v>
      </c>
      <c r="AR885" s="8">
        <v>0</v>
      </c>
      <c r="AS885">
        <v>4.3757640000000002</v>
      </c>
    </row>
    <row r="886" spans="1:45" x14ac:dyDescent="0.25">
      <c r="A886">
        <v>169</v>
      </c>
      <c r="B886">
        <v>2000</v>
      </c>
      <c r="C886" s="8">
        <v>0</v>
      </c>
      <c r="D886">
        <v>7.7096999999999999E-2</v>
      </c>
      <c r="E886">
        <v>0.30272959999999999</v>
      </c>
      <c r="F886">
        <v>8.72391E-2</v>
      </c>
      <c r="G886">
        <v>2.6458050000000002</v>
      </c>
      <c r="H886">
        <v>0.65532760000000001</v>
      </c>
      <c r="Q886" s="10">
        <f t="shared" si="46"/>
        <v>5.7546696723204994E-4</v>
      </c>
      <c r="AI886">
        <v>0.16836190000000001</v>
      </c>
      <c r="AJ886">
        <f t="shared" si="45"/>
        <v>0.16836190000000001</v>
      </c>
      <c r="AO886">
        <v>0.16836190000000001</v>
      </c>
      <c r="AR886" s="8">
        <v>0</v>
      </c>
      <c r="AS886">
        <v>4.6121119999999998</v>
      </c>
    </row>
    <row r="887" spans="1:45" x14ac:dyDescent="0.25">
      <c r="A887">
        <v>169</v>
      </c>
      <c r="B887">
        <v>2001</v>
      </c>
      <c r="C887" s="8">
        <v>0</v>
      </c>
      <c r="D887">
        <v>0.13737840000000001</v>
      </c>
      <c r="E887">
        <v>0.30716860000000001</v>
      </c>
      <c r="F887">
        <v>8.1378699999999998E-2</v>
      </c>
      <c r="G887">
        <v>2.4896509999999998</v>
      </c>
      <c r="H887">
        <v>0.5821288</v>
      </c>
      <c r="Q887" s="10">
        <f t="shared" si="46"/>
        <v>7.528689304312601E-4</v>
      </c>
      <c r="AI887">
        <v>0.16825480000000001</v>
      </c>
      <c r="AJ887">
        <f t="shared" si="45"/>
        <v>0.16825480000000001</v>
      </c>
      <c r="AO887">
        <v>0.16825480000000001</v>
      </c>
      <c r="AR887" s="8">
        <v>0</v>
      </c>
      <c r="AS887">
        <v>2.5815570000000001</v>
      </c>
    </row>
    <row r="888" spans="1:45" x14ac:dyDescent="0.25">
      <c r="A888">
        <v>169</v>
      </c>
      <c r="B888">
        <v>2002</v>
      </c>
      <c r="C888" s="8">
        <v>0</v>
      </c>
      <c r="D888">
        <v>0.16836190000000001</v>
      </c>
      <c r="E888">
        <v>0.32209900000000002</v>
      </c>
      <c r="F888">
        <v>7.0981600000000006E-2</v>
      </c>
      <c r="G888">
        <v>1.3715889999999999</v>
      </c>
      <c r="H888">
        <v>0.52742929999999999</v>
      </c>
      <c r="Q888" s="10">
        <f t="shared" si="46"/>
        <v>4.6384293500725511E-3</v>
      </c>
      <c r="AI888">
        <v>0.20588139999999999</v>
      </c>
      <c r="AJ888">
        <f t="shared" si="45"/>
        <v>0.20588139999999999</v>
      </c>
      <c r="AO888">
        <v>0.20588139999999999</v>
      </c>
      <c r="AR888" s="8">
        <v>0</v>
      </c>
      <c r="AS888">
        <v>2.6458050000000002</v>
      </c>
    </row>
    <row r="889" spans="1:45" x14ac:dyDescent="0.25">
      <c r="A889">
        <v>169</v>
      </c>
      <c r="B889">
        <v>2003</v>
      </c>
      <c r="C889" s="8">
        <v>0</v>
      </c>
      <c r="D889">
        <v>0.16825480000000001</v>
      </c>
      <c r="E889">
        <v>0.33382260000000002</v>
      </c>
      <c r="F889">
        <v>6.6656800000000002E-2</v>
      </c>
      <c r="G889">
        <v>1.729824</v>
      </c>
      <c r="H889">
        <v>0.47593609999999997</v>
      </c>
      <c r="Q889" s="10">
        <f t="shared" si="46"/>
        <v>2.5886693236694277E-3</v>
      </c>
      <c r="AI889">
        <v>1.24104E-2</v>
      </c>
      <c r="AJ889">
        <f t="shared" si="45"/>
        <v>1.24104E-2</v>
      </c>
      <c r="AO889">
        <v>1.24104E-2</v>
      </c>
      <c r="AR889" s="8">
        <v>0</v>
      </c>
      <c r="AS889">
        <v>2.4896509999999998</v>
      </c>
    </row>
    <row r="890" spans="1:45" x14ac:dyDescent="0.25">
      <c r="A890">
        <v>169</v>
      </c>
      <c r="B890">
        <v>2004</v>
      </c>
      <c r="C890" s="8">
        <v>0</v>
      </c>
      <c r="D890">
        <v>0.20588139999999999</v>
      </c>
      <c r="E890">
        <v>0.37258200000000002</v>
      </c>
      <c r="F890">
        <v>8.3104600000000001E-2</v>
      </c>
      <c r="G890">
        <v>2.382768</v>
      </c>
      <c r="H890">
        <v>0.49255480000000001</v>
      </c>
      <c r="Q890" s="10">
        <f t="shared" si="46"/>
        <v>7.7910932741707614E-4</v>
      </c>
      <c r="AI890">
        <v>7.0305000000000003E-3</v>
      </c>
      <c r="AJ890">
        <f t="shared" si="45"/>
        <v>7.0305000000000003E-3</v>
      </c>
      <c r="AO890">
        <v>7.0305000000000003E-3</v>
      </c>
      <c r="AR890" s="8">
        <v>0</v>
      </c>
      <c r="AS890">
        <v>1.3715889999999999</v>
      </c>
    </row>
    <row r="891" spans="1:45" x14ac:dyDescent="0.25">
      <c r="A891">
        <v>170</v>
      </c>
      <c r="B891">
        <v>1998</v>
      </c>
      <c r="C891" s="8">
        <v>0</v>
      </c>
      <c r="D891">
        <v>1.24104E-2</v>
      </c>
      <c r="E891">
        <v>0.20606079999999999</v>
      </c>
      <c r="F891">
        <v>3.2133799999999997E-2</v>
      </c>
      <c r="G891">
        <v>1.448186</v>
      </c>
      <c r="H891">
        <v>0.1217731</v>
      </c>
      <c r="Q891" s="10">
        <f t="shared" si="46"/>
        <v>4.8334676793493599E-3</v>
      </c>
      <c r="AI891">
        <v>5.0335600000000001E-2</v>
      </c>
      <c r="AJ891">
        <f t="shared" si="45"/>
        <v>5.0335600000000001E-2</v>
      </c>
      <c r="AO891">
        <v>5.0335600000000001E-2</v>
      </c>
      <c r="AR891" s="8">
        <v>0</v>
      </c>
      <c r="AS891">
        <v>1.729824</v>
      </c>
    </row>
    <row r="892" spans="1:45" x14ac:dyDescent="0.25">
      <c r="A892">
        <v>170</v>
      </c>
      <c r="B892">
        <v>1999</v>
      </c>
      <c r="C892" s="8">
        <v>0</v>
      </c>
      <c r="D892">
        <v>7.0305000000000003E-3</v>
      </c>
      <c r="E892">
        <v>0.2003374</v>
      </c>
      <c r="F892">
        <v>3.7536199999999999E-2</v>
      </c>
      <c r="G892">
        <v>0.98542830000000003</v>
      </c>
      <c r="H892">
        <v>0.1097764</v>
      </c>
      <c r="Q892" s="10">
        <f t="shared" si="46"/>
        <v>9.6180024684250891E-3</v>
      </c>
      <c r="AI892">
        <v>4.0078700000000002E-2</v>
      </c>
      <c r="AJ892">
        <f t="shared" si="45"/>
        <v>4.0078700000000002E-2</v>
      </c>
      <c r="AO892">
        <v>4.0078700000000002E-2</v>
      </c>
      <c r="AR892" s="8">
        <v>0</v>
      </c>
      <c r="AS892">
        <v>2.382768</v>
      </c>
    </row>
    <row r="893" spans="1:45" x14ac:dyDescent="0.25">
      <c r="A893">
        <v>170</v>
      </c>
      <c r="B893">
        <v>2000</v>
      </c>
      <c r="C893" s="8">
        <v>0</v>
      </c>
      <c r="D893">
        <v>5.0335600000000001E-2</v>
      </c>
      <c r="E893">
        <v>0.24368339999999999</v>
      </c>
      <c r="F893">
        <v>5.9075599999999999E-2</v>
      </c>
      <c r="G893">
        <v>1.23733</v>
      </c>
      <c r="H893">
        <v>0.1026642</v>
      </c>
      <c r="Q893" s="10">
        <f t="shared" si="46"/>
        <v>5.1804659871665755E-3</v>
      </c>
      <c r="AI893">
        <v>6.3519900000000004E-2</v>
      </c>
      <c r="AJ893">
        <f t="shared" si="45"/>
        <v>6.3519900000000004E-2</v>
      </c>
      <c r="AO893">
        <v>6.3519900000000004E-2</v>
      </c>
      <c r="AR893" s="8">
        <v>0</v>
      </c>
      <c r="AS893">
        <v>1.448186</v>
      </c>
    </row>
    <row r="894" spans="1:45" x14ac:dyDescent="0.25">
      <c r="A894">
        <v>170</v>
      </c>
      <c r="B894">
        <v>2001</v>
      </c>
      <c r="C894" s="8">
        <v>0</v>
      </c>
      <c r="D894">
        <v>4.0078700000000002E-2</v>
      </c>
      <c r="E894">
        <v>0.24177280000000001</v>
      </c>
      <c r="F894">
        <v>5.42201E-2</v>
      </c>
      <c r="G894">
        <v>0.92091520000000004</v>
      </c>
      <c r="H894">
        <v>9.48571E-2</v>
      </c>
      <c r="Q894" s="10">
        <f t="shared" si="46"/>
        <v>8.8285155126696987E-3</v>
      </c>
      <c r="AI894">
        <v>-3.14918E-2</v>
      </c>
      <c r="AJ894">
        <f t="shared" si="45"/>
        <v>-3.14918E-2</v>
      </c>
      <c r="AO894">
        <v>-3.14918E-2</v>
      </c>
      <c r="AR894" s="8">
        <v>0</v>
      </c>
      <c r="AS894">
        <v>0.98542830000000003</v>
      </c>
    </row>
    <row r="895" spans="1:45" x14ac:dyDescent="0.25">
      <c r="A895">
        <v>170</v>
      </c>
      <c r="B895">
        <v>2002</v>
      </c>
      <c r="C895" s="8">
        <v>0</v>
      </c>
      <c r="D895">
        <v>6.3519900000000004E-2</v>
      </c>
      <c r="E895">
        <v>0.2400939</v>
      </c>
      <c r="F895">
        <v>6.0414099999999998E-2</v>
      </c>
      <c r="G895">
        <v>0.61304999999999998</v>
      </c>
      <c r="H895">
        <v>9.1435100000000005E-2</v>
      </c>
      <c r="Q895" s="10">
        <f t="shared" si="46"/>
        <v>1.3791704623284136E-2</v>
      </c>
      <c r="AI895">
        <v>9.3624799999999994E-2</v>
      </c>
      <c r="AJ895">
        <f t="shared" si="45"/>
        <v>9.3624799999999994E-2</v>
      </c>
      <c r="AO895">
        <v>9.3624799999999994E-2</v>
      </c>
      <c r="AR895" s="8">
        <v>0</v>
      </c>
      <c r="AS895">
        <v>1.23733</v>
      </c>
    </row>
    <row r="896" spans="1:45" x14ac:dyDescent="0.25">
      <c r="A896">
        <v>170</v>
      </c>
      <c r="B896">
        <v>2003</v>
      </c>
      <c r="C896" s="8">
        <v>0</v>
      </c>
      <c r="D896">
        <v>-3.14918E-2</v>
      </c>
      <c r="E896">
        <v>0.24962219999999999</v>
      </c>
      <c r="F896">
        <v>4.6004700000000003E-2</v>
      </c>
      <c r="G896">
        <v>0.77736729999999998</v>
      </c>
      <c r="H896">
        <v>0.106363</v>
      </c>
      <c r="Q896" s="10">
        <f t="shared" si="46"/>
        <v>1.1426031615256535E-2</v>
      </c>
      <c r="AI896">
        <v>0.1023787</v>
      </c>
      <c r="AJ896">
        <f t="shared" si="45"/>
        <v>0.1023787</v>
      </c>
      <c r="AO896">
        <v>0.1023787</v>
      </c>
      <c r="AR896" s="8">
        <v>0</v>
      </c>
      <c r="AS896">
        <v>0.92091520000000004</v>
      </c>
    </row>
    <row r="897" spans="1:45" x14ac:dyDescent="0.25">
      <c r="A897">
        <v>170</v>
      </c>
      <c r="B897">
        <v>2004</v>
      </c>
      <c r="C897" s="8">
        <v>0</v>
      </c>
      <c r="D897">
        <v>9.3624799999999994E-2</v>
      </c>
      <c r="E897">
        <v>0.2996549</v>
      </c>
      <c r="F897">
        <v>4.7056800000000003E-2</v>
      </c>
      <c r="G897">
        <v>1.0689070000000001</v>
      </c>
      <c r="H897">
        <v>0.1029322</v>
      </c>
      <c r="Q897" s="10">
        <f t="shared" si="46"/>
        <v>6.9889728740161455E-3</v>
      </c>
      <c r="AI897">
        <v>9.60873E-2</v>
      </c>
      <c r="AJ897">
        <f t="shared" si="45"/>
        <v>9.60873E-2</v>
      </c>
      <c r="AO897">
        <v>9.60873E-2</v>
      </c>
      <c r="AR897" s="8">
        <v>0</v>
      </c>
      <c r="AS897">
        <v>0.61304999999999998</v>
      </c>
    </row>
    <row r="898" spans="1:45" x14ac:dyDescent="0.25">
      <c r="A898">
        <v>171</v>
      </c>
      <c r="B898">
        <v>1999</v>
      </c>
      <c r="C898" s="8">
        <v>0</v>
      </c>
      <c r="D898">
        <v>0.1023787</v>
      </c>
      <c r="E898">
        <v>0.43610929999999998</v>
      </c>
      <c r="F898">
        <v>5.2909600000000001E-2</v>
      </c>
      <c r="G898">
        <v>0.84201090000000001</v>
      </c>
      <c r="H898">
        <v>0.53398210000000002</v>
      </c>
      <c r="Q898" s="10">
        <f t="shared" si="46"/>
        <v>1.0258936996335731E-2</v>
      </c>
      <c r="AI898">
        <v>-6.5716200000000002E-2</v>
      </c>
      <c r="AJ898">
        <f t="shared" si="45"/>
        <v>-6.5716200000000002E-2</v>
      </c>
      <c r="AO898">
        <v>-6.5716200000000002E-2</v>
      </c>
      <c r="AR898" s="8">
        <v>0</v>
      </c>
      <c r="AS898">
        <v>0.77736729999999998</v>
      </c>
    </row>
    <row r="899" spans="1:45" x14ac:dyDescent="0.25">
      <c r="A899">
        <v>171</v>
      </c>
      <c r="B899">
        <v>2000</v>
      </c>
      <c r="C899" s="8">
        <v>0</v>
      </c>
      <c r="D899">
        <v>9.60873E-2</v>
      </c>
      <c r="E899">
        <v>0.38669369999999997</v>
      </c>
      <c r="F899">
        <v>4.4156300000000002E-2</v>
      </c>
      <c r="G899">
        <v>0.91706869999999996</v>
      </c>
      <c r="H899">
        <v>0.53535370000000004</v>
      </c>
      <c r="Q899" s="10">
        <f t="shared" si="46"/>
        <v>1.0469198283999654E-2</v>
      </c>
      <c r="AI899">
        <v>-6.72204E-2</v>
      </c>
      <c r="AJ899">
        <f t="shared" si="45"/>
        <v>-6.72204E-2</v>
      </c>
      <c r="AO899">
        <v>-6.72204E-2</v>
      </c>
      <c r="AR899" s="8">
        <v>0</v>
      </c>
      <c r="AS899">
        <v>1.0689070000000001</v>
      </c>
    </row>
    <row r="900" spans="1:45" x14ac:dyDescent="0.25">
      <c r="A900">
        <v>172</v>
      </c>
      <c r="B900">
        <v>1999</v>
      </c>
      <c r="C900" s="8">
        <v>0</v>
      </c>
      <c r="D900">
        <v>-6.5716200000000002E-2</v>
      </c>
      <c r="E900">
        <v>2.2734999999999998E-2</v>
      </c>
      <c r="F900">
        <v>4.7371299999999998E-2</v>
      </c>
      <c r="G900">
        <v>0.38613829999999999</v>
      </c>
      <c r="H900">
        <v>0.16866600000000001</v>
      </c>
      <c r="Q900" s="10">
        <f t="shared" si="46"/>
        <v>2.9497348976524725E-2</v>
      </c>
      <c r="AI900">
        <v>-0.1730141</v>
      </c>
      <c r="AJ900">
        <f t="shared" si="45"/>
        <v>-0.113345184</v>
      </c>
      <c r="AO900">
        <v>-0.113345184</v>
      </c>
      <c r="AR900" s="8">
        <v>0</v>
      </c>
      <c r="AS900">
        <v>0.84201090000000001</v>
      </c>
    </row>
    <row r="901" spans="1:45" x14ac:dyDescent="0.25">
      <c r="A901">
        <v>172</v>
      </c>
      <c r="B901">
        <v>2000</v>
      </c>
      <c r="C901" s="8">
        <v>0</v>
      </c>
      <c r="D901">
        <v>-6.72204E-2</v>
      </c>
      <c r="E901">
        <v>4.7970400000000003E-2</v>
      </c>
      <c r="F901">
        <v>5.0112499999999997E-2</v>
      </c>
      <c r="G901">
        <v>0.3799206</v>
      </c>
      <c r="H901">
        <v>0.2239179</v>
      </c>
      <c r="Q901" s="10">
        <f t="shared" si="46"/>
        <v>2.9068306959409859E-2</v>
      </c>
      <c r="AI901">
        <v>-0.13265350000000001</v>
      </c>
      <c r="AJ901">
        <f t="shared" ref="AJ901:AJ964" si="47">MAX(MIN(AI901,AM$5),AM$4)</f>
        <v>-0.113345184</v>
      </c>
      <c r="AO901">
        <v>-0.113345184</v>
      </c>
      <c r="AR901" s="8">
        <v>0</v>
      </c>
      <c r="AS901">
        <v>0.91706869999999996</v>
      </c>
    </row>
    <row r="902" spans="1:45" x14ac:dyDescent="0.25">
      <c r="A902">
        <v>172</v>
      </c>
      <c r="B902">
        <v>2001</v>
      </c>
      <c r="C902" s="8">
        <v>0</v>
      </c>
      <c r="D902">
        <v>-0.1730141</v>
      </c>
      <c r="E902">
        <v>4.4334499999999999E-2</v>
      </c>
      <c r="F902">
        <v>3.3798000000000002E-2</v>
      </c>
      <c r="G902">
        <v>0.46642790000000001</v>
      </c>
      <c r="H902">
        <v>0.13702629999999999</v>
      </c>
      <c r="Q902" s="10">
        <f t="shared" si="46"/>
        <v>2.6381239903593201E-2</v>
      </c>
      <c r="AI902">
        <v>-6.2918100000000005E-2</v>
      </c>
      <c r="AJ902">
        <f t="shared" si="47"/>
        <v>-6.2918100000000005E-2</v>
      </c>
      <c r="AO902">
        <v>-6.2918100000000005E-2</v>
      </c>
      <c r="AR902" s="8">
        <v>0</v>
      </c>
      <c r="AS902">
        <v>0.38613829999999999</v>
      </c>
    </row>
    <row r="903" spans="1:45" x14ac:dyDescent="0.25">
      <c r="A903">
        <v>173</v>
      </c>
      <c r="B903">
        <v>1999</v>
      </c>
      <c r="C903" s="8">
        <v>0</v>
      </c>
      <c r="D903">
        <v>-0.13265350000000001</v>
      </c>
      <c r="E903">
        <v>0.2047514</v>
      </c>
      <c r="F903">
        <v>6.1405399999999999E-2</v>
      </c>
      <c r="G903">
        <v>0.70081039999999994</v>
      </c>
      <c r="H903">
        <v>0.26532470000000002</v>
      </c>
      <c r="Q903" s="10">
        <f t="shared" ref="Q903:Q966" si="48">1/(1+EXP(-(J$6+SUMPRODUCT(K$6:O$6,D903:H903))))</f>
        <v>1.2872250401071495E-2</v>
      </c>
      <c r="AI903">
        <v>-8.8339799999999996E-2</v>
      </c>
      <c r="AJ903">
        <f t="shared" si="47"/>
        <v>-8.8339799999999996E-2</v>
      </c>
      <c r="AO903">
        <v>-8.8339799999999996E-2</v>
      </c>
      <c r="AR903" s="8">
        <v>0</v>
      </c>
      <c r="AS903">
        <v>0.3799206</v>
      </c>
    </row>
    <row r="904" spans="1:45" x14ac:dyDescent="0.25">
      <c r="A904">
        <v>173</v>
      </c>
      <c r="B904">
        <v>2000</v>
      </c>
      <c r="C904" s="8">
        <v>0</v>
      </c>
      <c r="D904">
        <v>-6.2918100000000005E-2</v>
      </c>
      <c r="E904">
        <v>0.2449144</v>
      </c>
      <c r="F904">
        <v>3.61953E-2</v>
      </c>
      <c r="G904">
        <v>0.40337260000000003</v>
      </c>
      <c r="H904">
        <v>0.2103652</v>
      </c>
      <c r="Q904" s="10">
        <f t="shared" si="48"/>
        <v>2.3484894510593796E-2</v>
      </c>
      <c r="AI904">
        <v>-7.5547100000000006E-2</v>
      </c>
      <c r="AJ904">
        <f t="shared" si="47"/>
        <v>-7.5547100000000006E-2</v>
      </c>
      <c r="AO904">
        <v>-7.5547100000000006E-2</v>
      </c>
      <c r="AR904" s="8">
        <v>0</v>
      </c>
      <c r="AS904">
        <v>0.46642790000000001</v>
      </c>
    </row>
    <row r="905" spans="1:45" x14ac:dyDescent="0.25">
      <c r="A905">
        <v>173</v>
      </c>
      <c r="B905">
        <v>2001</v>
      </c>
      <c r="C905" s="8">
        <v>0</v>
      </c>
      <c r="D905">
        <v>-8.8339799999999996E-2</v>
      </c>
      <c r="E905">
        <v>0.1512751</v>
      </c>
      <c r="F905">
        <v>-7.7275E-3</v>
      </c>
      <c r="G905">
        <v>0.21078849999999999</v>
      </c>
      <c r="H905">
        <v>0.14319670000000001</v>
      </c>
      <c r="Q905" s="10">
        <f t="shared" si="48"/>
        <v>4.8089935987601064E-2</v>
      </c>
      <c r="AI905">
        <v>-3.5513200000000002E-2</v>
      </c>
      <c r="AJ905">
        <f t="shared" si="47"/>
        <v>-3.5513200000000002E-2</v>
      </c>
      <c r="AO905">
        <v>-3.5513200000000002E-2</v>
      </c>
      <c r="AR905" s="8">
        <v>0</v>
      </c>
      <c r="AS905">
        <v>0.70081039999999994</v>
      </c>
    </row>
    <row r="906" spans="1:45" x14ac:dyDescent="0.25">
      <c r="A906">
        <v>173</v>
      </c>
      <c r="B906">
        <v>2002</v>
      </c>
      <c r="C906" s="8">
        <v>0</v>
      </c>
      <c r="D906">
        <v>-7.5547100000000006E-2</v>
      </c>
      <c r="E906">
        <v>3.4380500000000001E-2</v>
      </c>
      <c r="F906">
        <v>2.4798899999999999E-2</v>
      </c>
      <c r="G906">
        <v>8.9076299999999997E-2</v>
      </c>
      <c r="H906">
        <v>0.1616242</v>
      </c>
      <c r="Q906" s="10">
        <f t="shared" si="48"/>
        <v>5.3914672722572145E-2</v>
      </c>
      <c r="AI906">
        <v>-8.7631700000000007E-2</v>
      </c>
      <c r="AJ906">
        <f t="shared" si="47"/>
        <v>-8.7631700000000007E-2</v>
      </c>
      <c r="AO906">
        <v>-8.7631700000000007E-2</v>
      </c>
      <c r="AR906" s="8">
        <v>0</v>
      </c>
      <c r="AS906">
        <v>0.40337260000000003</v>
      </c>
    </row>
    <row r="907" spans="1:45" x14ac:dyDescent="0.25">
      <c r="A907">
        <v>173</v>
      </c>
      <c r="B907">
        <v>2003</v>
      </c>
      <c r="C907" s="8">
        <v>0</v>
      </c>
      <c r="D907">
        <v>-3.5513200000000002E-2</v>
      </c>
      <c r="E907">
        <v>-3.07218E-2</v>
      </c>
      <c r="F907">
        <v>2.8352700000000002E-2</v>
      </c>
      <c r="G907">
        <v>8.7766499999999997E-2</v>
      </c>
      <c r="H907">
        <v>0.17304849999999999</v>
      </c>
      <c r="Q907" s="10">
        <f t="shared" si="48"/>
        <v>5.8804079412759253E-2</v>
      </c>
      <c r="AI907">
        <v>-0.1263637</v>
      </c>
      <c r="AJ907">
        <f t="shared" si="47"/>
        <v>-0.113345184</v>
      </c>
      <c r="AO907">
        <v>-0.113345184</v>
      </c>
      <c r="AR907" s="8">
        <v>0</v>
      </c>
      <c r="AS907">
        <v>0.21078849999999999</v>
      </c>
    </row>
    <row r="908" spans="1:45" x14ac:dyDescent="0.25">
      <c r="A908">
        <v>173</v>
      </c>
      <c r="B908">
        <v>2004</v>
      </c>
      <c r="C908" s="8">
        <v>0</v>
      </c>
      <c r="D908">
        <v>-8.7631700000000007E-2</v>
      </c>
      <c r="E908">
        <v>-0.27491910000000003</v>
      </c>
      <c r="F908">
        <v>-7.7210999999999998E-3</v>
      </c>
      <c r="G908">
        <v>7.4033100000000004E-2</v>
      </c>
      <c r="H908">
        <v>0.194442</v>
      </c>
      <c r="Q908" s="10">
        <f t="shared" si="48"/>
        <v>0.10757349837124817</v>
      </c>
      <c r="AI908">
        <v>-0.50118969999999996</v>
      </c>
      <c r="AJ908">
        <f t="shared" si="47"/>
        <v>-0.113345184</v>
      </c>
      <c r="AO908">
        <v>-0.113345184</v>
      </c>
      <c r="AR908" s="8">
        <v>0</v>
      </c>
      <c r="AS908">
        <v>8.9076299999999997E-2</v>
      </c>
    </row>
    <row r="909" spans="1:45" x14ac:dyDescent="0.25">
      <c r="A909">
        <v>174</v>
      </c>
      <c r="B909">
        <v>2000</v>
      </c>
      <c r="C909" s="8">
        <v>0</v>
      </c>
      <c r="D909">
        <v>-0.1263637</v>
      </c>
      <c r="E909">
        <v>0.23960909999999999</v>
      </c>
      <c r="F909">
        <v>0.14104449999999999</v>
      </c>
      <c r="G909">
        <v>4.7740390000000001</v>
      </c>
      <c r="H909">
        <v>0.50113509999999994</v>
      </c>
      <c r="Q909" s="10">
        <f t="shared" si="48"/>
        <v>1.1538869022685751E-5</v>
      </c>
      <c r="AI909">
        <v>1.9066199999999998E-2</v>
      </c>
      <c r="AJ909">
        <f t="shared" si="47"/>
        <v>1.9066199999999998E-2</v>
      </c>
      <c r="AO909">
        <v>1.9066199999999998E-2</v>
      </c>
      <c r="AR909" s="8">
        <v>0</v>
      </c>
      <c r="AS909">
        <v>8.7766499999999997E-2</v>
      </c>
    </row>
    <row r="910" spans="1:45" x14ac:dyDescent="0.25">
      <c r="A910">
        <v>174</v>
      </c>
      <c r="B910">
        <v>2001</v>
      </c>
      <c r="C910" s="8">
        <v>0</v>
      </c>
      <c r="D910">
        <v>-0.50118969999999996</v>
      </c>
      <c r="E910">
        <v>5.9219399999999998E-2</v>
      </c>
      <c r="F910">
        <v>0.19803509999999999</v>
      </c>
      <c r="G910">
        <v>6.0343540000000004</v>
      </c>
      <c r="H910">
        <v>0.62603799999999998</v>
      </c>
      <c r="Q910" s="10">
        <f t="shared" si="48"/>
        <v>1.1803361966465616E-6</v>
      </c>
      <c r="AI910">
        <v>-0.53044100000000005</v>
      </c>
      <c r="AJ910">
        <f t="shared" si="47"/>
        <v>-0.113345184</v>
      </c>
      <c r="AO910">
        <v>-0.113345184</v>
      </c>
      <c r="AR910" s="8">
        <v>0</v>
      </c>
      <c r="AS910">
        <v>7.4033100000000004E-2</v>
      </c>
    </row>
    <row r="911" spans="1:45" x14ac:dyDescent="0.25">
      <c r="A911">
        <v>174</v>
      </c>
      <c r="B911">
        <v>2002</v>
      </c>
      <c r="C911" s="8">
        <v>0</v>
      </c>
      <c r="D911">
        <v>1.9066199999999998E-2</v>
      </c>
      <c r="E911">
        <v>2.32763E-2</v>
      </c>
      <c r="F911">
        <v>0.1562376</v>
      </c>
      <c r="G911">
        <v>4.3358879999999997</v>
      </c>
      <c r="H911">
        <v>0.49460130000000002</v>
      </c>
      <c r="Q911" s="10">
        <f t="shared" si="48"/>
        <v>2.9760319175272068E-5</v>
      </c>
      <c r="AI911">
        <v>-0.18204300000000001</v>
      </c>
      <c r="AJ911">
        <f t="shared" si="47"/>
        <v>-0.113345184</v>
      </c>
      <c r="AO911">
        <v>-0.113345184</v>
      </c>
      <c r="AR911" s="8">
        <v>0</v>
      </c>
      <c r="AS911">
        <v>4.7740390000000001</v>
      </c>
    </row>
    <row r="912" spans="1:45" x14ac:dyDescent="0.25">
      <c r="A912">
        <v>174</v>
      </c>
      <c r="B912">
        <v>2003</v>
      </c>
      <c r="C912" s="8">
        <v>0</v>
      </c>
      <c r="D912">
        <v>-0.53044100000000005</v>
      </c>
      <c r="E912">
        <v>-0.59003099999999997</v>
      </c>
      <c r="F912">
        <v>0.1677033</v>
      </c>
      <c r="G912">
        <v>2.4521310000000001</v>
      </c>
      <c r="H912">
        <v>0.55468499999999998</v>
      </c>
      <c r="Q912" s="10">
        <f t="shared" si="48"/>
        <v>1.1006079249429247E-3</v>
      </c>
      <c r="AI912">
        <v>8.8301999999999999E-3</v>
      </c>
      <c r="AJ912">
        <f t="shared" si="47"/>
        <v>8.8301999999999999E-3</v>
      </c>
      <c r="AO912">
        <v>8.8301999999999999E-3</v>
      </c>
      <c r="AR912" s="8">
        <v>0</v>
      </c>
      <c r="AS912">
        <v>6.0343540000000004</v>
      </c>
    </row>
    <row r="913" spans="1:45" x14ac:dyDescent="0.25">
      <c r="A913">
        <v>174</v>
      </c>
      <c r="B913">
        <v>2004</v>
      </c>
      <c r="C913" s="8">
        <v>0</v>
      </c>
      <c r="D913">
        <v>-0.18204300000000001</v>
      </c>
      <c r="E913">
        <v>-0.14261689999999999</v>
      </c>
      <c r="F913">
        <v>9.1473299999999994E-2</v>
      </c>
      <c r="G913">
        <v>1.1478060000000001</v>
      </c>
      <c r="H913">
        <v>0.34354590000000002</v>
      </c>
      <c r="Q913" s="10">
        <f t="shared" si="48"/>
        <v>8.4972355453736426E-3</v>
      </c>
      <c r="AI913">
        <v>9.2511999999999994E-3</v>
      </c>
      <c r="AJ913">
        <f t="shared" si="47"/>
        <v>9.2511999999999994E-3</v>
      </c>
      <c r="AO913">
        <v>9.2511999999999994E-3</v>
      </c>
      <c r="AR913" s="8">
        <v>0</v>
      </c>
      <c r="AS913">
        <v>4.3358879999999997</v>
      </c>
    </row>
    <row r="914" spans="1:45" x14ac:dyDescent="0.25">
      <c r="A914">
        <v>175</v>
      </c>
      <c r="B914">
        <v>2001</v>
      </c>
      <c r="C914" s="8">
        <v>0</v>
      </c>
      <c r="D914">
        <v>8.8301999999999999E-3</v>
      </c>
      <c r="E914">
        <v>0.12572320000000001</v>
      </c>
      <c r="F914">
        <v>4.9375000000000002E-2</v>
      </c>
      <c r="G914">
        <v>0.50068330000000005</v>
      </c>
      <c r="H914">
        <v>0.12873870000000001</v>
      </c>
      <c r="Q914" s="10">
        <f t="shared" si="48"/>
        <v>2.1130540909469791E-2</v>
      </c>
      <c r="AI914">
        <v>1.6532700000000001E-2</v>
      </c>
      <c r="AJ914">
        <f t="shared" si="47"/>
        <v>1.6532700000000001E-2</v>
      </c>
      <c r="AO914">
        <v>1.6532700000000001E-2</v>
      </c>
      <c r="AR914" s="8">
        <v>0</v>
      </c>
      <c r="AS914">
        <v>2.4521310000000001</v>
      </c>
    </row>
    <row r="915" spans="1:45" x14ac:dyDescent="0.25">
      <c r="A915">
        <v>175</v>
      </c>
      <c r="B915">
        <v>2002</v>
      </c>
      <c r="C915" s="8">
        <v>0</v>
      </c>
      <c r="D915">
        <v>9.2511999999999994E-3</v>
      </c>
      <c r="E915">
        <v>0.1105164</v>
      </c>
      <c r="F915">
        <v>2.8973100000000002E-2</v>
      </c>
      <c r="G915">
        <v>0.5634557</v>
      </c>
      <c r="H915">
        <v>0.12414070000000001</v>
      </c>
      <c r="Q915" s="10">
        <f t="shared" si="48"/>
        <v>2.2908313824469749E-2</v>
      </c>
      <c r="AI915">
        <v>2.84984E-2</v>
      </c>
      <c r="AJ915">
        <f t="shared" si="47"/>
        <v>2.84984E-2</v>
      </c>
      <c r="AO915">
        <v>2.84984E-2</v>
      </c>
      <c r="AR915" s="8">
        <v>0</v>
      </c>
      <c r="AS915">
        <v>1.1478060000000001</v>
      </c>
    </row>
    <row r="916" spans="1:45" x14ac:dyDescent="0.25">
      <c r="A916">
        <v>175</v>
      </c>
      <c r="B916">
        <v>2003</v>
      </c>
      <c r="C916" s="8">
        <v>0</v>
      </c>
      <c r="D916">
        <v>1.6532700000000001E-2</v>
      </c>
      <c r="E916">
        <v>0.13858470000000001</v>
      </c>
      <c r="F916">
        <v>3.2913900000000003E-2</v>
      </c>
      <c r="G916">
        <v>0.47226210000000002</v>
      </c>
      <c r="H916">
        <v>0.1095057</v>
      </c>
      <c r="Q916" s="10">
        <f t="shared" si="48"/>
        <v>2.4455472502766411E-2</v>
      </c>
      <c r="AI916">
        <v>0.28350690000000001</v>
      </c>
      <c r="AJ916">
        <f t="shared" si="47"/>
        <v>0.28350690000000001</v>
      </c>
      <c r="AO916">
        <v>0.28350690000000001</v>
      </c>
      <c r="AR916" s="8">
        <v>0</v>
      </c>
      <c r="AS916">
        <v>0.50068330000000005</v>
      </c>
    </row>
    <row r="917" spans="1:45" x14ac:dyDescent="0.25">
      <c r="A917">
        <v>175</v>
      </c>
      <c r="B917">
        <v>2004</v>
      </c>
      <c r="C917" s="8">
        <v>0</v>
      </c>
      <c r="D917">
        <v>2.84984E-2</v>
      </c>
      <c r="E917">
        <v>0.1327033</v>
      </c>
      <c r="F917">
        <v>3.9052999999999997E-2</v>
      </c>
      <c r="G917">
        <v>0.52029650000000005</v>
      </c>
      <c r="H917">
        <v>0.140565</v>
      </c>
      <c r="Q917" s="10">
        <f t="shared" si="48"/>
        <v>2.2334437701168292E-2</v>
      </c>
      <c r="AI917">
        <v>0.30084179999999999</v>
      </c>
      <c r="AJ917">
        <f t="shared" si="47"/>
        <v>0.30084179999999999</v>
      </c>
      <c r="AO917">
        <v>0.30084179999999999</v>
      </c>
      <c r="AR917" s="8">
        <v>0</v>
      </c>
      <c r="AS917">
        <v>0.5634557</v>
      </c>
    </row>
    <row r="918" spans="1:45" x14ac:dyDescent="0.25">
      <c r="A918">
        <v>176</v>
      </c>
      <c r="B918">
        <v>1999</v>
      </c>
      <c r="C918" s="8">
        <v>0</v>
      </c>
      <c r="D918">
        <v>0.28350690000000001</v>
      </c>
      <c r="E918">
        <v>0.490454</v>
      </c>
      <c r="F918">
        <v>4.5102900000000001E-2</v>
      </c>
      <c r="G918">
        <v>1.5236099999999999</v>
      </c>
      <c r="H918">
        <v>0.27295360000000002</v>
      </c>
      <c r="Q918" s="10">
        <f t="shared" si="48"/>
        <v>3.145083219819655E-3</v>
      </c>
      <c r="AI918">
        <v>0.12753900000000001</v>
      </c>
      <c r="AJ918">
        <f t="shared" si="47"/>
        <v>0.12753900000000001</v>
      </c>
      <c r="AO918">
        <v>0.12753900000000001</v>
      </c>
      <c r="AR918" s="8">
        <v>0</v>
      </c>
      <c r="AS918">
        <v>0.47226210000000002</v>
      </c>
    </row>
    <row r="919" spans="1:45" x14ac:dyDescent="0.25">
      <c r="A919">
        <v>177</v>
      </c>
      <c r="B919">
        <v>2001</v>
      </c>
      <c r="C919" s="8">
        <v>0</v>
      </c>
      <c r="D919">
        <v>0.30084179999999999</v>
      </c>
      <c r="E919">
        <v>0.13276109999999999</v>
      </c>
      <c r="F919">
        <v>5.3599599999999997E-2</v>
      </c>
      <c r="G919">
        <v>2.0077959999999999</v>
      </c>
      <c r="H919">
        <v>0.29185519999999998</v>
      </c>
      <c r="Q919" s="10">
        <f t="shared" si="48"/>
        <v>2.3305064550530178E-3</v>
      </c>
      <c r="AI919">
        <v>0.1035364</v>
      </c>
      <c r="AJ919">
        <f t="shared" si="47"/>
        <v>0.1035364</v>
      </c>
      <c r="AO919">
        <v>0.1035364</v>
      </c>
      <c r="AR919" s="8">
        <v>0</v>
      </c>
      <c r="AS919">
        <v>0.52029650000000005</v>
      </c>
    </row>
    <row r="920" spans="1:45" x14ac:dyDescent="0.25">
      <c r="A920">
        <v>177</v>
      </c>
      <c r="B920">
        <v>2002</v>
      </c>
      <c r="C920" s="8">
        <v>0</v>
      </c>
      <c r="D920">
        <v>0.12753900000000001</v>
      </c>
      <c r="E920">
        <v>0.13589570000000001</v>
      </c>
      <c r="F920">
        <v>5.7036700000000003E-2</v>
      </c>
      <c r="G920">
        <v>1.07159</v>
      </c>
      <c r="H920">
        <v>0.24443309999999999</v>
      </c>
      <c r="Q920" s="10">
        <f t="shared" si="48"/>
        <v>9.0074103644445982E-3</v>
      </c>
      <c r="AI920">
        <v>0.22795889999999999</v>
      </c>
      <c r="AJ920">
        <f t="shared" si="47"/>
        <v>0.22795889999999999</v>
      </c>
      <c r="AO920">
        <v>0.22795889999999999</v>
      </c>
      <c r="AR920" s="8">
        <v>0</v>
      </c>
      <c r="AS920">
        <v>1.5236099999999999</v>
      </c>
    </row>
    <row r="921" spans="1:45" x14ac:dyDescent="0.25">
      <c r="A921">
        <v>177</v>
      </c>
      <c r="B921">
        <v>2003</v>
      </c>
      <c r="C921" s="8">
        <v>0</v>
      </c>
      <c r="D921">
        <v>0.1035364</v>
      </c>
      <c r="E921">
        <v>0.1173647</v>
      </c>
      <c r="F921">
        <v>4.7213400000000003E-2</v>
      </c>
      <c r="G921">
        <v>0.78102590000000005</v>
      </c>
      <c r="H921">
        <v>0.24187929999999999</v>
      </c>
      <c r="Q921" s="10">
        <f t="shared" si="48"/>
        <v>1.5617449613716725E-2</v>
      </c>
      <c r="AI921">
        <v>0.32727719999999999</v>
      </c>
      <c r="AJ921">
        <f t="shared" si="47"/>
        <v>0.32727719999999999</v>
      </c>
      <c r="AO921">
        <v>0.32727719999999999</v>
      </c>
      <c r="AR921" s="8">
        <v>0</v>
      </c>
      <c r="AS921">
        <v>2.0077959999999999</v>
      </c>
    </row>
    <row r="922" spans="1:45" x14ac:dyDescent="0.25">
      <c r="A922">
        <v>177</v>
      </c>
      <c r="B922">
        <v>2004</v>
      </c>
      <c r="C922" s="8">
        <v>0</v>
      </c>
      <c r="D922">
        <v>0.22795889999999999</v>
      </c>
      <c r="E922">
        <v>0.12626270000000001</v>
      </c>
      <c r="F922">
        <v>5.47273E-2</v>
      </c>
      <c r="G922">
        <v>0.97267800000000004</v>
      </c>
      <c r="H922">
        <v>0.21778700000000001</v>
      </c>
      <c r="Q922" s="10">
        <f t="shared" si="48"/>
        <v>1.1146132654482605E-2</v>
      </c>
      <c r="AI922">
        <v>0.3675969</v>
      </c>
      <c r="AJ922">
        <f t="shared" si="47"/>
        <v>0.3675969</v>
      </c>
      <c r="AO922">
        <v>0.3675969</v>
      </c>
      <c r="AR922" s="8">
        <v>0</v>
      </c>
      <c r="AS922">
        <v>1.07159</v>
      </c>
    </row>
    <row r="923" spans="1:45" x14ac:dyDescent="0.25">
      <c r="A923">
        <v>178</v>
      </c>
      <c r="B923">
        <v>1999</v>
      </c>
      <c r="C923" s="8">
        <v>0</v>
      </c>
      <c r="D923">
        <v>0.32727719999999999</v>
      </c>
      <c r="E923">
        <v>0.1812232</v>
      </c>
      <c r="F923">
        <v>4.75434E-2</v>
      </c>
      <c r="G923">
        <v>0.24694540000000001</v>
      </c>
      <c r="H923">
        <v>0.2631155</v>
      </c>
      <c r="Q923" s="10">
        <f t="shared" si="48"/>
        <v>3.6189278353426398E-2</v>
      </c>
      <c r="AI923">
        <v>0.18211930000000001</v>
      </c>
      <c r="AJ923">
        <f t="shared" si="47"/>
        <v>0.18211930000000001</v>
      </c>
      <c r="AO923">
        <v>0.18211930000000001</v>
      </c>
      <c r="AR923" s="8">
        <v>0</v>
      </c>
      <c r="AS923">
        <v>0.78102590000000005</v>
      </c>
    </row>
    <row r="924" spans="1:45" x14ac:dyDescent="0.25">
      <c r="A924">
        <v>178</v>
      </c>
      <c r="B924">
        <v>2000</v>
      </c>
      <c r="C924" s="8">
        <v>0</v>
      </c>
      <c r="D924">
        <v>0.3675969</v>
      </c>
      <c r="E924">
        <v>0.1986444</v>
      </c>
      <c r="F924">
        <v>5.5700100000000002E-2</v>
      </c>
      <c r="G924">
        <v>0.1377428</v>
      </c>
      <c r="H924">
        <v>0.30244650000000001</v>
      </c>
      <c r="Q924" s="10">
        <f t="shared" si="48"/>
        <v>4.079279546544326E-2</v>
      </c>
      <c r="AI924">
        <v>0.37196639999999997</v>
      </c>
      <c r="AJ924">
        <f t="shared" si="47"/>
        <v>0.37196639999999997</v>
      </c>
      <c r="AO924">
        <v>0.37196639999999997</v>
      </c>
      <c r="AR924" s="8">
        <v>0</v>
      </c>
      <c r="AS924">
        <v>0.97267800000000004</v>
      </c>
    </row>
    <row r="925" spans="1:45" x14ac:dyDescent="0.25">
      <c r="A925">
        <v>178</v>
      </c>
      <c r="B925">
        <v>2001</v>
      </c>
      <c r="C925" s="8">
        <v>0</v>
      </c>
      <c r="D925">
        <v>0.18211930000000001</v>
      </c>
      <c r="E925">
        <v>0.1993209</v>
      </c>
      <c r="F925">
        <v>4.8308499999999997E-2</v>
      </c>
      <c r="G925">
        <v>0.60958009999999996</v>
      </c>
      <c r="H925">
        <v>0.27819949999999999</v>
      </c>
      <c r="Q925" s="10">
        <f t="shared" si="48"/>
        <v>1.9016216586325907E-2</v>
      </c>
      <c r="AI925">
        <v>0.35203980000000001</v>
      </c>
      <c r="AJ925">
        <f t="shared" si="47"/>
        <v>0.35203980000000001</v>
      </c>
      <c r="AO925">
        <v>0.35203980000000001</v>
      </c>
      <c r="AR925" s="8">
        <v>0</v>
      </c>
      <c r="AS925">
        <v>0.24694540000000001</v>
      </c>
    </row>
    <row r="926" spans="1:45" x14ac:dyDescent="0.25">
      <c r="A926">
        <v>178</v>
      </c>
      <c r="B926">
        <v>2002</v>
      </c>
      <c r="C926" s="8">
        <v>0</v>
      </c>
      <c r="D926">
        <v>0.37196639999999997</v>
      </c>
      <c r="E926">
        <v>0.2177336</v>
      </c>
      <c r="F926">
        <v>5.3595900000000002E-2</v>
      </c>
      <c r="G926">
        <v>0.40087919999999999</v>
      </c>
      <c r="H926">
        <v>0.28575899999999999</v>
      </c>
      <c r="Q926" s="10">
        <f t="shared" si="48"/>
        <v>2.6690624281894872E-2</v>
      </c>
      <c r="AI926">
        <v>0.37300080000000002</v>
      </c>
      <c r="AJ926">
        <f t="shared" si="47"/>
        <v>0.37300080000000002</v>
      </c>
      <c r="AO926">
        <v>0.37300080000000002</v>
      </c>
      <c r="AR926" s="8">
        <v>0</v>
      </c>
      <c r="AS926">
        <v>0.1377428</v>
      </c>
    </row>
    <row r="927" spans="1:45" x14ac:dyDescent="0.25">
      <c r="A927">
        <v>178</v>
      </c>
      <c r="B927">
        <v>2003</v>
      </c>
      <c r="C927" s="8">
        <v>0</v>
      </c>
      <c r="D927">
        <v>0.35203980000000001</v>
      </c>
      <c r="E927">
        <v>0.24236920000000001</v>
      </c>
      <c r="F927">
        <v>5.8482399999999997E-2</v>
      </c>
      <c r="G927">
        <v>0.38477860000000003</v>
      </c>
      <c r="H927">
        <v>0.30488229999999999</v>
      </c>
      <c r="Q927" s="10">
        <f t="shared" si="48"/>
        <v>2.5529832104788163E-2</v>
      </c>
      <c r="AI927">
        <v>0.24639849999999999</v>
      </c>
      <c r="AJ927">
        <f t="shared" si="47"/>
        <v>0.24639849999999999</v>
      </c>
      <c r="AO927">
        <v>0.24639849999999999</v>
      </c>
      <c r="AR927" s="8">
        <v>0</v>
      </c>
      <c r="AS927">
        <v>0.60958009999999996</v>
      </c>
    </row>
    <row r="928" spans="1:45" x14ac:dyDescent="0.25">
      <c r="A928">
        <v>178</v>
      </c>
      <c r="B928">
        <v>2004</v>
      </c>
      <c r="C928" s="8">
        <v>0</v>
      </c>
      <c r="D928">
        <v>0.37300080000000002</v>
      </c>
      <c r="E928">
        <v>0.19659570000000001</v>
      </c>
      <c r="F928">
        <v>5.2963400000000001E-2</v>
      </c>
      <c r="G928">
        <v>0.31433270000000002</v>
      </c>
      <c r="H928">
        <v>0.25683610000000001</v>
      </c>
      <c r="Q928" s="10">
        <f t="shared" si="48"/>
        <v>3.1063344084477303E-2</v>
      </c>
      <c r="AI928">
        <v>0.18663389999999999</v>
      </c>
      <c r="AJ928">
        <f t="shared" si="47"/>
        <v>0.18663389999999999</v>
      </c>
      <c r="AO928">
        <v>0.18663389999999999</v>
      </c>
      <c r="AR928" s="8">
        <v>0</v>
      </c>
      <c r="AS928">
        <v>0.40087919999999999</v>
      </c>
    </row>
    <row r="929" spans="1:45" x14ac:dyDescent="0.25">
      <c r="A929">
        <v>179</v>
      </c>
      <c r="B929">
        <v>1999</v>
      </c>
      <c r="C929" s="8">
        <v>0</v>
      </c>
      <c r="D929">
        <v>0.24639849999999999</v>
      </c>
      <c r="E929">
        <v>0.22800960000000001</v>
      </c>
      <c r="F929">
        <v>3.4756700000000001E-2</v>
      </c>
      <c r="G929">
        <v>1.8340460000000001</v>
      </c>
      <c r="H929">
        <v>0.16016449999999999</v>
      </c>
      <c r="Q929" s="10">
        <f t="shared" si="48"/>
        <v>2.802632093013483E-3</v>
      </c>
      <c r="AI929">
        <v>0.178846</v>
      </c>
      <c r="AJ929">
        <f t="shared" si="47"/>
        <v>0.178846</v>
      </c>
      <c r="AO929">
        <v>0.178846</v>
      </c>
      <c r="AR929" s="8">
        <v>0</v>
      </c>
      <c r="AS929">
        <v>0.38477860000000003</v>
      </c>
    </row>
    <row r="930" spans="1:45" x14ac:dyDescent="0.25">
      <c r="A930">
        <v>179</v>
      </c>
      <c r="B930">
        <v>2000</v>
      </c>
      <c r="C930" s="8">
        <v>0</v>
      </c>
      <c r="D930">
        <v>0.18663389999999999</v>
      </c>
      <c r="E930">
        <v>0.2171112</v>
      </c>
      <c r="F930">
        <v>4.3353700000000002E-2</v>
      </c>
      <c r="G930">
        <v>2.5374490000000001</v>
      </c>
      <c r="H930">
        <v>0.18637200000000001</v>
      </c>
      <c r="Q930" s="10">
        <f t="shared" si="48"/>
        <v>8.6081063503236897E-4</v>
      </c>
      <c r="AI930">
        <v>0.12694420000000001</v>
      </c>
      <c r="AJ930">
        <f t="shared" si="47"/>
        <v>0.12694420000000001</v>
      </c>
      <c r="AO930">
        <v>0.12694420000000001</v>
      </c>
      <c r="AR930" s="8">
        <v>0</v>
      </c>
      <c r="AS930">
        <v>0.31433270000000002</v>
      </c>
    </row>
    <row r="931" spans="1:45" x14ac:dyDescent="0.25">
      <c r="A931">
        <v>179</v>
      </c>
      <c r="B931">
        <v>2001</v>
      </c>
      <c r="C931" s="8">
        <v>0</v>
      </c>
      <c r="D931">
        <v>0.178846</v>
      </c>
      <c r="E931">
        <v>0.1871824</v>
      </c>
      <c r="F931">
        <v>3.2663499999999998E-2</v>
      </c>
      <c r="G931">
        <v>2.6388090000000002</v>
      </c>
      <c r="H931">
        <v>0.16384779999999999</v>
      </c>
      <c r="Q931" s="10">
        <f t="shared" si="48"/>
        <v>8.1912133594984934E-4</v>
      </c>
      <c r="AI931">
        <v>0.20664080000000001</v>
      </c>
      <c r="AJ931">
        <f t="shared" si="47"/>
        <v>0.20664080000000001</v>
      </c>
      <c r="AO931">
        <v>0.20664080000000001</v>
      </c>
      <c r="AR931" s="8">
        <v>0</v>
      </c>
      <c r="AS931">
        <v>1.8340460000000001</v>
      </c>
    </row>
    <row r="932" spans="1:45" x14ac:dyDescent="0.25">
      <c r="A932">
        <v>179</v>
      </c>
      <c r="B932">
        <v>2002</v>
      </c>
      <c r="C932" s="8">
        <v>0</v>
      </c>
      <c r="D932">
        <v>0.12694420000000001</v>
      </c>
      <c r="E932">
        <v>0.1784403</v>
      </c>
      <c r="F932">
        <v>4.6304699999999997E-2</v>
      </c>
      <c r="G932">
        <v>1.587188</v>
      </c>
      <c r="H932">
        <v>0.17964079999999999</v>
      </c>
      <c r="Q932" s="10">
        <f t="shared" si="48"/>
        <v>3.9161287229876173E-3</v>
      </c>
      <c r="AI932">
        <v>0.27559800000000001</v>
      </c>
      <c r="AJ932">
        <f t="shared" si="47"/>
        <v>0.27559800000000001</v>
      </c>
      <c r="AO932">
        <v>0.27559800000000001</v>
      </c>
      <c r="AR932" s="8">
        <v>0</v>
      </c>
      <c r="AS932">
        <v>2.5374490000000001</v>
      </c>
    </row>
    <row r="933" spans="1:45" x14ac:dyDescent="0.25">
      <c r="A933">
        <v>179</v>
      </c>
      <c r="B933">
        <v>2003</v>
      </c>
      <c r="C933" s="8">
        <v>0</v>
      </c>
      <c r="D933">
        <v>0.20664080000000001</v>
      </c>
      <c r="E933">
        <v>0.1082095</v>
      </c>
      <c r="F933">
        <v>4.0226600000000001E-2</v>
      </c>
      <c r="G933">
        <v>1.12503</v>
      </c>
      <c r="H933">
        <v>0.17564179999999999</v>
      </c>
      <c r="Q933" s="10">
        <f t="shared" si="48"/>
        <v>9.7474731598875559E-3</v>
      </c>
      <c r="AI933">
        <v>0.3495972</v>
      </c>
      <c r="AJ933">
        <f t="shared" si="47"/>
        <v>0.3495972</v>
      </c>
      <c r="AO933">
        <v>0.3495972</v>
      </c>
      <c r="AR933" s="8">
        <v>0</v>
      </c>
      <c r="AS933">
        <v>2.6388090000000002</v>
      </c>
    </row>
    <row r="934" spans="1:45" x14ac:dyDescent="0.25">
      <c r="A934">
        <v>179</v>
      </c>
      <c r="B934">
        <v>2004</v>
      </c>
      <c r="C934" s="8">
        <v>0</v>
      </c>
      <c r="D934">
        <v>0.27559800000000001</v>
      </c>
      <c r="E934">
        <v>0.11319700000000001</v>
      </c>
      <c r="F934">
        <v>8.04531E-2</v>
      </c>
      <c r="G934">
        <v>2.9678810000000002</v>
      </c>
      <c r="H934">
        <v>0.2136557</v>
      </c>
      <c r="Q934" s="10">
        <f t="shared" si="48"/>
        <v>3.9564352631298787E-4</v>
      </c>
      <c r="AI934">
        <v>0.30052380000000001</v>
      </c>
      <c r="AJ934">
        <f t="shared" si="47"/>
        <v>0.30052380000000001</v>
      </c>
      <c r="AO934">
        <v>0.30052380000000001</v>
      </c>
      <c r="AR934" s="8">
        <v>0</v>
      </c>
      <c r="AS934">
        <v>1.587188</v>
      </c>
    </row>
    <row r="935" spans="1:45" x14ac:dyDescent="0.25">
      <c r="A935">
        <v>180</v>
      </c>
      <c r="B935">
        <v>1999</v>
      </c>
      <c r="C935" s="8">
        <v>0</v>
      </c>
      <c r="D935">
        <v>0.3495972</v>
      </c>
      <c r="E935">
        <v>0.35786079999999998</v>
      </c>
      <c r="F935">
        <v>4.8826799999999997E-2</v>
      </c>
      <c r="G935">
        <v>0.40988560000000002</v>
      </c>
      <c r="H935">
        <v>0.36706699999999998</v>
      </c>
      <c r="Q935" s="10">
        <f t="shared" si="48"/>
        <v>2.3311450919483855E-2</v>
      </c>
      <c r="AI935">
        <v>0.30678070000000002</v>
      </c>
      <c r="AJ935">
        <f t="shared" si="47"/>
        <v>0.30678070000000002</v>
      </c>
      <c r="AO935">
        <v>0.30678070000000002</v>
      </c>
      <c r="AR935" s="8">
        <v>0</v>
      </c>
      <c r="AS935">
        <v>1.12503</v>
      </c>
    </row>
    <row r="936" spans="1:45" x14ac:dyDescent="0.25">
      <c r="A936">
        <v>180</v>
      </c>
      <c r="B936">
        <v>2000</v>
      </c>
      <c r="C936" s="8">
        <v>0</v>
      </c>
      <c r="D936">
        <v>0.30052380000000001</v>
      </c>
      <c r="E936">
        <v>0.39022089999999998</v>
      </c>
      <c r="F936">
        <v>6.3519999999999993E-2</v>
      </c>
      <c r="G936">
        <v>0.29343380000000002</v>
      </c>
      <c r="H936">
        <v>0.39888410000000002</v>
      </c>
      <c r="Q936" s="10">
        <f t="shared" si="48"/>
        <v>2.3779879899904491E-2</v>
      </c>
      <c r="AI936">
        <v>0.36592079999999999</v>
      </c>
      <c r="AJ936">
        <f t="shared" si="47"/>
        <v>0.36592079999999999</v>
      </c>
      <c r="AO936">
        <v>0.36592079999999999</v>
      </c>
      <c r="AR936" s="8">
        <v>0</v>
      </c>
      <c r="AS936">
        <v>2.9678810000000002</v>
      </c>
    </row>
    <row r="937" spans="1:45" x14ac:dyDescent="0.25">
      <c r="A937">
        <v>180</v>
      </c>
      <c r="B937">
        <v>2001</v>
      </c>
      <c r="C937" s="8">
        <v>0</v>
      </c>
      <c r="D937">
        <v>0.30678070000000002</v>
      </c>
      <c r="E937">
        <v>0.4060858</v>
      </c>
      <c r="F937">
        <v>6.49338E-2</v>
      </c>
      <c r="G937">
        <v>0.28815109999999999</v>
      </c>
      <c r="H937">
        <v>0.3989895</v>
      </c>
      <c r="Q937" s="10">
        <f t="shared" si="48"/>
        <v>2.3244936502835056E-2</v>
      </c>
      <c r="AI937">
        <v>0.29106530000000003</v>
      </c>
      <c r="AJ937">
        <f t="shared" si="47"/>
        <v>0.29106530000000003</v>
      </c>
      <c r="AO937">
        <v>0.29106530000000003</v>
      </c>
      <c r="AR937" s="8">
        <v>0</v>
      </c>
      <c r="AS937">
        <v>0.40988560000000002</v>
      </c>
    </row>
    <row r="938" spans="1:45" x14ac:dyDescent="0.25">
      <c r="A938">
        <v>180</v>
      </c>
      <c r="B938">
        <v>2002</v>
      </c>
      <c r="C938" s="8">
        <v>0</v>
      </c>
      <c r="D938">
        <v>0.36592079999999999</v>
      </c>
      <c r="E938">
        <v>0.35496850000000002</v>
      </c>
      <c r="F938">
        <v>4.6835000000000002E-2</v>
      </c>
      <c r="G938">
        <v>0.30130699999999999</v>
      </c>
      <c r="H938">
        <v>0.40931020000000001</v>
      </c>
      <c r="Q938" s="10">
        <f t="shared" si="48"/>
        <v>2.9054089546143337E-2</v>
      </c>
      <c r="AI938">
        <v>0.24510390000000001</v>
      </c>
      <c r="AJ938">
        <f t="shared" si="47"/>
        <v>0.24510390000000001</v>
      </c>
      <c r="AO938">
        <v>0.24510390000000001</v>
      </c>
      <c r="AR938" s="8">
        <v>0</v>
      </c>
      <c r="AS938">
        <v>0.29343380000000002</v>
      </c>
    </row>
    <row r="939" spans="1:45" x14ac:dyDescent="0.25">
      <c r="A939">
        <v>180</v>
      </c>
      <c r="B939">
        <v>2003</v>
      </c>
      <c r="C939" s="8">
        <v>0</v>
      </c>
      <c r="D939">
        <v>0.29106530000000003</v>
      </c>
      <c r="E939">
        <v>0.3647282</v>
      </c>
      <c r="F939">
        <v>4.9539100000000003E-2</v>
      </c>
      <c r="G939">
        <v>0.35486299999999998</v>
      </c>
      <c r="H939">
        <v>0.39997840000000001</v>
      </c>
      <c r="Q939" s="10">
        <f t="shared" si="48"/>
        <v>2.4914337293051605E-2</v>
      </c>
      <c r="AI939">
        <v>7.8111100000000003E-2</v>
      </c>
      <c r="AJ939">
        <f t="shared" si="47"/>
        <v>7.8111100000000003E-2</v>
      </c>
      <c r="AO939">
        <v>7.8111100000000003E-2</v>
      </c>
      <c r="AR939" s="8">
        <v>0</v>
      </c>
      <c r="AS939">
        <v>0.28815109999999999</v>
      </c>
    </row>
    <row r="940" spans="1:45" x14ac:dyDescent="0.25">
      <c r="A940">
        <v>180</v>
      </c>
      <c r="B940">
        <v>2004</v>
      </c>
      <c r="C940" s="8">
        <v>0</v>
      </c>
      <c r="D940">
        <v>0.24510390000000001</v>
      </c>
      <c r="E940">
        <v>0.43999490000000002</v>
      </c>
      <c r="F940">
        <v>4.0937899999999999E-2</v>
      </c>
      <c r="G940">
        <v>0.63899609999999996</v>
      </c>
      <c r="H940">
        <v>0.43954359999999998</v>
      </c>
      <c r="Q940" s="10">
        <f t="shared" si="48"/>
        <v>1.5442948735121188E-2</v>
      </c>
      <c r="AI940">
        <v>8.3175200000000005E-2</v>
      </c>
      <c r="AJ940">
        <f t="shared" si="47"/>
        <v>8.3175200000000005E-2</v>
      </c>
      <c r="AO940">
        <v>8.3175200000000005E-2</v>
      </c>
      <c r="AR940" s="8">
        <v>0</v>
      </c>
      <c r="AS940">
        <v>0.30130699999999999</v>
      </c>
    </row>
    <row r="941" spans="1:45" x14ac:dyDescent="0.25">
      <c r="A941">
        <v>181</v>
      </c>
      <c r="B941">
        <v>1998</v>
      </c>
      <c r="C941" s="8">
        <v>0</v>
      </c>
      <c r="D941">
        <v>7.8111100000000003E-2</v>
      </c>
      <c r="E941">
        <v>0.29714309999999999</v>
      </c>
      <c r="F941">
        <v>5.7395300000000003E-2</v>
      </c>
      <c r="G941">
        <v>2.3920360000000001</v>
      </c>
      <c r="H941">
        <v>0.17160339999999999</v>
      </c>
      <c r="Q941" s="10">
        <f t="shared" si="48"/>
        <v>8.1797803348356631E-4</v>
      </c>
      <c r="AI941">
        <v>6.9668499999999994E-2</v>
      </c>
      <c r="AJ941">
        <f t="shared" si="47"/>
        <v>6.9668499999999994E-2</v>
      </c>
      <c r="AO941">
        <v>6.9668499999999994E-2</v>
      </c>
      <c r="AR941" s="8">
        <v>0</v>
      </c>
      <c r="AS941">
        <v>0.35486299999999998</v>
      </c>
    </row>
    <row r="942" spans="1:45" x14ac:dyDescent="0.25">
      <c r="A942">
        <v>181</v>
      </c>
      <c r="B942">
        <v>1999</v>
      </c>
      <c r="C942" s="8">
        <v>0</v>
      </c>
      <c r="D942">
        <v>8.3175200000000005E-2</v>
      </c>
      <c r="E942">
        <v>0.31859799999999999</v>
      </c>
      <c r="F942">
        <v>3.4196499999999998E-2</v>
      </c>
      <c r="G942">
        <v>2.3900619999999999</v>
      </c>
      <c r="H942">
        <v>0.15448400000000001</v>
      </c>
      <c r="Q942" s="10">
        <f t="shared" si="48"/>
        <v>9.4928760205773943E-4</v>
      </c>
      <c r="AI942">
        <v>4.6353800000000001E-2</v>
      </c>
      <c r="AJ942">
        <f t="shared" si="47"/>
        <v>4.6353800000000001E-2</v>
      </c>
      <c r="AO942">
        <v>4.6353800000000001E-2</v>
      </c>
      <c r="AR942" s="8">
        <v>0</v>
      </c>
      <c r="AS942">
        <v>0.63899609999999996</v>
      </c>
    </row>
    <row r="943" spans="1:45" x14ac:dyDescent="0.25">
      <c r="A943">
        <v>181</v>
      </c>
      <c r="B943">
        <v>2000</v>
      </c>
      <c r="C943" s="8">
        <v>0</v>
      </c>
      <c r="D943">
        <v>6.9668499999999994E-2</v>
      </c>
      <c r="E943">
        <v>0.29867909999999998</v>
      </c>
      <c r="F943">
        <v>4.9718100000000001E-2</v>
      </c>
      <c r="G943">
        <v>3.8465699999999998</v>
      </c>
      <c r="H943">
        <v>0.18141930000000001</v>
      </c>
      <c r="Q943" s="10">
        <f t="shared" si="48"/>
        <v>8.5746274820050331E-5</v>
      </c>
      <c r="AI943">
        <v>3.04946E-2</v>
      </c>
      <c r="AJ943">
        <f t="shared" si="47"/>
        <v>3.04946E-2</v>
      </c>
      <c r="AO943">
        <v>3.04946E-2</v>
      </c>
      <c r="AR943" s="8">
        <v>0</v>
      </c>
      <c r="AS943">
        <v>2.3920360000000001</v>
      </c>
    </row>
    <row r="944" spans="1:45" x14ac:dyDescent="0.25">
      <c r="A944">
        <v>181</v>
      </c>
      <c r="B944">
        <v>2001</v>
      </c>
      <c r="C944" s="8">
        <v>0</v>
      </c>
      <c r="D944">
        <v>4.6353800000000001E-2</v>
      </c>
      <c r="E944">
        <v>0.313031</v>
      </c>
      <c r="F944">
        <v>3.9049599999999997E-2</v>
      </c>
      <c r="G944">
        <v>1.8865160000000001</v>
      </c>
      <c r="H944">
        <v>0.15697349999999999</v>
      </c>
      <c r="Q944" s="10">
        <f t="shared" si="48"/>
        <v>2.0236182310089165E-3</v>
      </c>
      <c r="AI944">
        <v>1.76995E-2</v>
      </c>
      <c r="AJ944">
        <f t="shared" si="47"/>
        <v>1.76995E-2</v>
      </c>
      <c r="AO944">
        <v>1.76995E-2</v>
      </c>
      <c r="AR944" s="8">
        <v>0</v>
      </c>
      <c r="AS944">
        <v>2.3900619999999999</v>
      </c>
    </row>
    <row r="945" spans="1:45" x14ac:dyDescent="0.25">
      <c r="A945">
        <v>181</v>
      </c>
      <c r="B945">
        <v>2002</v>
      </c>
      <c r="C945" s="8">
        <v>0</v>
      </c>
      <c r="D945">
        <v>3.04946E-2</v>
      </c>
      <c r="E945">
        <v>0.28627649999999999</v>
      </c>
      <c r="F945">
        <v>4.1528599999999999E-2</v>
      </c>
      <c r="G945">
        <v>1.182623</v>
      </c>
      <c r="H945">
        <v>0.16836570000000001</v>
      </c>
      <c r="Q945" s="10">
        <f t="shared" si="48"/>
        <v>6.3082876681488107E-3</v>
      </c>
      <c r="AI945">
        <v>-1.05367E-2</v>
      </c>
      <c r="AJ945">
        <f t="shared" si="47"/>
        <v>-1.05367E-2</v>
      </c>
      <c r="AO945">
        <v>-1.05367E-2</v>
      </c>
      <c r="AR945" s="8">
        <v>0</v>
      </c>
      <c r="AS945">
        <v>3.8465699999999998</v>
      </c>
    </row>
    <row r="946" spans="1:45" x14ac:dyDescent="0.25">
      <c r="A946">
        <v>181</v>
      </c>
      <c r="B946">
        <v>2003</v>
      </c>
      <c r="C946" s="8">
        <v>0</v>
      </c>
      <c r="D946">
        <v>1.76995E-2</v>
      </c>
      <c r="E946">
        <v>0.29011229999999999</v>
      </c>
      <c r="F946">
        <v>3.5906399999999998E-2</v>
      </c>
      <c r="G946">
        <v>1.598832</v>
      </c>
      <c r="H946">
        <v>0.15194460000000001</v>
      </c>
      <c r="Q946" s="10">
        <f t="shared" si="48"/>
        <v>3.3384163788616819E-3</v>
      </c>
      <c r="AI946">
        <v>0.17089070000000001</v>
      </c>
      <c r="AJ946">
        <f t="shared" si="47"/>
        <v>0.17089070000000001</v>
      </c>
      <c r="AO946">
        <v>0.17089070000000001</v>
      </c>
      <c r="AR946" s="8">
        <v>0</v>
      </c>
      <c r="AS946">
        <v>1.8865160000000001</v>
      </c>
    </row>
    <row r="947" spans="1:45" x14ac:dyDescent="0.25">
      <c r="A947">
        <v>181</v>
      </c>
      <c r="B947">
        <v>2004</v>
      </c>
      <c r="C947" s="8">
        <v>0</v>
      </c>
      <c r="D947">
        <v>-1.05367E-2</v>
      </c>
      <c r="E947">
        <v>0.32351059999999998</v>
      </c>
      <c r="F947">
        <v>5.1129099999999997E-2</v>
      </c>
      <c r="G947">
        <v>1.690272</v>
      </c>
      <c r="H947">
        <v>0.16347700000000001</v>
      </c>
      <c r="Q947" s="10">
        <f t="shared" si="48"/>
        <v>2.424950858771955E-3</v>
      </c>
      <c r="AI947">
        <v>0.17799519999999999</v>
      </c>
      <c r="AJ947">
        <f t="shared" si="47"/>
        <v>0.17799519999999999</v>
      </c>
      <c r="AO947">
        <v>0.17799519999999999</v>
      </c>
      <c r="AR947" s="8">
        <v>0</v>
      </c>
      <c r="AS947">
        <v>1.182623</v>
      </c>
    </row>
    <row r="948" spans="1:45" x14ac:dyDescent="0.25">
      <c r="A948">
        <v>182</v>
      </c>
      <c r="B948">
        <v>1999</v>
      </c>
      <c r="C948" s="8">
        <v>0</v>
      </c>
      <c r="D948">
        <v>0.17089070000000001</v>
      </c>
      <c r="E948">
        <v>2.2319700000000001E-2</v>
      </c>
      <c r="F948">
        <v>5.1394799999999997E-2</v>
      </c>
      <c r="G948">
        <v>0.31809399999999999</v>
      </c>
      <c r="H948">
        <v>0.39396219999999998</v>
      </c>
      <c r="Q948" s="10">
        <f t="shared" si="48"/>
        <v>3.9964071839230286E-2</v>
      </c>
      <c r="AI948">
        <v>0.1090745</v>
      </c>
      <c r="AJ948">
        <f t="shared" si="47"/>
        <v>0.1090745</v>
      </c>
      <c r="AO948">
        <v>0.1090745</v>
      </c>
      <c r="AR948" s="8">
        <v>0</v>
      </c>
      <c r="AS948">
        <v>1.598832</v>
      </c>
    </row>
    <row r="949" spans="1:45" x14ac:dyDescent="0.25">
      <c r="A949">
        <v>182</v>
      </c>
      <c r="B949">
        <v>2000</v>
      </c>
      <c r="C949" s="8">
        <v>0</v>
      </c>
      <c r="D949">
        <v>0.17799519999999999</v>
      </c>
      <c r="E949">
        <v>-3.8885999999999999E-3</v>
      </c>
      <c r="F949">
        <v>1.8722800000000001E-2</v>
      </c>
      <c r="G949">
        <v>0.1049134</v>
      </c>
      <c r="H949">
        <v>0.34922170000000002</v>
      </c>
      <c r="Q949" s="10">
        <f t="shared" si="48"/>
        <v>7.1451987692279673E-2</v>
      </c>
      <c r="AI949">
        <v>0.18466199999999999</v>
      </c>
      <c r="AJ949">
        <f t="shared" si="47"/>
        <v>0.18466199999999999</v>
      </c>
      <c r="AO949">
        <v>0.18466199999999999</v>
      </c>
      <c r="AR949" s="8">
        <v>0</v>
      </c>
      <c r="AS949">
        <v>1.690272</v>
      </c>
    </row>
    <row r="950" spans="1:45" x14ac:dyDescent="0.25">
      <c r="A950">
        <v>182</v>
      </c>
      <c r="B950">
        <v>2001</v>
      </c>
      <c r="C950" s="8">
        <v>0</v>
      </c>
      <c r="D950">
        <v>0.1090745</v>
      </c>
      <c r="E950">
        <v>-2.02314E-2</v>
      </c>
      <c r="F950">
        <v>4.8581199999999998E-2</v>
      </c>
      <c r="G950">
        <v>0.21891279999999999</v>
      </c>
      <c r="H950">
        <v>0.35714240000000003</v>
      </c>
      <c r="Q950" s="10">
        <f t="shared" si="48"/>
        <v>4.8108452982537263E-2</v>
      </c>
      <c r="AI950">
        <v>0.2498669</v>
      </c>
      <c r="AJ950">
        <f t="shared" si="47"/>
        <v>0.2498669</v>
      </c>
      <c r="AO950">
        <v>0.2498669</v>
      </c>
      <c r="AR950" s="8">
        <v>0</v>
      </c>
      <c r="AS950">
        <v>0.31809399999999999</v>
      </c>
    </row>
    <row r="951" spans="1:45" x14ac:dyDescent="0.25">
      <c r="A951">
        <v>182</v>
      </c>
      <c r="B951">
        <v>2002</v>
      </c>
      <c r="C951" s="8">
        <v>0</v>
      </c>
      <c r="D951">
        <v>0.18466199999999999</v>
      </c>
      <c r="E951">
        <v>1.31871E-2</v>
      </c>
      <c r="F951">
        <v>3.8701100000000002E-2</v>
      </c>
      <c r="G951">
        <v>0.1658173</v>
      </c>
      <c r="H951">
        <v>0.1650877</v>
      </c>
      <c r="Q951" s="10">
        <f t="shared" si="48"/>
        <v>4.9376781817158155E-2</v>
      </c>
      <c r="AI951">
        <v>0.26665830000000001</v>
      </c>
      <c r="AJ951">
        <f t="shared" si="47"/>
        <v>0.26665830000000001</v>
      </c>
      <c r="AO951">
        <v>0.26665830000000001</v>
      </c>
      <c r="AR951" s="8">
        <v>0</v>
      </c>
      <c r="AS951">
        <v>0.1049134</v>
      </c>
    </row>
    <row r="952" spans="1:45" x14ac:dyDescent="0.25">
      <c r="A952">
        <v>182</v>
      </c>
      <c r="B952">
        <v>2003</v>
      </c>
      <c r="C952" s="8">
        <v>0</v>
      </c>
      <c r="D952">
        <v>0.2498669</v>
      </c>
      <c r="E952">
        <v>-7.92992E-2</v>
      </c>
      <c r="F952">
        <v>5.1992400000000001E-2</v>
      </c>
      <c r="G952">
        <v>0.62251299999999998</v>
      </c>
      <c r="H952">
        <v>0.28961550000000003</v>
      </c>
      <c r="Q952" s="10">
        <f t="shared" si="48"/>
        <v>2.7839283941983314E-2</v>
      </c>
      <c r="AI952">
        <v>0.29264689999999999</v>
      </c>
      <c r="AJ952">
        <f t="shared" si="47"/>
        <v>0.29264689999999999</v>
      </c>
      <c r="AO952">
        <v>0.29264689999999999</v>
      </c>
      <c r="AR952" s="8">
        <v>0</v>
      </c>
      <c r="AS952">
        <v>0.21891279999999999</v>
      </c>
    </row>
    <row r="953" spans="1:45" x14ac:dyDescent="0.25">
      <c r="A953">
        <v>182</v>
      </c>
      <c r="B953">
        <v>2004</v>
      </c>
      <c r="C953" s="8">
        <v>0</v>
      </c>
      <c r="D953">
        <v>0.26665830000000001</v>
      </c>
      <c r="E953">
        <v>-1.3768499999999999E-2</v>
      </c>
      <c r="F953">
        <v>7.3105299999999998E-2</v>
      </c>
      <c r="G953">
        <v>1.4375599999999999</v>
      </c>
      <c r="H953">
        <v>0.3612244</v>
      </c>
      <c r="Q953" s="10">
        <f t="shared" si="48"/>
        <v>6.2758061129844526E-3</v>
      </c>
      <c r="AI953">
        <v>0.19922329999999999</v>
      </c>
      <c r="AJ953">
        <f t="shared" si="47"/>
        <v>0.19922329999999999</v>
      </c>
      <c r="AO953">
        <v>0.19922329999999999</v>
      </c>
      <c r="AR953" s="8">
        <v>0</v>
      </c>
      <c r="AS953">
        <v>0.1658173</v>
      </c>
    </row>
    <row r="954" spans="1:45" x14ac:dyDescent="0.25">
      <c r="A954">
        <v>183</v>
      </c>
      <c r="B954">
        <v>2000</v>
      </c>
      <c r="C954" s="8">
        <v>0</v>
      </c>
      <c r="D954">
        <v>0.29264689999999999</v>
      </c>
      <c r="E954">
        <v>0.2134847</v>
      </c>
      <c r="F954">
        <v>9.3031000000000003E-2</v>
      </c>
      <c r="G954">
        <v>4.5558779999999999</v>
      </c>
      <c r="H954">
        <v>0.67302660000000003</v>
      </c>
      <c r="Q954" s="10">
        <f t="shared" si="48"/>
        <v>3.2969023504356802E-5</v>
      </c>
      <c r="AI954">
        <v>0.3021761</v>
      </c>
      <c r="AJ954">
        <f t="shared" si="47"/>
        <v>0.3021761</v>
      </c>
      <c r="AO954">
        <v>0.3021761</v>
      </c>
      <c r="AR954" s="8">
        <v>0</v>
      </c>
      <c r="AS954">
        <v>0.62251299999999998</v>
      </c>
    </row>
    <row r="955" spans="1:45" x14ac:dyDescent="0.25">
      <c r="A955">
        <v>183</v>
      </c>
      <c r="B955">
        <v>2001</v>
      </c>
      <c r="C955" s="8">
        <v>0</v>
      </c>
      <c r="D955">
        <v>0.19922329999999999</v>
      </c>
      <c r="E955">
        <v>0.2698257</v>
      </c>
      <c r="F955">
        <v>9.0940900000000005E-2</v>
      </c>
      <c r="G955">
        <v>3.514659</v>
      </c>
      <c r="H955">
        <v>0.64189110000000005</v>
      </c>
      <c r="Q955" s="10">
        <f t="shared" si="48"/>
        <v>1.5316521153117902E-4</v>
      </c>
      <c r="AI955">
        <v>0.37238009999999999</v>
      </c>
      <c r="AJ955">
        <f t="shared" si="47"/>
        <v>0.37238009999999999</v>
      </c>
      <c r="AO955">
        <v>0.37238009999999999</v>
      </c>
      <c r="AR955" s="8">
        <v>0</v>
      </c>
      <c r="AS955">
        <v>1.4375599999999999</v>
      </c>
    </row>
    <row r="956" spans="1:45" x14ac:dyDescent="0.25">
      <c r="A956">
        <v>183</v>
      </c>
      <c r="B956">
        <v>2002</v>
      </c>
      <c r="C956" s="8">
        <v>0</v>
      </c>
      <c r="D956">
        <v>0.3021761</v>
      </c>
      <c r="E956">
        <v>0.37813999999999998</v>
      </c>
      <c r="F956">
        <v>0.114907</v>
      </c>
      <c r="G956">
        <v>3.6211519999999999</v>
      </c>
      <c r="H956">
        <v>0.77426689999999998</v>
      </c>
      <c r="Q956" s="10">
        <f t="shared" si="48"/>
        <v>1.0327155764302574E-4</v>
      </c>
      <c r="AI956">
        <v>0.34244279999999999</v>
      </c>
      <c r="AJ956">
        <f t="shared" si="47"/>
        <v>0.34244279999999999</v>
      </c>
      <c r="AO956">
        <v>0.34244279999999999</v>
      </c>
      <c r="AR956" s="8">
        <v>0</v>
      </c>
      <c r="AS956">
        <v>4.5558779999999999</v>
      </c>
    </row>
    <row r="957" spans="1:45" x14ac:dyDescent="0.25">
      <c r="A957">
        <v>183</v>
      </c>
      <c r="B957">
        <v>2003</v>
      </c>
      <c r="C957" s="8">
        <v>0</v>
      </c>
      <c r="D957">
        <v>0.37238009999999999</v>
      </c>
      <c r="E957">
        <v>0.40581499999999998</v>
      </c>
      <c r="F957">
        <v>0.11001030000000001</v>
      </c>
      <c r="G957">
        <v>6.9991539999999999</v>
      </c>
      <c r="H957">
        <v>0.77446959999999998</v>
      </c>
      <c r="Q957" s="10">
        <f t="shared" si="48"/>
        <v>4.879448351703806E-7</v>
      </c>
      <c r="AI957">
        <v>-1.35269E-2</v>
      </c>
      <c r="AJ957">
        <f t="shared" si="47"/>
        <v>-1.35269E-2</v>
      </c>
      <c r="AO957">
        <v>-1.35269E-2</v>
      </c>
      <c r="AR957" s="8">
        <v>0</v>
      </c>
      <c r="AS957">
        <v>3.514659</v>
      </c>
    </row>
    <row r="958" spans="1:45" x14ac:dyDescent="0.25">
      <c r="A958">
        <v>183</v>
      </c>
      <c r="B958">
        <v>2004</v>
      </c>
      <c r="C958" s="8">
        <v>0</v>
      </c>
      <c r="D958">
        <v>0.34244279999999999</v>
      </c>
      <c r="E958">
        <v>0.41325250000000002</v>
      </c>
      <c r="F958">
        <v>0.10945870000000001</v>
      </c>
      <c r="G958">
        <v>5.7659539999999998</v>
      </c>
      <c r="H958">
        <v>0.79892099999999999</v>
      </c>
      <c r="Q958" s="10">
        <f t="shared" si="48"/>
        <v>3.4694971758356209E-6</v>
      </c>
      <c r="AI958">
        <v>-1.73892E-2</v>
      </c>
      <c r="AJ958">
        <f t="shared" si="47"/>
        <v>-1.73892E-2</v>
      </c>
      <c r="AO958">
        <v>-1.73892E-2</v>
      </c>
      <c r="AR958" s="8">
        <v>0</v>
      </c>
      <c r="AS958">
        <v>3.6211519999999999</v>
      </c>
    </row>
    <row r="959" spans="1:45" x14ac:dyDescent="0.25">
      <c r="A959">
        <v>184</v>
      </c>
      <c r="B959">
        <v>1999</v>
      </c>
      <c r="C959" s="8">
        <v>0</v>
      </c>
      <c r="D959">
        <v>-1.35269E-2</v>
      </c>
      <c r="E959">
        <v>0.106572</v>
      </c>
      <c r="F959">
        <v>3.60329E-2</v>
      </c>
      <c r="G959">
        <v>0.63585570000000002</v>
      </c>
      <c r="H959">
        <v>0.10310329999999999</v>
      </c>
      <c r="Q959" s="10">
        <f t="shared" si="48"/>
        <v>1.9045975667387933E-2</v>
      </c>
      <c r="AI959">
        <v>-4.2668600000000001E-2</v>
      </c>
      <c r="AJ959">
        <f t="shared" si="47"/>
        <v>-4.2668600000000001E-2</v>
      </c>
      <c r="AO959">
        <v>-4.2668600000000001E-2</v>
      </c>
      <c r="AR959" s="8">
        <v>0</v>
      </c>
      <c r="AS959">
        <v>6.9991539999999999</v>
      </c>
    </row>
    <row r="960" spans="1:45" x14ac:dyDescent="0.25">
      <c r="A960">
        <v>184</v>
      </c>
      <c r="B960">
        <v>2000</v>
      </c>
      <c r="C960" s="8">
        <v>0</v>
      </c>
      <c r="D960">
        <v>-1.73892E-2</v>
      </c>
      <c r="E960">
        <v>5.4227900000000002E-2</v>
      </c>
      <c r="F960">
        <v>3.19493E-2</v>
      </c>
      <c r="G960">
        <v>0.75273869999999998</v>
      </c>
      <c r="H960">
        <v>0.12157999999999999</v>
      </c>
      <c r="Q960" s="10">
        <f t="shared" si="48"/>
        <v>1.7822513082555509E-2</v>
      </c>
      <c r="AI960">
        <v>-3.5157000000000001E-3</v>
      </c>
      <c r="AJ960">
        <f t="shared" si="47"/>
        <v>-3.5157000000000001E-3</v>
      </c>
      <c r="AO960">
        <v>-3.5157000000000001E-3</v>
      </c>
      <c r="AR960" s="8">
        <v>0</v>
      </c>
      <c r="AS960">
        <v>5.7659539999999998</v>
      </c>
    </row>
    <row r="961" spans="1:45" x14ac:dyDescent="0.25">
      <c r="A961">
        <v>184</v>
      </c>
      <c r="B961">
        <v>2001</v>
      </c>
      <c r="C961" s="8">
        <v>0</v>
      </c>
      <c r="D961">
        <v>-4.2668600000000001E-2</v>
      </c>
      <c r="E961">
        <v>6.9839399999999996E-2</v>
      </c>
      <c r="F961">
        <v>2.3472E-2</v>
      </c>
      <c r="G961">
        <v>0.64941150000000003</v>
      </c>
      <c r="H961">
        <v>8.3253900000000006E-2</v>
      </c>
      <c r="Q961" s="10">
        <f t="shared" si="48"/>
        <v>2.117018232354036E-2</v>
      </c>
      <c r="AI961">
        <v>-6.6148999999999999E-3</v>
      </c>
      <c r="AJ961">
        <f t="shared" si="47"/>
        <v>-6.6148999999999999E-3</v>
      </c>
      <c r="AO961">
        <v>-6.6148999999999999E-3</v>
      </c>
      <c r="AR961" s="8">
        <v>0</v>
      </c>
      <c r="AS961">
        <v>0.63585570000000002</v>
      </c>
    </row>
    <row r="962" spans="1:45" x14ac:dyDescent="0.25">
      <c r="A962">
        <v>184</v>
      </c>
      <c r="B962">
        <v>2002</v>
      </c>
      <c r="C962" s="8">
        <v>0</v>
      </c>
      <c r="D962">
        <v>-3.5157000000000001E-3</v>
      </c>
      <c r="E962">
        <v>6.0515399999999997E-2</v>
      </c>
      <c r="F962">
        <v>4.83344E-2</v>
      </c>
      <c r="G962">
        <v>0.63019420000000004</v>
      </c>
      <c r="H962">
        <v>0.11381819999999999</v>
      </c>
      <c r="Q962" s="10">
        <f t="shared" si="48"/>
        <v>1.883004451349226E-2</v>
      </c>
      <c r="AI962">
        <v>1.5547099999999999E-2</v>
      </c>
      <c r="AJ962">
        <f t="shared" si="47"/>
        <v>1.5547099999999999E-2</v>
      </c>
      <c r="AO962">
        <v>1.5547099999999999E-2</v>
      </c>
      <c r="AR962" s="8">
        <v>0</v>
      </c>
      <c r="AS962">
        <v>0.75273869999999998</v>
      </c>
    </row>
    <row r="963" spans="1:45" x14ac:dyDescent="0.25">
      <c r="A963">
        <v>184</v>
      </c>
      <c r="B963">
        <v>2003</v>
      </c>
      <c r="C963" s="8">
        <v>0</v>
      </c>
      <c r="D963">
        <v>-6.6148999999999999E-3</v>
      </c>
      <c r="E963">
        <v>4.0571599999999999E-2</v>
      </c>
      <c r="F963">
        <v>4.5836500000000002E-2</v>
      </c>
      <c r="G963">
        <v>0.66391520000000004</v>
      </c>
      <c r="H963">
        <v>0.1022306</v>
      </c>
      <c r="Q963" s="10">
        <f t="shared" si="48"/>
        <v>1.8587283915557282E-2</v>
      </c>
      <c r="AI963">
        <v>0.1020259</v>
      </c>
      <c r="AJ963">
        <f t="shared" si="47"/>
        <v>0.1020259</v>
      </c>
      <c r="AO963">
        <v>0.1020259</v>
      </c>
      <c r="AR963" s="8">
        <v>0</v>
      </c>
      <c r="AS963">
        <v>0.64941150000000003</v>
      </c>
    </row>
    <row r="964" spans="1:45" x14ac:dyDescent="0.25">
      <c r="A964">
        <v>184</v>
      </c>
      <c r="B964">
        <v>2004</v>
      </c>
      <c r="C964" s="8">
        <v>0</v>
      </c>
      <c r="D964">
        <v>1.5547099999999999E-2</v>
      </c>
      <c r="E964">
        <v>3.1401100000000001E-2</v>
      </c>
      <c r="F964">
        <v>2.9863600000000001E-2</v>
      </c>
      <c r="G964">
        <v>0.69614989999999999</v>
      </c>
      <c r="H964">
        <v>0.11484800000000001</v>
      </c>
      <c r="Q964" s="10">
        <f t="shared" si="48"/>
        <v>2.0637761853772394E-2</v>
      </c>
      <c r="AI964">
        <v>0.12791259999999999</v>
      </c>
      <c r="AJ964">
        <f t="shared" si="47"/>
        <v>0.12791259999999999</v>
      </c>
      <c r="AO964">
        <v>0.12791259999999999</v>
      </c>
      <c r="AR964" s="8">
        <v>0</v>
      </c>
      <c r="AS964">
        <v>0.63019420000000004</v>
      </c>
    </row>
    <row r="965" spans="1:45" x14ac:dyDescent="0.25">
      <c r="A965">
        <v>185</v>
      </c>
      <c r="B965">
        <v>1999</v>
      </c>
      <c r="C965" s="8">
        <v>0</v>
      </c>
      <c r="D965">
        <v>0.1020259</v>
      </c>
      <c r="E965">
        <v>0.1574757</v>
      </c>
      <c r="F965">
        <v>6.2531799999999998E-2</v>
      </c>
      <c r="G965">
        <v>1.433516</v>
      </c>
      <c r="H965">
        <v>0.2352998</v>
      </c>
      <c r="Q965" s="10">
        <f t="shared" si="48"/>
        <v>4.6372367631762803E-3</v>
      </c>
      <c r="AI965">
        <v>7.3769899999999999E-2</v>
      </c>
      <c r="AJ965">
        <f t="shared" ref="AJ965:AJ1028" si="49">MAX(MIN(AI965,AM$5),AM$4)</f>
        <v>7.3769899999999999E-2</v>
      </c>
      <c r="AO965">
        <v>7.3769899999999999E-2</v>
      </c>
      <c r="AR965" s="8">
        <v>0</v>
      </c>
      <c r="AS965">
        <v>0.66391520000000004</v>
      </c>
    </row>
    <row r="966" spans="1:45" x14ac:dyDescent="0.25">
      <c r="A966">
        <v>185</v>
      </c>
      <c r="B966">
        <v>2000</v>
      </c>
      <c r="C966" s="8">
        <v>0</v>
      </c>
      <c r="D966">
        <v>0.12791259999999999</v>
      </c>
      <c r="E966">
        <v>0.1687815</v>
      </c>
      <c r="F966">
        <v>5.0957700000000002E-2</v>
      </c>
      <c r="G966">
        <v>1.0835159999999999</v>
      </c>
      <c r="H966">
        <v>0.23181160000000001</v>
      </c>
      <c r="Q966" s="10">
        <f t="shared" si="48"/>
        <v>8.7794614244448808E-3</v>
      </c>
      <c r="AI966">
        <v>9.2845999999999998E-2</v>
      </c>
      <c r="AJ966">
        <f t="shared" si="49"/>
        <v>9.2845999999999998E-2</v>
      </c>
      <c r="AO966">
        <v>9.2845999999999998E-2</v>
      </c>
      <c r="AR966" s="8">
        <v>0</v>
      </c>
      <c r="AS966">
        <v>0.69614989999999999</v>
      </c>
    </row>
    <row r="967" spans="1:45" x14ac:dyDescent="0.25">
      <c r="A967">
        <v>185</v>
      </c>
      <c r="B967">
        <v>2001</v>
      </c>
      <c r="C967" s="8">
        <v>0</v>
      </c>
      <c r="D967">
        <v>7.3769899999999999E-2</v>
      </c>
      <c r="E967">
        <v>0.12621979999999999</v>
      </c>
      <c r="F967">
        <v>5.2153100000000001E-2</v>
      </c>
      <c r="G967">
        <v>0.81532260000000001</v>
      </c>
      <c r="H967">
        <v>0.2136557</v>
      </c>
      <c r="Q967" s="10">
        <f t="shared" ref="Q967:Q1030" si="50">1/(1+EXP(-(J$6+SUMPRODUCT(K$6:O$6,D967:H967))))</f>
        <v>1.364699407083819E-2</v>
      </c>
      <c r="AI967">
        <v>8.2750500000000005E-2</v>
      </c>
      <c r="AJ967">
        <f t="shared" si="49"/>
        <v>8.2750500000000005E-2</v>
      </c>
      <c r="AO967">
        <v>8.2750500000000005E-2</v>
      </c>
      <c r="AR967" s="8">
        <v>0</v>
      </c>
      <c r="AS967">
        <v>1.433516</v>
      </c>
    </row>
    <row r="968" spans="1:45" x14ac:dyDescent="0.25">
      <c r="A968">
        <v>185</v>
      </c>
      <c r="B968">
        <v>2002</v>
      </c>
      <c r="C968" s="8">
        <v>0</v>
      </c>
      <c r="D968">
        <v>9.2845999999999998E-2</v>
      </c>
      <c r="E968">
        <v>0.14695079999999999</v>
      </c>
      <c r="F968">
        <v>5.65113E-2</v>
      </c>
      <c r="G968">
        <v>0.84997730000000005</v>
      </c>
      <c r="H968">
        <v>0.2243608</v>
      </c>
      <c r="Q968" s="10">
        <f t="shared" si="50"/>
        <v>1.2295063539322542E-2</v>
      </c>
      <c r="AI968">
        <v>0.1116168</v>
      </c>
      <c r="AJ968">
        <f t="shared" si="49"/>
        <v>0.1116168</v>
      </c>
      <c r="AO968">
        <v>0.1116168</v>
      </c>
      <c r="AR968" s="8">
        <v>0</v>
      </c>
      <c r="AS968">
        <v>1.0835159999999999</v>
      </c>
    </row>
    <row r="969" spans="1:45" x14ac:dyDescent="0.25">
      <c r="A969">
        <v>185</v>
      </c>
      <c r="B969">
        <v>2003</v>
      </c>
      <c r="C969" s="8">
        <v>0</v>
      </c>
      <c r="D969">
        <v>8.2750500000000005E-2</v>
      </c>
      <c r="E969">
        <v>9.2828599999999997E-2</v>
      </c>
      <c r="F969">
        <v>2.2955E-2</v>
      </c>
      <c r="G969">
        <v>1.0451950000000001</v>
      </c>
      <c r="H969">
        <v>0.27439069999999999</v>
      </c>
      <c r="Q969" s="10">
        <f t="shared" si="50"/>
        <v>1.3082005761023025E-2</v>
      </c>
      <c r="AI969">
        <v>3.8406299999999997E-2</v>
      </c>
      <c r="AJ969">
        <f t="shared" si="49"/>
        <v>3.8406299999999997E-2</v>
      </c>
      <c r="AO969">
        <v>3.8406299999999997E-2</v>
      </c>
      <c r="AR969" s="8">
        <v>0</v>
      </c>
      <c r="AS969">
        <v>0.81532260000000001</v>
      </c>
    </row>
    <row r="970" spans="1:45" x14ac:dyDescent="0.25">
      <c r="A970">
        <v>185</v>
      </c>
      <c r="B970">
        <v>2004</v>
      </c>
      <c r="C970" s="8">
        <v>0</v>
      </c>
      <c r="D970">
        <v>0.1116168</v>
      </c>
      <c r="E970">
        <v>6.3383400000000006E-2</v>
      </c>
      <c r="F970">
        <v>2.7837600000000001E-2</v>
      </c>
      <c r="G970">
        <v>0.95001679999999999</v>
      </c>
      <c r="H970">
        <v>0.28801769999999999</v>
      </c>
      <c r="Q970" s="10">
        <f t="shared" si="50"/>
        <v>1.5557859796012177E-2</v>
      </c>
      <c r="AI970">
        <v>2.2495100000000001E-2</v>
      </c>
      <c r="AJ970">
        <f t="shared" si="49"/>
        <v>2.2495100000000001E-2</v>
      </c>
      <c r="AO970">
        <v>2.2495100000000001E-2</v>
      </c>
      <c r="AR970" s="8">
        <v>0</v>
      </c>
      <c r="AS970">
        <v>0.84997730000000005</v>
      </c>
    </row>
    <row r="971" spans="1:45" x14ac:dyDescent="0.25">
      <c r="A971">
        <v>186</v>
      </c>
      <c r="B971">
        <v>1999</v>
      </c>
      <c r="C971" s="8">
        <v>0</v>
      </c>
      <c r="D971">
        <v>3.8406299999999997E-2</v>
      </c>
      <c r="E971">
        <v>0.41854789999999997</v>
      </c>
      <c r="F971">
        <v>8.27793E-2</v>
      </c>
      <c r="G971">
        <v>1.204631</v>
      </c>
      <c r="H971">
        <v>0.43239739999999999</v>
      </c>
      <c r="Q971" s="10">
        <f t="shared" si="50"/>
        <v>4.2778307640355846E-3</v>
      </c>
      <c r="AI971">
        <v>6.1120000000000002E-3</v>
      </c>
      <c r="AJ971">
        <f t="shared" si="49"/>
        <v>6.1120000000000002E-3</v>
      </c>
      <c r="AO971">
        <v>6.1120000000000002E-3</v>
      </c>
      <c r="AR971" s="8">
        <v>0</v>
      </c>
      <c r="AS971">
        <v>1.0451950000000001</v>
      </c>
    </row>
    <row r="972" spans="1:45" x14ac:dyDescent="0.25">
      <c r="A972">
        <v>186</v>
      </c>
      <c r="B972">
        <v>2000</v>
      </c>
      <c r="C972" s="8">
        <v>0</v>
      </c>
      <c r="D972">
        <v>2.2495100000000001E-2</v>
      </c>
      <c r="E972">
        <v>0.43820969999999998</v>
      </c>
      <c r="F972">
        <v>6.1105100000000002E-2</v>
      </c>
      <c r="G972">
        <v>1.2696730000000001</v>
      </c>
      <c r="H972">
        <v>0.44208589999999998</v>
      </c>
      <c r="Q972" s="10">
        <f t="shared" si="50"/>
        <v>4.4540496372281052E-3</v>
      </c>
      <c r="AI972">
        <v>5.90585E-2</v>
      </c>
      <c r="AJ972">
        <f t="shared" si="49"/>
        <v>5.90585E-2</v>
      </c>
      <c r="AO972">
        <v>5.90585E-2</v>
      </c>
      <c r="AR972" s="8">
        <v>0</v>
      </c>
      <c r="AS972">
        <v>0.95001679999999999</v>
      </c>
    </row>
    <row r="973" spans="1:45" x14ac:dyDescent="0.25">
      <c r="A973">
        <v>186</v>
      </c>
      <c r="B973">
        <v>2002</v>
      </c>
      <c r="C973" s="8">
        <v>0</v>
      </c>
      <c r="D973">
        <v>6.1120000000000002E-3</v>
      </c>
      <c r="E973">
        <v>0.50394490000000003</v>
      </c>
      <c r="F973">
        <v>6.66847E-2</v>
      </c>
      <c r="G973">
        <v>1.1310990000000001</v>
      </c>
      <c r="H973">
        <v>0.45446449999999999</v>
      </c>
      <c r="Q973" s="10">
        <f t="shared" si="50"/>
        <v>4.8304354589970263E-3</v>
      </c>
      <c r="AI973">
        <v>0.1626562</v>
      </c>
      <c r="AJ973">
        <f t="shared" si="49"/>
        <v>0.1626562</v>
      </c>
      <c r="AO973">
        <v>0.1626562</v>
      </c>
      <c r="AR973" s="8">
        <v>0</v>
      </c>
      <c r="AS973">
        <v>1.204631</v>
      </c>
    </row>
    <row r="974" spans="1:45" x14ac:dyDescent="0.25">
      <c r="A974">
        <v>186</v>
      </c>
      <c r="B974">
        <v>2003</v>
      </c>
      <c r="C974" s="8">
        <v>0</v>
      </c>
      <c r="D974">
        <v>5.90585E-2</v>
      </c>
      <c r="E974">
        <v>0.51213739999999996</v>
      </c>
      <c r="F974">
        <v>6.3942600000000002E-2</v>
      </c>
      <c r="G974">
        <v>1.5856570000000001</v>
      </c>
      <c r="H974">
        <v>0.41171079999999999</v>
      </c>
      <c r="Q974" s="10">
        <f t="shared" si="50"/>
        <v>2.3596253792729028E-3</v>
      </c>
      <c r="AI974">
        <v>0.1022622</v>
      </c>
      <c r="AJ974">
        <f t="shared" si="49"/>
        <v>0.1022622</v>
      </c>
      <c r="AO974">
        <v>0.1022622</v>
      </c>
      <c r="AR974" s="8">
        <v>0</v>
      </c>
      <c r="AS974">
        <v>1.2696730000000001</v>
      </c>
    </row>
    <row r="975" spans="1:45" x14ac:dyDescent="0.25">
      <c r="A975">
        <v>186</v>
      </c>
      <c r="B975">
        <v>2004</v>
      </c>
      <c r="C975" s="8">
        <v>0</v>
      </c>
      <c r="D975">
        <v>0.1626562</v>
      </c>
      <c r="E975">
        <v>0.20806269999999999</v>
      </c>
      <c r="F975">
        <v>6.2556200000000006E-2</v>
      </c>
      <c r="G975">
        <v>1.719592</v>
      </c>
      <c r="H975">
        <v>0.28654269999999998</v>
      </c>
      <c r="Q975" s="10">
        <f t="shared" si="50"/>
        <v>2.8953600620016083E-3</v>
      </c>
      <c r="AI975">
        <v>0.1128765</v>
      </c>
      <c r="AJ975">
        <f t="shared" si="49"/>
        <v>0.1128765</v>
      </c>
      <c r="AO975">
        <v>0.1128765</v>
      </c>
      <c r="AR975" s="8">
        <v>0</v>
      </c>
      <c r="AS975">
        <v>1.1310990000000001</v>
      </c>
    </row>
    <row r="976" spans="1:45" x14ac:dyDescent="0.25">
      <c r="A976">
        <v>187</v>
      </c>
      <c r="B976">
        <v>1999</v>
      </c>
      <c r="C976" s="8">
        <v>0</v>
      </c>
      <c r="D976">
        <v>0.1022622</v>
      </c>
      <c r="E976">
        <v>0.70509120000000003</v>
      </c>
      <c r="F976">
        <v>7.9791299999999996E-2</v>
      </c>
      <c r="G976">
        <v>4.4266620000000003</v>
      </c>
      <c r="H976">
        <v>0.33783220000000003</v>
      </c>
      <c r="Q976" s="10">
        <f t="shared" si="50"/>
        <v>1.6543291200464354E-5</v>
      </c>
      <c r="AI976">
        <v>0.20145189999999999</v>
      </c>
      <c r="AJ976">
        <f t="shared" si="49"/>
        <v>0.20145189999999999</v>
      </c>
      <c r="AO976">
        <v>0.20145189999999999</v>
      </c>
      <c r="AR976" s="8">
        <v>0</v>
      </c>
      <c r="AS976">
        <v>1.5856570000000001</v>
      </c>
    </row>
    <row r="977" spans="1:45" x14ac:dyDescent="0.25">
      <c r="A977">
        <v>187</v>
      </c>
      <c r="B977">
        <v>2000</v>
      </c>
      <c r="C977" s="8">
        <v>0</v>
      </c>
      <c r="D977">
        <v>0.1128765</v>
      </c>
      <c r="E977">
        <v>0.65805729999999996</v>
      </c>
      <c r="F977">
        <v>6.9857299999999997E-2</v>
      </c>
      <c r="G977">
        <v>3.3711820000000001</v>
      </c>
      <c r="H977">
        <v>0.30175190000000002</v>
      </c>
      <c r="Q977" s="10">
        <f t="shared" si="50"/>
        <v>1.0127022602514178E-4</v>
      </c>
      <c r="AI977">
        <v>0.25271589999999999</v>
      </c>
      <c r="AJ977">
        <f t="shared" si="49"/>
        <v>0.25271589999999999</v>
      </c>
      <c r="AO977">
        <v>0.25271589999999999</v>
      </c>
      <c r="AR977" s="8">
        <v>0</v>
      </c>
      <c r="AS977">
        <v>1.719592</v>
      </c>
    </row>
    <row r="978" spans="1:45" x14ac:dyDescent="0.25">
      <c r="A978">
        <v>187</v>
      </c>
      <c r="B978">
        <v>2001</v>
      </c>
      <c r="C978" s="8">
        <v>0</v>
      </c>
      <c r="D978">
        <v>0.20145189999999999</v>
      </c>
      <c r="E978">
        <v>0.747776</v>
      </c>
      <c r="F978">
        <v>5.8700700000000001E-2</v>
      </c>
      <c r="G978">
        <v>3.628682</v>
      </c>
      <c r="H978">
        <v>0.23200680000000001</v>
      </c>
      <c r="Q978" s="10">
        <f t="shared" si="50"/>
        <v>6.4055587396564449E-5</v>
      </c>
      <c r="AI978">
        <v>0.16419320000000001</v>
      </c>
      <c r="AJ978">
        <f t="shared" si="49"/>
        <v>0.16419320000000001</v>
      </c>
      <c r="AO978">
        <v>0.16419320000000001</v>
      </c>
      <c r="AR978" s="8">
        <v>0</v>
      </c>
      <c r="AS978">
        <v>4.4266620000000003</v>
      </c>
    </row>
    <row r="979" spans="1:45" x14ac:dyDescent="0.25">
      <c r="A979">
        <v>187</v>
      </c>
      <c r="B979">
        <v>2002</v>
      </c>
      <c r="C979" s="8">
        <v>0</v>
      </c>
      <c r="D979">
        <v>0.25271589999999999</v>
      </c>
      <c r="E979">
        <v>0.7353324</v>
      </c>
      <c r="F979">
        <v>4.5027499999999998E-2</v>
      </c>
      <c r="G979">
        <v>2.9207429999999999</v>
      </c>
      <c r="H979">
        <v>0.27277790000000002</v>
      </c>
      <c r="Q979" s="10">
        <f t="shared" si="50"/>
        <v>2.3550295594322441E-4</v>
      </c>
      <c r="AI979">
        <v>0.1281659</v>
      </c>
      <c r="AJ979">
        <f t="shared" si="49"/>
        <v>0.1281659</v>
      </c>
      <c r="AO979">
        <v>0.1281659</v>
      </c>
      <c r="AR979" s="8">
        <v>0</v>
      </c>
      <c r="AS979">
        <v>3.3711820000000001</v>
      </c>
    </row>
    <row r="980" spans="1:45" x14ac:dyDescent="0.25">
      <c r="A980">
        <v>187</v>
      </c>
      <c r="B980">
        <v>2004</v>
      </c>
      <c r="C980" s="8">
        <v>0</v>
      </c>
      <c r="D980">
        <v>0.16419320000000001</v>
      </c>
      <c r="E980">
        <v>0.69330740000000002</v>
      </c>
      <c r="F980">
        <v>4.9814299999999999E-2</v>
      </c>
      <c r="G980">
        <v>3.2221099999999998</v>
      </c>
      <c r="H980">
        <v>0.28329280000000001</v>
      </c>
      <c r="Q980" s="10">
        <f t="shared" si="50"/>
        <v>1.4463393765057006E-4</v>
      </c>
      <c r="AI980">
        <v>9.2622300000000005E-2</v>
      </c>
      <c r="AJ980">
        <f t="shared" si="49"/>
        <v>9.2622300000000005E-2</v>
      </c>
      <c r="AO980">
        <v>9.2622300000000005E-2</v>
      </c>
      <c r="AR980" s="8">
        <v>0</v>
      </c>
      <c r="AS980">
        <v>3.628682</v>
      </c>
    </row>
    <row r="981" spans="1:45" x14ac:dyDescent="0.25">
      <c r="A981">
        <v>188</v>
      </c>
      <c r="B981">
        <v>1999</v>
      </c>
      <c r="C981" s="8">
        <v>0</v>
      </c>
      <c r="D981">
        <v>0.1281659</v>
      </c>
      <c r="E981">
        <v>0.54797890000000005</v>
      </c>
      <c r="F981">
        <v>6.3050700000000001E-2</v>
      </c>
      <c r="G981">
        <v>1.7437320000000001</v>
      </c>
      <c r="H981">
        <v>0.23900689999999999</v>
      </c>
      <c r="Q981" s="10">
        <f t="shared" si="50"/>
        <v>1.6224926736433081E-3</v>
      </c>
      <c r="AI981">
        <v>8.7552599999999994E-2</v>
      </c>
      <c r="AJ981">
        <f t="shared" si="49"/>
        <v>8.7552599999999994E-2</v>
      </c>
      <c r="AO981">
        <v>8.7552599999999994E-2</v>
      </c>
      <c r="AR981" s="8">
        <v>0</v>
      </c>
      <c r="AS981">
        <v>2.9207429999999999</v>
      </c>
    </row>
    <row r="982" spans="1:45" x14ac:dyDescent="0.25">
      <c r="A982">
        <v>188</v>
      </c>
      <c r="B982">
        <v>2000</v>
      </c>
      <c r="C982" s="8">
        <v>0</v>
      </c>
      <c r="D982">
        <v>9.2622300000000005E-2</v>
      </c>
      <c r="E982">
        <v>0.51042399999999999</v>
      </c>
      <c r="F982">
        <v>4.88834E-2</v>
      </c>
      <c r="G982">
        <v>1.3703780000000001</v>
      </c>
      <c r="H982">
        <v>0.29708190000000001</v>
      </c>
      <c r="Q982" s="10">
        <f t="shared" si="50"/>
        <v>3.5473487092019095E-3</v>
      </c>
      <c r="AI982">
        <v>9.6967499999999998E-2</v>
      </c>
      <c r="AJ982">
        <f t="shared" si="49"/>
        <v>9.6967499999999998E-2</v>
      </c>
      <c r="AO982">
        <v>9.6967499999999998E-2</v>
      </c>
      <c r="AR982" s="8">
        <v>0</v>
      </c>
      <c r="AS982">
        <v>3.2221099999999998</v>
      </c>
    </row>
    <row r="983" spans="1:45" x14ac:dyDescent="0.25">
      <c r="A983">
        <v>188</v>
      </c>
      <c r="B983">
        <v>2001</v>
      </c>
      <c r="C983" s="8">
        <v>0</v>
      </c>
      <c r="D983">
        <v>8.7552599999999994E-2</v>
      </c>
      <c r="E983">
        <v>0.29907339999999999</v>
      </c>
      <c r="F983">
        <v>2.93561E-2</v>
      </c>
      <c r="G983">
        <v>1.2183949999999999</v>
      </c>
      <c r="H983">
        <v>0.19636290000000001</v>
      </c>
      <c r="Q983" s="10">
        <f t="shared" si="50"/>
        <v>6.7140766218228287E-3</v>
      </c>
      <c r="AI983">
        <v>0.10749</v>
      </c>
      <c r="AJ983">
        <f t="shared" si="49"/>
        <v>0.10749</v>
      </c>
      <c r="AO983">
        <v>0.10749</v>
      </c>
      <c r="AR983" s="8">
        <v>0</v>
      </c>
      <c r="AS983">
        <v>1.7437320000000001</v>
      </c>
    </row>
    <row r="984" spans="1:45" x14ac:dyDescent="0.25">
      <c r="A984">
        <v>188</v>
      </c>
      <c r="B984">
        <v>2002</v>
      </c>
      <c r="C984" s="8">
        <v>0</v>
      </c>
      <c r="D984">
        <v>9.6967499999999998E-2</v>
      </c>
      <c r="E984">
        <v>0.2233279</v>
      </c>
      <c r="F984">
        <v>3.5263299999999997E-2</v>
      </c>
      <c r="G984">
        <v>0.89639000000000002</v>
      </c>
      <c r="H984">
        <v>0.20559350000000001</v>
      </c>
      <c r="Q984" s="10">
        <f t="shared" si="50"/>
        <v>1.1995429790199838E-2</v>
      </c>
      <c r="AI984">
        <v>0.147761</v>
      </c>
      <c r="AJ984">
        <f t="shared" si="49"/>
        <v>0.147761</v>
      </c>
      <c r="AO984">
        <v>0.147761</v>
      </c>
      <c r="AR984" s="8">
        <v>0</v>
      </c>
      <c r="AS984">
        <v>1.3703780000000001</v>
      </c>
    </row>
    <row r="985" spans="1:45" x14ac:dyDescent="0.25">
      <c r="A985">
        <v>188</v>
      </c>
      <c r="B985">
        <v>2003</v>
      </c>
      <c r="C985" s="8">
        <v>0</v>
      </c>
      <c r="D985">
        <v>0.10749</v>
      </c>
      <c r="E985">
        <v>0.2295719</v>
      </c>
      <c r="F985">
        <v>2.8613599999999999E-2</v>
      </c>
      <c r="G985">
        <v>1.2046250000000001</v>
      </c>
      <c r="H985">
        <v>0.23916180000000001</v>
      </c>
      <c r="Q985" s="10">
        <f t="shared" si="50"/>
        <v>7.8990118695125705E-3</v>
      </c>
      <c r="AI985">
        <v>-5.9730100000000001E-2</v>
      </c>
      <c r="AJ985">
        <f t="shared" si="49"/>
        <v>-5.9730100000000001E-2</v>
      </c>
      <c r="AO985">
        <v>-5.9730100000000001E-2</v>
      </c>
      <c r="AR985" s="8">
        <v>0</v>
      </c>
      <c r="AS985">
        <v>1.2183949999999999</v>
      </c>
    </row>
    <row r="986" spans="1:45" x14ac:dyDescent="0.25">
      <c r="A986">
        <v>188</v>
      </c>
      <c r="B986">
        <v>2004</v>
      </c>
      <c r="C986" s="8">
        <v>0</v>
      </c>
      <c r="D986">
        <v>0.147761</v>
      </c>
      <c r="E986">
        <v>0.2675052</v>
      </c>
      <c r="F986">
        <v>4.7598300000000003E-2</v>
      </c>
      <c r="G986">
        <v>1.4182859999999999</v>
      </c>
      <c r="H986">
        <v>0.25455899999999998</v>
      </c>
      <c r="Q986" s="10">
        <f t="shared" si="50"/>
        <v>4.7052422068574792E-3</v>
      </c>
      <c r="AI986">
        <v>-0.1337197</v>
      </c>
      <c r="AJ986">
        <f t="shared" si="49"/>
        <v>-0.113345184</v>
      </c>
      <c r="AO986">
        <v>-0.113345184</v>
      </c>
      <c r="AR986" s="8">
        <v>0</v>
      </c>
      <c r="AS986">
        <v>0.89639000000000002</v>
      </c>
    </row>
    <row r="987" spans="1:45" x14ac:dyDescent="0.25">
      <c r="A987">
        <v>189</v>
      </c>
      <c r="B987">
        <v>1999</v>
      </c>
      <c r="C987" s="8">
        <v>0</v>
      </c>
      <c r="D987">
        <v>-5.9730100000000001E-2</v>
      </c>
      <c r="E987">
        <v>0.56351490000000004</v>
      </c>
      <c r="F987">
        <v>0.1056634</v>
      </c>
      <c r="G987">
        <v>5.7554179999999997</v>
      </c>
      <c r="H987">
        <v>0.39389420000000003</v>
      </c>
      <c r="Q987" s="10">
        <f t="shared" si="50"/>
        <v>1.9251693423055682E-6</v>
      </c>
      <c r="AI987">
        <v>-0.2342824</v>
      </c>
      <c r="AJ987">
        <f t="shared" si="49"/>
        <v>-0.113345184</v>
      </c>
      <c r="AO987">
        <v>-0.113345184</v>
      </c>
      <c r="AR987" s="8">
        <v>0</v>
      </c>
      <c r="AS987">
        <v>1.2046250000000001</v>
      </c>
    </row>
    <row r="988" spans="1:45" x14ac:dyDescent="0.25">
      <c r="A988">
        <v>189</v>
      </c>
      <c r="B988">
        <v>2000</v>
      </c>
      <c r="C988" s="8">
        <v>0</v>
      </c>
      <c r="D988">
        <v>-0.1337197</v>
      </c>
      <c r="E988">
        <v>0.46729860000000001</v>
      </c>
      <c r="F988">
        <v>0.1107079</v>
      </c>
      <c r="G988">
        <v>4.0463909999999998</v>
      </c>
      <c r="H988">
        <v>0.4437777</v>
      </c>
      <c r="Q988" s="10">
        <f t="shared" si="50"/>
        <v>3.2403978337732571E-5</v>
      </c>
      <c r="AI988">
        <v>-0.28620309999999999</v>
      </c>
      <c r="AJ988">
        <f t="shared" si="49"/>
        <v>-0.113345184</v>
      </c>
      <c r="AO988">
        <v>-0.113345184</v>
      </c>
      <c r="AR988" s="8">
        <v>0</v>
      </c>
      <c r="AS988">
        <v>1.4182859999999999</v>
      </c>
    </row>
    <row r="989" spans="1:45" x14ac:dyDescent="0.25">
      <c r="A989">
        <v>189</v>
      </c>
      <c r="B989">
        <v>2001</v>
      </c>
      <c r="C989" s="8">
        <v>0</v>
      </c>
      <c r="D989">
        <v>-0.2342824</v>
      </c>
      <c r="E989">
        <v>0.49753160000000002</v>
      </c>
      <c r="F989">
        <v>6.4435599999999996E-2</v>
      </c>
      <c r="G989">
        <v>3.5305409999999999</v>
      </c>
      <c r="H989">
        <v>0.36208560000000001</v>
      </c>
      <c r="Q989" s="10">
        <f t="shared" si="50"/>
        <v>9.3144553559150044E-5</v>
      </c>
      <c r="AI989">
        <v>-0.2464636</v>
      </c>
      <c r="AJ989">
        <f t="shared" si="49"/>
        <v>-0.113345184</v>
      </c>
      <c r="AO989">
        <v>-0.113345184</v>
      </c>
      <c r="AR989" s="8">
        <v>0</v>
      </c>
      <c r="AS989">
        <v>5.7554179999999997</v>
      </c>
    </row>
    <row r="990" spans="1:45" x14ac:dyDescent="0.25">
      <c r="A990">
        <v>189</v>
      </c>
      <c r="B990">
        <v>2002</v>
      </c>
      <c r="C990" s="8">
        <v>0</v>
      </c>
      <c r="D990">
        <v>-0.28620309999999999</v>
      </c>
      <c r="E990">
        <v>0.63077669999999997</v>
      </c>
      <c r="F990">
        <v>6.8656400000000006E-2</v>
      </c>
      <c r="G990">
        <v>3.046662</v>
      </c>
      <c r="H990">
        <v>0.37168109999999999</v>
      </c>
      <c r="Q990" s="10">
        <f t="shared" si="50"/>
        <v>1.5792527068593867E-4</v>
      </c>
      <c r="AI990">
        <v>-0.30062660000000002</v>
      </c>
      <c r="AJ990">
        <f t="shared" si="49"/>
        <v>-0.113345184</v>
      </c>
      <c r="AO990">
        <v>-0.113345184</v>
      </c>
      <c r="AR990" s="8">
        <v>0</v>
      </c>
      <c r="AS990">
        <v>4.0463909999999998</v>
      </c>
    </row>
    <row r="991" spans="1:45" x14ac:dyDescent="0.25">
      <c r="A991">
        <v>189</v>
      </c>
      <c r="B991">
        <v>2003</v>
      </c>
      <c r="C991" s="8">
        <v>0</v>
      </c>
      <c r="D991">
        <v>-0.2464636</v>
      </c>
      <c r="E991">
        <v>0.66426099999999999</v>
      </c>
      <c r="F991">
        <v>6.5220299999999995E-2</v>
      </c>
      <c r="G991">
        <v>3.456404</v>
      </c>
      <c r="H991">
        <v>0.3465298</v>
      </c>
      <c r="Q991" s="10">
        <f t="shared" si="50"/>
        <v>8.0553099651904566E-5</v>
      </c>
      <c r="AI991">
        <v>-0.1043024</v>
      </c>
      <c r="AJ991">
        <f t="shared" si="49"/>
        <v>-0.1043024</v>
      </c>
      <c r="AO991">
        <v>-0.1043024</v>
      </c>
      <c r="AR991" s="8">
        <v>0</v>
      </c>
      <c r="AS991">
        <v>3.5305409999999999</v>
      </c>
    </row>
    <row r="992" spans="1:45" x14ac:dyDescent="0.25">
      <c r="A992">
        <v>189</v>
      </c>
      <c r="B992">
        <v>2004</v>
      </c>
      <c r="C992" s="8">
        <v>0</v>
      </c>
      <c r="D992">
        <v>-0.30062660000000002</v>
      </c>
      <c r="E992">
        <v>0.63841429999999999</v>
      </c>
      <c r="F992">
        <v>8.3505899999999994E-2</v>
      </c>
      <c r="G992">
        <v>2.9262060000000001</v>
      </c>
      <c r="H992">
        <v>0.35628280000000001</v>
      </c>
      <c r="Q992" s="10">
        <f t="shared" si="50"/>
        <v>1.6544941325818098E-4</v>
      </c>
      <c r="AI992">
        <v>-8.8357000000000005E-2</v>
      </c>
      <c r="AJ992">
        <f t="shared" si="49"/>
        <v>-8.8357000000000005E-2</v>
      </c>
      <c r="AO992">
        <v>-8.8357000000000005E-2</v>
      </c>
      <c r="AR992" s="8">
        <v>0</v>
      </c>
      <c r="AS992">
        <v>3.046662</v>
      </c>
    </row>
    <row r="993" spans="1:45" x14ac:dyDescent="0.25">
      <c r="A993">
        <v>190</v>
      </c>
      <c r="B993">
        <v>1999</v>
      </c>
      <c r="C993" s="8">
        <v>0</v>
      </c>
      <c r="D993">
        <v>-0.1043024</v>
      </c>
      <c r="E993">
        <v>0.17109940000000001</v>
      </c>
      <c r="F993">
        <v>5.7044200000000003E-2</v>
      </c>
      <c r="G993">
        <v>2.4092859999999998</v>
      </c>
      <c r="H993">
        <v>0.19483120000000001</v>
      </c>
      <c r="Q993" s="10">
        <f t="shared" si="50"/>
        <v>9.0157622806590499E-4</v>
      </c>
      <c r="AI993">
        <v>-9.92952E-2</v>
      </c>
      <c r="AJ993">
        <f t="shared" si="49"/>
        <v>-9.92952E-2</v>
      </c>
      <c r="AO993">
        <v>-9.92952E-2</v>
      </c>
      <c r="AR993" s="8">
        <v>0</v>
      </c>
      <c r="AS993">
        <v>3.456404</v>
      </c>
    </row>
    <row r="994" spans="1:45" x14ac:dyDescent="0.25">
      <c r="A994">
        <v>190</v>
      </c>
      <c r="B994">
        <v>2000</v>
      </c>
      <c r="C994" s="8">
        <v>0</v>
      </c>
      <c r="D994">
        <v>-8.8357000000000005E-2</v>
      </c>
      <c r="E994">
        <v>0.12745899999999999</v>
      </c>
      <c r="F994">
        <v>5.7180599999999998E-2</v>
      </c>
      <c r="G994">
        <v>1.8115270000000001</v>
      </c>
      <c r="H994">
        <v>0.20810890000000001</v>
      </c>
      <c r="Q994" s="10">
        <f t="shared" si="50"/>
        <v>2.5207381552128641E-3</v>
      </c>
      <c r="AI994">
        <v>-6.9098699999999999E-2</v>
      </c>
      <c r="AJ994">
        <f t="shared" si="49"/>
        <v>-6.9098699999999999E-2</v>
      </c>
      <c r="AO994">
        <v>-6.9098699999999999E-2</v>
      </c>
      <c r="AR994" s="8">
        <v>0</v>
      </c>
      <c r="AS994">
        <v>2.9262060000000001</v>
      </c>
    </row>
    <row r="995" spans="1:45" x14ac:dyDescent="0.25">
      <c r="A995">
        <v>190</v>
      </c>
      <c r="B995">
        <v>2001</v>
      </c>
      <c r="C995" s="8">
        <v>0</v>
      </c>
      <c r="D995">
        <v>-9.92952E-2</v>
      </c>
      <c r="E995">
        <v>0.1461636</v>
      </c>
      <c r="F995">
        <v>5.8213899999999999E-2</v>
      </c>
      <c r="G995">
        <v>1.995171</v>
      </c>
      <c r="H995">
        <v>0.2232277</v>
      </c>
      <c r="Q995" s="10">
        <f t="shared" si="50"/>
        <v>1.8257095584867178E-3</v>
      </c>
      <c r="AI995">
        <v>1.7447000000000001E-3</v>
      </c>
      <c r="AJ995">
        <f t="shared" si="49"/>
        <v>1.7447000000000001E-3</v>
      </c>
      <c r="AO995">
        <v>1.7447000000000001E-3</v>
      </c>
      <c r="AR995" s="8">
        <v>0</v>
      </c>
      <c r="AS995">
        <v>2.4092859999999998</v>
      </c>
    </row>
    <row r="996" spans="1:45" x14ac:dyDescent="0.25">
      <c r="A996">
        <v>190</v>
      </c>
      <c r="B996">
        <v>2002</v>
      </c>
      <c r="C996" s="8">
        <v>0</v>
      </c>
      <c r="D996">
        <v>-6.9098699999999999E-2</v>
      </c>
      <c r="E996">
        <v>0.20552860000000001</v>
      </c>
      <c r="F996">
        <v>6.1896199999999998E-2</v>
      </c>
      <c r="G996">
        <v>1.3498319999999999</v>
      </c>
      <c r="H996">
        <v>0.2095119</v>
      </c>
      <c r="Q996" s="10">
        <f t="shared" si="50"/>
        <v>4.5534316837775694E-3</v>
      </c>
      <c r="AI996">
        <v>-1.1751899999999999E-2</v>
      </c>
      <c r="AJ996">
        <f t="shared" si="49"/>
        <v>-1.1751899999999999E-2</v>
      </c>
      <c r="AO996">
        <v>-1.1751899999999999E-2</v>
      </c>
      <c r="AR996" s="8">
        <v>0</v>
      </c>
      <c r="AS996">
        <v>1.8115270000000001</v>
      </c>
    </row>
    <row r="997" spans="1:45" x14ac:dyDescent="0.25">
      <c r="A997">
        <v>190</v>
      </c>
      <c r="B997">
        <v>2003</v>
      </c>
      <c r="C997" s="8">
        <v>0</v>
      </c>
      <c r="D997">
        <v>1.7447000000000001E-3</v>
      </c>
      <c r="E997">
        <v>0.20293149999999999</v>
      </c>
      <c r="F997">
        <v>5.0698300000000002E-2</v>
      </c>
      <c r="G997">
        <v>1.5220119999999999</v>
      </c>
      <c r="H997">
        <v>0.2160155</v>
      </c>
      <c r="Q997" s="10">
        <f t="shared" si="50"/>
        <v>3.9308581001201723E-3</v>
      </c>
      <c r="AI997">
        <v>6.3648200000000002E-2</v>
      </c>
      <c r="AJ997">
        <f t="shared" si="49"/>
        <v>6.3648200000000002E-2</v>
      </c>
      <c r="AO997">
        <v>6.3648200000000002E-2</v>
      </c>
      <c r="AR997" s="8">
        <v>0</v>
      </c>
      <c r="AS997">
        <v>1.995171</v>
      </c>
    </row>
    <row r="998" spans="1:45" x14ac:dyDescent="0.25">
      <c r="A998">
        <v>190</v>
      </c>
      <c r="B998">
        <v>2004</v>
      </c>
      <c r="C998" s="8">
        <v>0</v>
      </c>
      <c r="D998">
        <v>-1.1751899999999999E-2</v>
      </c>
      <c r="E998">
        <v>0.2389204</v>
      </c>
      <c r="F998">
        <v>6.1995300000000003E-2</v>
      </c>
      <c r="G998">
        <v>1.358741</v>
      </c>
      <c r="H998">
        <v>0.2028547</v>
      </c>
      <c r="Q998" s="10">
        <f t="shared" si="50"/>
        <v>4.3586960364819871E-3</v>
      </c>
      <c r="AI998">
        <v>9.3969800000000006E-2</v>
      </c>
      <c r="AJ998">
        <f t="shared" si="49"/>
        <v>9.3969800000000006E-2</v>
      </c>
      <c r="AO998">
        <v>9.3969800000000006E-2</v>
      </c>
      <c r="AR998" s="8">
        <v>0</v>
      </c>
      <c r="AS998">
        <v>1.3498319999999999</v>
      </c>
    </row>
    <row r="999" spans="1:45" x14ac:dyDescent="0.25">
      <c r="A999">
        <v>191</v>
      </c>
      <c r="B999">
        <v>1999</v>
      </c>
      <c r="C999" s="8">
        <v>0</v>
      </c>
      <c r="D999">
        <v>6.3648200000000002E-2</v>
      </c>
      <c r="E999">
        <v>0.32272879999999998</v>
      </c>
      <c r="F999">
        <v>4.8533800000000002E-2</v>
      </c>
      <c r="G999">
        <v>2.4940869999999999</v>
      </c>
      <c r="H999">
        <v>0.2256406</v>
      </c>
      <c r="Q999" s="10">
        <f t="shared" si="50"/>
        <v>7.3912176781040643E-4</v>
      </c>
      <c r="AI999">
        <v>0.19562889999999999</v>
      </c>
      <c r="AJ999">
        <f t="shared" si="49"/>
        <v>0.19562889999999999</v>
      </c>
      <c r="AO999">
        <v>0.19562889999999999</v>
      </c>
      <c r="AR999" s="8">
        <v>0</v>
      </c>
      <c r="AS999">
        <v>1.5220119999999999</v>
      </c>
    </row>
    <row r="1000" spans="1:45" x14ac:dyDescent="0.25">
      <c r="A1000">
        <v>191</v>
      </c>
      <c r="B1000">
        <v>2000</v>
      </c>
      <c r="C1000" s="8">
        <v>0</v>
      </c>
      <c r="D1000">
        <v>9.3969800000000006E-2</v>
      </c>
      <c r="E1000">
        <v>0.32881719999999998</v>
      </c>
      <c r="F1000">
        <v>4.30643E-2</v>
      </c>
      <c r="G1000">
        <v>1.952647</v>
      </c>
      <c r="H1000">
        <v>0.18620690000000001</v>
      </c>
      <c r="Q1000" s="10">
        <f t="shared" si="50"/>
        <v>1.7905372416217773E-3</v>
      </c>
      <c r="AI1000">
        <v>0.20790220000000001</v>
      </c>
      <c r="AJ1000">
        <f t="shared" si="49"/>
        <v>0.20790220000000001</v>
      </c>
      <c r="AO1000">
        <v>0.20790220000000001</v>
      </c>
      <c r="AR1000" s="8">
        <v>0</v>
      </c>
      <c r="AS1000">
        <v>1.358741</v>
      </c>
    </row>
    <row r="1001" spans="1:45" x14ac:dyDescent="0.25">
      <c r="A1001">
        <v>191</v>
      </c>
      <c r="B1001">
        <v>2001</v>
      </c>
      <c r="C1001" s="8">
        <v>0</v>
      </c>
      <c r="D1001">
        <v>0.19562889999999999</v>
      </c>
      <c r="E1001">
        <v>0.359128</v>
      </c>
      <c r="F1001">
        <v>2.21405E-2</v>
      </c>
      <c r="G1001">
        <v>1.7382770000000001</v>
      </c>
      <c r="H1001">
        <v>0.1572247</v>
      </c>
      <c r="Q1001" s="10">
        <f t="shared" si="50"/>
        <v>2.9167497090900746E-3</v>
      </c>
      <c r="AI1001">
        <v>0.18178520000000001</v>
      </c>
      <c r="AJ1001">
        <f t="shared" si="49"/>
        <v>0.18178520000000001</v>
      </c>
      <c r="AO1001">
        <v>0.18178520000000001</v>
      </c>
      <c r="AR1001" s="8">
        <v>0</v>
      </c>
      <c r="AS1001">
        <v>2.4940869999999999</v>
      </c>
    </row>
    <row r="1002" spans="1:45" x14ac:dyDescent="0.25">
      <c r="A1002">
        <v>191</v>
      </c>
      <c r="B1002">
        <v>2002</v>
      </c>
      <c r="C1002" s="8">
        <v>0</v>
      </c>
      <c r="D1002">
        <v>0.20790220000000001</v>
      </c>
      <c r="E1002">
        <v>0.2540906</v>
      </c>
      <c r="F1002">
        <v>3.9297499999999999E-2</v>
      </c>
      <c r="G1002">
        <v>1.6817839999999999</v>
      </c>
      <c r="H1002">
        <v>0.201711</v>
      </c>
      <c r="Q1002" s="10">
        <f t="shared" si="50"/>
        <v>3.3474754790748513E-3</v>
      </c>
      <c r="AI1002">
        <v>0.23076240000000001</v>
      </c>
      <c r="AJ1002">
        <f t="shared" si="49"/>
        <v>0.23076240000000001</v>
      </c>
      <c r="AO1002">
        <v>0.23076240000000001</v>
      </c>
      <c r="AR1002" s="8">
        <v>0</v>
      </c>
      <c r="AS1002">
        <v>1.952647</v>
      </c>
    </row>
    <row r="1003" spans="1:45" x14ac:dyDescent="0.25">
      <c r="A1003">
        <v>191</v>
      </c>
      <c r="B1003">
        <v>2003</v>
      </c>
      <c r="C1003" s="8">
        <v>0</v>
      </c>
      <c r="D1003">
        <v>0.18178520000000001</v>
      </c>
      <c r="E1003">
        <v>0.26052950000000002</v>
      </c>
      <c r="F1003">
        <v>3.32089E-2</v>
      </c>
      <c r="G1003">
        <v>1.7046380000000001</v>
      </c>
      <c r="H1003">
        <v>0.20918220000000001</v>
      </c>
      <c r="Q1003" s="10">
        <f t="shared" si="50"/>
        <v>3.3365772734848267E-3</v>
      </c>
      <c r="AI1003">
        <v>5.42283E-2</v>
      </c>
      <c r="AJ1003">
        <f t="shared" si="49"/>
        <v>5.42283E-2</v>
      </c>
      <c r="AO1003">
        <v>5.42283E-2</v>
      </c>
      <c r="AR1003" s="8">
        <v>0</v>
      </c>
      <c r="AS1003">
        <v>1.7382770000000001</v>
      </c>
    </row>
    <row r="1004" spans="1:45" x14ac:dyDescent="0.25">
      <c r="A1004">
        <v>191</v>
      </c>
      <c r="B1004">
        <v>2004</v>
      </c>
      <c r="C1004" s="8">
        <v>0</v>
      </c>
      <c r="D1004">
        <v>0.23076240000000001</v>
      </c>
      <c r="E1004">
        <v>0.291742</v>
      </c>
      <c r="F1004">
        <v>4.0890200000000002E-2</v>
      </c>
      <c r="G1004">
        <v>2.204361</v>
      </c>
      <c r="H1004">
        <v>0.19732649999999999</v>
      </c>
      <c r="Q1004" s="10">
        <f t="shared" si="50"/>
        <v>1.3725637313131151E-3</v>
      </c>
      <c r="AI1004">
        <v>1.2106499999999999E-2</v>
      </c>
      <c r="AJ1004">
        <f t="shared" si="49"/>
        <v>1.2106499999999999E-2</v>
      </c>
      <c r="AO1004">
        <v>1.2106499999999999E-2</v>
      </c>
      <c r="AR1004" s="8">
        <v>0</v>
      </c>
      <c r="AS1004">
        <v>1.6817839999999999</v>
      </c>
    </row>
    <row r="1005" spans="1:45" x14ac:dyDescent="0.25">
      <c r="A1005">
        <v>192</v>
      </c>
      <c r="B1005">
        <v>1999</v>
      </c>
      <c r="C1005" s="8">
        <v>0</v>
      </c>
      <c r="D1005">
        <v>5.42283E-2</v>
      </c>
      <c r="E1005">
        <v>0.1518824</v>
      </c>
      <c r="F1005">
        <v>1.2866799999999999E-2</v>
      </c>
      <c r="G1005">
        <v>0.77990340000000002</v>
      </c>
      <c r="H1005">
        <v>0.2230181</v>
      </c>
      <c r="Q1005" s="10">
        <f t="shared" si="50"/>
        <v>1.8901945708781134E-2</v>
      </c>
      <c r="AI1005">
        <v>1.5284600000000001E-2</v>
      </c>
      <c r="AJ1005">
        <f t="shared" si="49"/>
        <v>1.5284600000000001E-2</v>
      </c>
      <c r="AO1005">
        <v>1.5284600000000001E-2</v>
      </c>
      <c r="AR1005" s="8">
        <v>0</v>
      </c>
      <c r="AS1005">
        <v>1.7046380000000001</v>
      </c>
    </row>
    <row r="1006" spans="1:45" x14ac:dyDescent="0.25">
      <c r="A1006">
        <v>192</v>
      </c>
      <c r="B1006">
        <v>2000</v>
      </c>
      <c r="C1006" s="8">
        <v>0</v>
      </c>
      <c r="D1006">
        <v>1.2106499999999999E-2</v>
      </c>
      <c r="E1006">
        <v>0.144118</v>
      </c>
      <c r="F1006">
        <v>4.0976800000000001E-2</v>
      </c>
      <c r="G1006">
        <v>0.68277569999999999</v>
      </c>
      <c r="H1006">
        <v>0.28108820000000001</v>
      </c>
      <c r="Q1006" s="10">
        <f t="shared" si="50"/>
        <v>1.8169806409797443E-2</v>
      </c>
      <c r="AI1006">
        <v>2.68965E-2</v>
      </c>
      <c r="AJ1006">
        <f t="shared" si="49"/>
        <v>2.68965E-2</v>
      </c>
      <c r="AO1006">
        <v>2.68965E-2</v>
      </c>
      <c r="AR1006" s="8">
        <v>0</v>
      </c>
      <c r="AS1006">
        <v>2.204361</v>
      </c>
    </row>
    <row r="1007" spans="1:45" x14ac:dyDescent="0.25">
      <c r="A1007">
        <v>192</v>
      </c>
      <c r="B1007">
        <v>2001</v>
      </c>
      <c r="C1007" s="8">
        <v>0</v>
      </c>
      <c r="D1007">
        <v>1.5284600000000001E-2</v>
      </c>
      <c r="E1007">
        <v>0.15624489999999999</v>
      </c>
      <c r="F1007">
        <v>4.6843200000000002E-2</v>
      </c>
      <c r="G1007">
        <v>0.88682119999999998</v>
      </c>
      <c r="H1007">
        <v>8.8466299999999998E-2</v>
      </c>
      <c r="Q1007" s="10">
        <f t="shared" si="50"/>
        <v>1.1014837255261126E-2</v>
      </c>
      <c r="AI1007">
        <v>2.26676E-2</v>
      </c>
      <c r="AJ1007">
        <f t="shared" si="49"/>
        <v>2.26676E-2</v>
      </c>
      <c r="AO1007">
        <v>2.26676E-2</v>
      </c>
      <c r="AR1007" s="8">
        <v>0</v>
      </c>
      <c r="AS1007">
        <v>0.77990340000000002</v>
      </c>
    </row>
    <row r="1008" spans="1:45" x14ac:dyDescent="0.25">
      <c r="A1008">
        <v>192</v>
      </c>
      <c r="B1008">
        <v>2002</v>
      </c>
      <c r="C1008" s="8">
        <v>0</v>
      </c>
      <c r="D1008">
        <v>2.68965E-2</v>
      </c>
      <c r="E1008">
        <v>0.13390469999999999</v>
      </c>
      <c r="F1008">
        <v>5.50695E-2</v>
      </c>
      <c r="G1008">
        <v>0.40880759999999999</v>
      </c>
      <c r="H1008">
        <v>0.12469719999999999</v>
      </c>
      <c r="Q1008" s="10">
        <f t="shared" si="50"/>
        <v>2.3163737560215468E-2</v>
      </c>
      <c r="AI1008">
        <v>3.3993200000000001E-2</v>
      </c>
      <c r="AJ1008">
        <f t="shared" si="49"/>
        <v>3.3993200000000001E-2</v>
      </c>
      <c r="AO1008">
        <v>3.3993200000000001E-2</v>
      </c>
      <c r="AR1008" s="8">
        <v>0</v>
      </c>
      <c r="AS1008">
        <v>0.68277569999999999</v>
      </c>
    </row>
    <row r="1009" spans="1:45" x14ac:dyDescent="0.25">
      <c r="A1009">
        <v>192</v>
      </c>
      <c r="B1009">
        <v>2003</v>
      </c>
      <c r="C1009" s="8">
        <v>0</v>
      </c>
      <c r="D1009">
        <v>2.26676E-2</v>
      </c>
      <c r="E1009">
        <v>0.11704199999999999</v>
      </c>
      <c r="F1009">
        <v>4.3453100000000001E-2</v>
      </c>
      <c r="G1009">
        <v>0.47661179999999997</v>
      </c>
      <c r="H1009">
        <v>0.11104550000000001</v>
      </c>
      <c r="Q1009" s="10">
        <f t="shared" si="50"/>
        <v>2.3145053401048318E-2</v>
      </c>
      <c r="AI1009">
        <v>0.24997059999999999</v>
      </c>
      <c r="AJ1009">
        <f t="shared" si="49"/>
        <v>0.24997059999999999</v>
      </c>
      <c r="AO1009">
        <v>0.24997059999999999</v>
      </c>
      <c r="AR1009" s="8">
        <v>0</v>
      </c>
      <c r="AS1009">
        <v>0.88682119999999998</v>
      </c>
    </row>
    <row r="1010" spans="1:45" x14ac:dyDescent="0.25">
      <c r="A1010">
        <v>192</v>
      </c>
      <c r="B1010">
        <v>2004</v>
      </c>
      <c r="C1010" s="8">
        <v>0</v>
      </c>
      <c r="D1010">
        <v>3.3993200000000001E-2</v>
      </c>
      <c r="E1010">
        <v>9.7680500000000003E-2</v>
      </c>
      <c r="F1010">
        <v>3.5232100000000002E-2</v>
      </c>
      <c r="G1010">
        <v>0.63532920000000004</v>
      </c>
      <c r="H1010">
        <v>0.12619759999999999</v>
      </c>
      <c r="Q1010" s="10">
        <f t="shared" si="50"/>
        <v>2.0084999337994729E-2</v>
      </c>
      <c r="AI1010">
        <v>0.24323349999999999</v>
      </c>
      <c r="AJ1010">
        <f t="shared" si="49"/>
        <v>0.24323349999999999</v>
      </c>
      <c r="AO1010">
        <v>0.24323349999999999</v>
      </c>
      <c r="AR1010" s="8">
        <v>0</v>
      </c>
      <c r="AS1010">
        <v>0.40880759999999999</v>
      </c>
    </row>
    <row r="1011" spans="1:45" x14ac:dyDescent="0.25">
      <c r="A1011">
        <v>193</v>
      </c>
      <c r="B1011">
        <v>2000</v>
      </c>
      <c r="C1011" s="8">
        <v>0</v>
      </c>
      <c r="D1011">
        <v>0.24997059999999999</v>
      </c>
      <c r="E1011">
        <v>0.1574285</v>
      </c>
      <c r="F1011">
        <v>5.2178099999999998E-2</v>
      </c>
      <c r="G1011">
        <v>0.47664129999999999</v>
      </c>
      <c r="H1011">
        <v>0.28902460000000002</v>
      </c>
      <c r="Q1011" s="10">
        <f t="shared" si="50"/>
        <v>2.492535823597232E-2</v>
      </c>
      <c r="AI1011">
        <v>0.2369144</v>
      </c>
      <c r="AJ1011">
        <f t="shared" si="49"/>
        <v>0.2369144</v>
      </c>
      <c r="AO1011">
        <v>0.2369144</v>
      </c>
      <c r="AR1011" s="8">
        <v>0</v>
      </c>
      <c r="AS1011">
        <v>0.47661179999999997</v>
      </c>
    </row>
    <row r="1012" spans="1:45" x14ac:dyDescent="0.25">
      <c r="A1012">
        <v>193</v>
      </c>
      <c r="B1012">
        <v>2001</v>
      </c>
      <c r="C1012" s="8">
        <v>0</v>
      </c>
      <c r="D1012">
        <v>0.24323349999999999</v>
      </c>
      <c r="E1012">
        <v>0.1156626</v>
      </c>
      <c r="F1012">
        <v>6.83E-2</v>
      </c>
      <c r="G1012">
        <v>0.73758939999999995</v>
      </c>
      <c r="H1012">
        <v>0.29840060000000002</v>
      </c>
      <c r="Q1012" s="10">
        <f t="shared" si="50"/>
        <v>1.5555142642520909E-2</v>
      </c>
      <c r="AI1012">
        <v>0.1952216</v>
      </c>
      <c r="AJ1012">
        <f t="shared" si="49"/>
        <v>0.1952216</v>
      </c>
      <c r="AO1012">
        <v>0.1952216</v>
      </c>
      <c r="AR1012" s="8">
        <v>0</v>
      </c>
      <c r="AS1012">
        <v>0.63532920000000004</v>
      </c>
    </row>
    <row r="1013" spans="1:45" x14ac:dyDescent="0.25">
      <c r="A1013">
        <v>193</v>
      </c>
      <c r="B1013">
        <v>2002</v>
      </c>
      <c r="C1013" s="8">
        <v>0</v>
      </c>
      <c r="D1013">
        <v>0.2369144</v>
      </c>
      <c r="E1013">
        <v>0.13782839999999999</v>
      </c>
      <c r="F1013">
        <v>4.0865899999999997E-2</v>
      </c>
      <c r="G1013">
        <v>0.45949119999999999</v>
      </c>
      <c r="H1013">
        <v>0.272422</v>
      </c>
      <c r="Q1013" s="10">
        <f t="shared" si="50"/>
        <v>2.830477966882864E-2</v>
      </c>
      <c r="AI1013">
        <v>0.18791279999999999</v>
      </c>
      <c r="AJ1013">
        <f t="shared" si="49"/>
        <v>0.18791279999999999</v>
      </c>
      <c r="AO1013">
        <v>0.18791279999999999</v>
      </c>
      <c r="AR1013" s="8">
        <v>0</v>
      </c>
      <c r="AS1013">
        <v>0.47664129999999999</v>
      </c>
    </row>
    <row r="1014" spans="1:45" x14ac:dyDescent="0.25">
      <c r="A1014">
        <v>193</v>
      </c>
      <c r="B1014">
        <v>2003</v>
      </c>
      <c r="C1014" s="8">
        <v>0</v>
      </c>
      <c r="D1014">
        <v>0.1952216</v>
      </c>
      <c r="E1014">
        <v>0.15554309999999999</v>
      </c>
      <c r="F1014">
        <v>4.9039699999999999E-2</v>
      </c>
      <c r="G1014">
        <v>0.60639200000000004</v>
      </c>
      <c r="H1014">
        <v>0.26233050000000002</v>
      </c>
      <c r="Q1014" s="10">
        <f t="shared" si="50"/>
        <v>2.0138394190223081E-2</v>
      </c>
      <c r="AI1014">
        <v>1.1391699999999999E-2</v>
      </c>
      <c r="AJ1014">
        <f t="shared" si="49"/>
        <v>1.1391699999999999E-2</v>
      </c>
      <c r="AO1014">
        <v>1.1391699999999999E-2</v>
      </c>
      <c r="AR1014" s="8">
        <v>0</v>
      </c>
      <c r="AS1014">
        <v>0.73758939999999995</v>
      </c>
    </row>
    <row r="1015" spans="1:45" x14ac:dyDescent="0.25">
      <c r="A1015">
        <v>194</v>
      </c>
      <c r="B1015">
        <v>1998</v>
      </c>
      <c r="C1015" s="8">
        <v>0</v>
      </c>
      <c r="D1015">
        <v>0.18791279999999999</v>
      </c>
      <c r="E1015">
        <v>-1.8031470000000001</v>
      </c>
      <c r="F1015">
        <v>0.1068938</v>
      </c>
      <c r="G1015">
        <v>0.65214680000000003</v>
      </c>
      <c r="H1015">
        <v>0.46679949999999998</v>
      </c>
      <c r="Q1015" s="10">
        <f t="shared" si="50"/>
        <v>0.19018395182028455</v>
      </c>
      <c r="AI1015">
        <v>0.13664860000000001</v>
      </c>
      <c r="AJ1015">
        <f t="shared" si="49"/>
        <v>0.13664860000000001</v>
      </c>
      <c r="AO1015">
        <v>0.13664860000000001</v>
      </c>
      <c r="AR1015" s="8">
        <v>0</v>
      </c>
      <c r="AS1015">
        <v>0.45949119999999999</v>
      </c>
    </row>
    <row r="1016" spans="1:45" x14ac:dyDescent="0.25">
      <c r="A1016">
        <v>195</v>
      </c>
      <c r="B1016">
        <v>1999</v>
      </c>
      <c r="C1016" s="8">
        <v>0</v>
      </c>
      <c r="D1016">
        <v>1.1391699999999999E-2</v>
      </c>
      <c r="E1016">
        <v>0.4714159</v>
      </c>
      <c r="F1016">
        <v>5.6887399999999998E-2</v>
      </c>
      <c r="G1016">
        <v>1.67452</v>
      </c>
      <c r="H1016">
        <v>0.2842615</v>
      </c>
      <c r="Q1016" s="10">
        <f t="shared" si="50"/>
        <v>2.0835580578995642E-3</v>
      </c>
      <c r="AI1016">
        <v>0.12733240000000001</v>
      </c>
      <c r="AJ1016">
        <f t="shared" si="49"/>
        <v>0.12733240000000001</v>
      </c>
      <c r="AO1016">
        <v>0.12733240000000001</v>
      </c>
      <c r="AR1016" s="8">
        <v>0</v>
      </c>
      <c r="AS1016">
        <v>0.60639200000000004</v>
      </c>
    </row>
    <row r="1017" spans="1:45" x14ac:dyDescent="0.25">
      <c r="A1017">
        <v>195</v>
      </c>
      <c r="B1017">
        <v>2001</v>
      </c>
      <c r="C1017" s="8">
        <v>0</v>
      </c>
      <c r="D1017">
        <v>0.13664860000000001</v>
      </c>
      <c r="E1017">
        <v>0.30182759999999997</v>
      </c>
      <c r="F1017">
        <v>4.3020299999999997E-2</v>
      </c>
      <c r="G1017">
        <v>2.3300149999999999</v>
      </c>
      <c r="H1017">
        <v>0.17125969999999999</v>
      </c>
      <c r="Q1017" s="10">
        <f t="shared" si="50"/>
        <v>1.0303758437763618E-3</v>
      </c>
      <c r="AI1017">
        <v>0.14841309999999999</v>
      </c>
      <c r="AJ1017">
        <f t="shared" si="49"/>
        <v>0.14841309999999999</v>
      </c>
      <c r="AO1017">
        <v>0.14841309999999999</v>
      </c>
      <c r="AR1017" s="8">
        <v>0</v>
      </c>
      <c r="AS1017">
        <v>0.65214680000000003</v>
      </c>
    </row>
    <row r="1018" spans="1:45" x14ac:dyDescent="0.25">
      <c r="A1018">
        <v>195</v>
      </c>
      <c r="B1018">
        <v>2002</v>
      </c>
      <c r="C1018" s="8">
        <v>0</v>
      </c>
      <c r="D1018">
        <v>0.12733240000000001</v>
      </c>
      <c r="E1018">
        <v>0.24256829999999999</v>
      </c>
      <c r="F1018">
        <v>3.03082E-2</v>
      </c>
      <c r="G1018">
        <v>0.70377049999999997</v>
      </c>
      <c r="H1018">
        <v>0.1703276</v>
      </c>
      <c r="Q1018" s="10">
        <f t="shared" si="50"/>
        <v>1.6273401416693319E-2</v>
      </c>
      <c r="AI1018">
        <v>0.15523049999999999</v>
      </c>
      <c r="AJ1018">
        <f t="shared" si="49"/>
        <v>0.15523049999999999</v>
      </c>
      <c r="AO1018">
        <v>0.15523049999999999</v>
      </c>
      <c r="AR1018" s="8">
        <v>0</v>
      </c>
      <c r="AS1018">
        <v>1.67452</v>
      </c>
    </row>
    <row r="1019" spans="1:45" x14ac:dyDescent="0.25">
      <c r="A1019">
        <v>195</v>
      </c>
      <c r="B1019">
        <v>2003</v>
      </c>
      <c r="C1019" s="8">
        <v>0</v>
      </c>
      <c r="D1019">
        <v>0.14841309999999999</v>
      </c>
      <c r="E1019">
        <v>0.2948691</v>
      </c>
      <c r="F1019">
        <v>4.1273400000000002E-2</v>
      </c>
      <c r="G1019">
        <v>1.7372460000000001</v>
      </c>
      <c r="H1019">
        <v>0.19689580000000001</v>
      </c>
      <c r="Q1019" s="10">
        <f t="shared" si="50"/>
        <v>2.7667433153659117E-3</v>
      </c>
      <c r="AI1019">
        <v>2.6587999999999998E-3</v>
      </c>
      <c r="AJ1019">
        <f t="shared" si="49"/>
        <v>2.6587999999999998E-3</v>
      </c>
      <c r="AO1019">
        <v>2.6587999999999998E-3</v>
      </c>
      <c r="AR1019" s="8">
        <v>0</v>
      </c>
      <c r="AS1019">
        <v>2.3300149999999999</v>
      </c>
    </row>
    <row r="1020" spans="1:45" x14ac:dyDescent="0.25">
      <c r="A1020">
        <v>195</v>
      </c>
      <c r="B1020">
        <v>2004</v>
      </c>
      <c r="C1020" s="8">
        <v>0</v>
      </c>
      <c r="D1020">
        <v>0.15523049999999999</v>
      </c>
      <c r="E1020">
        <v>0.35156969999999998</v>
      </c>
      <c r="F1020">
        <v>5.69425E-2</v>
      </c>
      <c r="G1020">
        <v>2.6148250000000002</v>
      </c>
      <c r="H1020">
        <v>0.2034282</v>
      </c>
      <c r="Q1020" s="10">
        <f t="shared" si="50"/>
        <v>5.6016036288763626E-4</v>
      </c>
      <c r="AI1020">
        <v>-1.67326E-2</v>
      </c>
      <c r="AJ1020">
        <f t="shared" si="49"/>
        <v>-1.67326E-2</v>
      </c>
      <c r="AO1020">
        <v>-1.67326E-2</v>
      </c>
      <c r="AR1020" s="8">
        <v>0</v>
      </c>
      <c r="AS1020">
        <v>0.70377049999999997</v>
      </c>
    </row>
    <row r="1021" spans="1:45" x14ac:dyDescent="0.25">
      <c r="A1021">
        <v>196</v>
      </c>
      <c r="B1021">
        <v>1999</v>
      </c>
      <c r="C1021" s="8">
        <v>0</v>
      </c>
      <c r="D1021">
        <v>2.6587999999999998E-3</v>
      </c>
      <c r="E1021">
        <v>0.5042799</v>
      </c>
      <c r="F1021">
        <v>6.5640799999999999E-2</v>
      </c>
      <c r="G1021">
        <v>2.030627</v>
      </c>
      <c r="H1021">
        <v>0.28607769999999999</v>
      </c>
      <c r="Q1021" s="10">
        <f t="shared" si="50"/>
        <v>1.0484642495776765E-3</v>
      </c>
      <c r="AI1021">
        <v>-1.8529E-2</v>
      </c>
      <c r="AJ1021">
        <f t="shared" si="49"/>
        <v>-1.8529E-2</v>
      </c>
      <c r="AO1021">
        <v>-1.8529E-2</v>
      </c>
      <c r="AR1021" s="8">
        <v>0</v>
      </c>
      <c r="AS1021">
        <v>1.7372460000000001</v>
      </c>
    </row>
    <row r="1022" spans="1:45" x14ac:dyDescent="0.25">
      <c r="A1022">
        <v>196</v>
      </c>
      <c r="B1022">
        <v>2000</v>
      </c>
      <c r="C1022" s="8">
        <v>0</v>
      </c>
      <c r="D1022">
        <v>-1.67326E-2</v>
      </c>
      <c r="E1022">
        <v>0.54926739999999996</v>
      </c>
      <c r="F1022">
        <v>6.4228499999999994E-2</v>
      </c>
      <c r="G1022">
        <v>1.144801</v>
      </c>
      <c r="H1022">
        <v>0.27083990000000002</v>
      </c>
      <c r="Q1022" s="10">
        <f t="shared" si="50"/>
        <v>3.9925399041625988E-3</v>
      </c>
      <c r="AI1022">
        <v>-2.5924800000000001E-2</v>
      </c>
      <c r="AJ1022">
        <f t="shared" si="49"/>
        <v>-2.5924800000000001E-2</v>
      </c>
      <c r="AO1022">
        <v>-2.5924800000000001E-2</v>
      </c>
      <c r="AR1022" s="8">
        <v>0</v>
      </c>
      <c r="AS1022">
        <v>2.6148250000000002</v>
      </c>
    </row>
    <row r="1023" spans="1:45" x14ac:dyDescent="0.25">
      <c r="A1023">
        <v>196</v>
      </c>
      <c r="B1023">
        <v>2001</v>
      </c>
      <c r="C1023" s="8">
        <v>0</v>
      </c>
      <c r="D1023">
        <v>-1.8529E-2</v>
      </c>
      <c r="E1023">
        <v>0.54772069999999995</v>
      </c>
      <c r="F1023">
        <v>3.6887700000000002E-2</v>
      </c>
      <c r="G1023">
        <v>0.84790259999999995</v>
      </c>
      <c r="H1023">
        <v>0.2873501</v>
      </c>
      <c r="Q1023" s="10">
        <f t="shared" si="50"/>
        <v>8.0360056122011393E-3</v>
      </c>
      <c r="AI1023">
        <v>4.3122000000000001E-2</v>
      </c>
      <c r="AJ1023">
        <f t="shared" si="49"/>
        <v>4.3122000000000001E-2</v>
      </c>
      <c r="AO1023">
        <v>4.3122000000000001E-2</v>
      </c>
      <c r="AR1023" s="8">
        <v>0</v>
      </c>
      <c r="AS1023">
        <v>2.030627</v>
      </c>
    </row>
    <row r="1024" spans="1:45" x14ac:dyDescent="0.25">
      <c r="A1024">
        <v>196</v>
      </c>
      <c r="B1024">
        <v>2002</v>
      </c>
      <c r="C1024" s="8">
        <v>0</v>
      </c>
      <c r="D1024">
        <v>-2.5924800000000001E-2</v>
      </c>
      <c r="E1024">
        <v>0.54483749999999997</v>
      </c>
      <c r="F1024">
        <v>5.23326E-2</v>
      </c>
      <c r="G1024">
        <v>1.0095890000000001</v>
      </c>
      <c r="H1024">
        <v>0.29509400000000002</v>
      </c>
      <c r="Q1024" s="10">
        <f t="shared" si="50"/>
        <v>5.5354293573408849E-3</v>
      </c>
      <c r="AI1024">
        <v>4.2483699999999999E-2</v>
      </c>
      <c r="AJ1024">
        <f t="shared" si="49"/>
        <v>4.2483699999999999E-2</v>
      </c>
      <c r="AO1024">
        <v>4.2483699999999999E-2</v>
      </c>
      <c r="AR1024" s="8">
        <v>0</v>
      </c>
      <c r="AS1024">
        <v>1.144801</v>
      </c>
    </row>
    <row r="1025" spans="1:45" x14ac:dyDescent="0.25">
      <c r="A1025">
        <v>196</v>
      </c>
      <c r="B1025">
        <v>2003</v>
      </c>
      <c r="C1025" s="8">
        <v>0</v>
      </c>
      <c r="D1025">
        <v>4.3122000000000001E-2</v>
      </c>
      <c r="E1025">
        <v>0.5117505</v>
      </c>
      <c r="F1025">
        <v>4.6431899999999998E-2</v>
      </c>
      <c r="G1025">
        <v>0.66415670000000004</v>
      </c>
      <c r="H1025">
        <v>0.27456170000000002</v>
      </c>
      <c r="Q1025" s="10">
        <f t="shared" si="50"/>
        <v>1.0672459670630605E-2</v>
      </c>
      <c r="AI1025">
        <v>8.8281899999999996E-2</v>
      </c>
      <c r="AJ1025">
        <f t="shared" si="49"/>
        <v>8.8281899999999996E-2</v>
      </c>
      <c r="AO1025">
        <v>8.8281899999999996E-2</v>
      </c>
      <c r="AR1025" s="8">
        <v>0</v>
      </c>
      <c r="AS1025">
        <v>0.84790259999999995</v>
      </c>
    </row>
    <row r="1026" spans="1:45" x14ac:dyDescent="0.25">
      <c r="A1026">
        <v>197</v>
      </c>
      <c r="B1026">
        <v>1999</v>
      </c>
      <c r="C1026" s="8">
        <v>0</v>
      </c>
      <c r="D1026">
        <v>4.2483699999999999E-2</v>
      </c>
      <c r="E1026">
        <v>0.2176632</v>
      </c>
      <c r="F1026">
        <v>5.4396600000000003E-2</v>
      </c>
      <c r="G1026">
        <v>0.9541636</v>
      </c>
      <c r="H1026">
        <v>0.29888619999999999</v>
      </c>
      <c r="Q1026" s="10">
        <f t="shared" si="50"/>
        <v>9.8264409846259507E-3</v>
      </c>
      <c r="AI1026">
        <v>0.1135978</v>
      </c>
      <c r="AJ1026">
        <f t="shared" si="49"/>
        <v>0.1135978</v>
      </c>
      <c r="AO1026">
        <v>0.1135978</v>
      </c>
      <c r="AR1026" s="8">
        <v>0</v>
      </c>
      <c r="AS1026">
        <v>1.0095890000000001</v>
      </c>
    </row>
    <row r="1027" spans="1:45" x14ac:dyDescent="0.25">
      <c r="A1027">
        <v>197</v>
      </c>
      <c r="B1027">
        <v>2000</v>
      </c>
      <c r="C1027" s="8">
        <v>0</v>
      </c>
      <c r="D1027">
        <v>8.8281899999999996E-2</v>
      </c>
      <c r="E1027">
        <v>0.1723963</v>
      </c>
      <c r="F1027">
        <v>5.6317899999999997E-2</v>
      </c>
      <c r="G1027">
        <v>0.99207060000000002</v>
      </c>
      <c r="H1027">
        <v>0.26961059999999998</v>
      </c>
      <c r="Q1027" s="10">
        <f t="shared" si="50"/>
        <v>9.7380792143941901E-3</v>
      </c>
      <c r="AI1027">
        <v>0.13651559999999999</v>
      </c>
      <c r="AJ1027">
        <f t="shared" si="49"/>
        <v>0.13651559999999999</v>
      </c>
      <c r="AO1027">
        <v>0.13651559999999999</v>
      </c>
      <c r="AR1027" s="8">
        <v>0</v>
      </c>
      <c r="AS1027">
        <v>0.66415670000000004</v>
      </c>
    </row>
    <row r="1028" spans="1:45" x14ac:dyDescent="0.25">
      <c r="A1028">
        <v>197</v>
      </c>
      <c r="B1028">
        <v>2001</v>
      </c>
      <c r="C1028" s="8">
        <v>0</v>
      </c>
      <c r="D1028">
        <v>0.1135978</v>
      </c>
      <c r="E1028">
        <v>0.1791615</v>
      </c>
      <c r="F1028">
        <v>4.2792200000000002E-2</v>
      </c>
      <c r="G1028">
        <v>1.0238700000000001</v>
      </c>
      <c r="H1028">
        <v>0.25054680000000001</v>
      </c>
      <c r="Q1028" s="10">
        <f t="shared" si="50"/>
        <v>1.0195426794030122E-2</v>
      </c>
      <c r="AI1028">
        <v>0.14436660000000001</v>
      </c>
      <c r="AJ1028">
        <f t="shared" si="49"/>
        <v>0.14436660000000001</v>
      </c>
      <c r="AO1028">
        <v>0.14436660000000001</v>
      </c>
      <c r="AR1028" s="8">
        <v>0</v>
      </c>
      <c r="AS1028">
        <v>0.9541636</v>
      </c>
    </row>
    <row r="1029" spans="1:45" x14ac:dyDescent="0.25">
      <c r="A1029">
        <v>197</v>
      </c>
      <c r="B1029">
        <v>2002</v>
      </c>
      <c r="C1029" s="8">
        <v>0</v>
      </c>
      <c r="D1029">
        <v>0.13651559999999999</v>
      </c>
      <c r="E1029">
        <v>0.16683539999999999</v>
      </c>
      <c r="F1029">
        <v>4.0169700000000003E-2</v>
      </c>
      <c r="G1029">
        <v>1.187486</v>
      </c>
      <c r="H1029">
        <v>0.29889349999999998</v>
      </c>
      <c r="Q1029" s="10">
        <f t="shared" si="50"/>
        <v>8.5101649153336116E-3</v>
      </c>
      <c r="AI1029">
        <v>0.1267837</v>
      </c>
      <c r="AJ1029">
        <f t="shared" ref="AJ1029:AJ1092" si="51">MAX(MIN(AI1029,AM$5),AM$4)</f>
        <v>0.1267837</v>
      </c>
      <c r="AO1029">
        <v>0.1267837</v>
      </c>
      <c r="AR1029" s="8">
        <v>0</v>
      </c>
      <c r="AS1029">
        <v>0.99207060000000002</v>
      </c>
    </row>
    <row r="1030" spans="1:45" x14ac:dyDescent="0.25">
      <c r="A1030">
        <v>197</v>
      </c>
      <c r="B1030">
        <v>2003</v>
      </c>
      <c r="C1030" s="8">
        <v>0</v>
      </c>
      <c r="D1030">
        <v>0.14436660000000001</v>
      </c>
      <c r="E1030">
        <v>0.18308079999999999</v>
      </c>
      <c r="F1030">
        <v>3.5280400000000003E-2</v>
      </c>
      <c r="G1030">
        <v>1.657138</v>
      </c>
      <c r="H1030">
        <v>0.27752250000000001</v>
      </c>
      <c r="Q1030" s="10">
        <f t="shared" si="50"/>
        <v>4.0665556381596999E-3</v>
      </c>
      <c r="AI1030">
        <v>4.0344699999999997E-2</v>
      </c>
      <c r="AJ1030">
        <f t="shared" si="51"/>
        <v>4.0344699999999997E-2</v>
      </c>
      <c r="AO1030">
        <v>4.0344699999999997E-2</v>
      </c>
      <c r="AR1030" s="8">
        <v>0</v>
      </c>
      <c r="AS1030">
        <v>1.0238700000000001</v>
      </c>
    </row>
    <row r="1031" spans="1:45" x14ac:dyDescent="0.25">
      <c r="A1031">
        <v>197</v>
      </c>
      <c r="B1031">
        <v>2004</v>
      </c>
      <c r="C1031" s="8">
        <v>0</v>
      </c>
      <c r="D1031">
        <v>0.1267837</v>
      </c>
      <c r="E1031">
        <v>0.19568949999999999</v>
      </c>
      <c r="F1031">
        <v>5.95259E-2</v>
      </c>
      <c r="G1031">
        <v>2.0456249999999998</v>
      </c>
      <c r="H1031">
        <v>0.31638100000000002</v>
      </c>
      <c r="Q1031" s="10">
        <f t="shared" ref="Q1031:Q1094" si="52">1/(1+EXP(-(J$6+SUMPRODUCT(K$6:O$6,D1031:H1031))))</f>
        <v>1.8048811124647232E-3</v>
      </c>
      <c r="AI1031">
        <v>5.1442799999999997E-2</v>
      </c>
      <c r="AJ1031">
        <f t="shared" si="51"/>
        <v>5.1442799999999997E-2</v>
      </c>
      <c r="AO1031">
        <v>5.1442799999999997E-2</v>
      </c>
      <c r="AR1031" s="8">
        <v>0</v>
      </c>
      <c r="AS1031">
        <v>1.187486</v>
      </c>
    </row>
    <row r="1032" spans="1:45" x14ac:dyDescent="0.25">
      <c r="A1032">
        <v>198</v>
      </c>
      <c r="B1032">
        <v>1999</v>
      </c>
      <c r="C1032" s="8">
        <v>0</v>
      </c>
      <c r="D1032">
        <v>4.0344699999999997E-2</v>
      </c>
      <c r="E1032">
        <v>-1.7620359999999999</v>
      </c>
      <c r="F1032">
        <v>1.9223299999999999E-2</v>
      </c>
      <c r="G1032">
        <v>0.72148500000000004</v>
      </c>
      <c r="H1032">
        <v>0.20384910000000001</v>
      </c>
      <c r="Q1032" s="10">
        <f t="shared" si="52"/>
        <v>0.24196908970103681</v>
      </c>
      <c r="AI1032">
        <v>0.1018352</v>
      </c>
      <c r="AJ1032">
        <f t="shared" si="51"/>
        <v>0.1018352</v>
      </c>
      <c r="AO1032">
        <v>0.1018352</v>
      </c>
      <c r="AR1032" s="8">
        <v>0</v>
      </c>
      <c r="AS1032">
        <v>1.657138</v>
      </c>
    </row>
    <row r="1033" spans="1:45" x14ac:dyDescent="0.25">
      <c r="A1033">
        <v>198</v>
      </c>
      <c r="B1033">
        <v>2000</v>
      </c>
      <c r="C1033" s="8">
        <v>0</v>
      </c>
      <c r="D1033">
        <v>5.1442799999999997E-2</v>
      </c>
      <c r="E1033">
        <v>-1.990381</v>
      </c>
      <c r="F1033">
        <v>3.6143599999999998E-2</v>
      </c>
      <c r="G1033">
        <v>0.30910290000000001</v>
      </c>
      <c r="H1033">
        <v>0.26111879999999998</v>
      </c>
      <c r="Q1033" s="10">
        <f t="shared" si="52"/>
        <v>0.4383201665140678</v>
      </c>
      <c r="AI1033">
        <v>6.9460400000000005E-2</v>
      </c>
      <c r="AJ1033">
        <f t="shared" si="51"/>
        <v>6.9460400000000005E-2</v>
      </c>
      <c r="AO1033">
        <v>6.9460400000000005E-2</v>
      </c>
      <c r="AR1033" s="8">
        <v>0</v>
      </c>
      <c r="AS1033">
        <v>2.0456249999999998</v>
      </c>
    </row>
    <row r="1034" spans="1:45" x14ac:dyDescent="0.25">
      <c r="A1034">
        <v>199</v>
      </c>
      <c r="B1034">
        <v>1999</v>
      </c>
      <c r="C1034" s="8">
        <v>0</v>
      </c>
      <c r="D1034">
        <v>0.1018352</v>
      </c>
      <c r="E1034">
        <v>0.46656769999999997</v>
      </c>
      <c r="F1034">
        <v>7.4830499999999994E-2</v>
      </c>
      <c r="G1034">
        <v>6.1785699999999997</v>
      </c>
      <c r="H1034">
        <v>0.36036289999999999</v>
      </c>
      <c r="Q1034" s="10">
        <f t="shared" si="52"/>
        <v>1.5135393754091425E-6</v>
      </c>
      <c r="AI1034">
        <v>7.1538000000000004E-2</v>
      </c>
      <c r="AJ1034">
        <f t="shared" si="51"/>
        <v>7.1538000000000004E-2</v>
      </c>
      <c r="AO1034">
        <v>7.1538000000000004E-2</v>
      </c>
      <c r="AR1034" s="8">
        <v>0</v>
      </c>
      <c r="AS1034">
        <v>0.72148500000000004</v>
      </c>
    </row>
    <row r="1035" spans="1:45" x14ac:dyDescent="0.25">
      <c r="A1035">
        <v>199</v>
      </c>
      <c r="B1035">
        <v>2000</v>
      </c>
      <c r="C1035" s="8">
        <v>0</v>
      </c>
      <c r="D1035">
        <v>6.9460400000000005E-2</v>
      </c>
      <c r="E1035">
        <v>0.5185459</v>
      </c>
      <c r="F1035">
        <v>7.3767899999999997E-2</v>
      </c>
      <c r="G1035">
        <v>5.7495839999999996</v>
      </c>
      <c r="H1035">
        <v>0.35107120000000003</v>
      </c>
      <c r="Q1035" s="10">
        <f t="shared" si="52"/>
        <v>2.7506231128856614E-6</v>
      </c>
      <c r="AI1035">
        <v>8.5554199999999997E-2</v>
      </c>
      <c r="AJ1035">
        <f t="shared" si="51"/>
        <v>8.5554199999999997E-2</v>
      </c>
      <c r="AO1035">
        <v>8.5554199999999997E-2</v>
      </c>
      <c r="AR1035" s="8">
        <v>0</v>
      </c>
      <c r="AS1035">
        <v>0.30910290000000001</v>
      </c>
    </row>
    <row r="1036" spans="1:45" x14ac:dyDescent="0.25">
      <c r="A1036">
        <v>199</v>
      </c>
      <c r="B1036">
        <v>2001</v>
      </c>
      <c r="C1036" s="8">
        <v>0</v>
      </c>
      <c r="D1036">
        <v>7.1538000000000004E-2</v>
      </c>
      <c r="E1036">
        <v>0.40060810000000002</v>
      </c>
      <c r="F1036">
        <v>6.0689600000000003E-2</v>
      </c>
      <c r="G1036">
        <v>3.159923</v>
      </c>
      <c r="H1036">
        <v>0.25759179999999998</v>
      </c>
      <c r="Q1036" s="10">
        <f t="shared" si="52"/>
        <v>2.121969162318768E-4</v>
      </c>
      <c r="AI1036">
        <v>0.11590590000000001</v>
      </c>
      <c r="AJ1036">
        <f t="shared" si="51"/>
        <v>0.11590590000000001</v>
      </c>
      <c r="AO1036">
        <v>0.11590590000000001</v>
      </c>
      <c r="AR1036" s="8">
        <v>0</v>
      </c>
      <c r="AS1036">
        <v>6.1785699999999997</v>
      </c>
    </row>
    <row r="1037" spans="1:45" x14ac:dyDescent="0.25">
      <c r="A1037">
        <v>199</v>
      </c>
      <c r="B1037">
        <v>2002</v>
      </c>
      <c r="C1037" s="8">
        <v>0</v>
      </c>
      <c r="D1037">
        <v>8.5554199999999997E-2</v>
      </c>
      <c r="E1037">
        <v>0.41699370000000002</v>
      </c>
      <c r="F1037">
        <v>7.9755400000000004E-2</v>
      </c>
      <c r="G1037">
        <v>3.6383809999999999</v>
      </c>
      <c r="H1037">
        <v>0.35093340000000001</v>
      </c>
      <c r="Q1037" s="10">
        <f t="shared" si="52"/>
        <v>8.8454743224654554E-5</v>
      </c>
      <c r="AI1037">
        <v>0.1121243</v>
      </c>
      <c r="AJ1037">
        <f t="shared" si="51"/>
        <v>0.1121243</v>
      </c>
      <c r="AO1037">
        <v>0.1121243</v>
      </c>
      <c r="AR1037" s="8">
        <v>0</v>
      </c>
      <c r="AS1037">
        <v>5.7495839999999996</v>
      </c>
    </row>
    <row r="1038" spans="1:45" x14ac:dyDescent="0.25">
      <c r="A1038">
        <v>199</v>
      </c>
      <c r="B1038">
        <v>2003</v>
      </c>
      <c r="C1038" s="8">
        <v>0</v>
      </c>
      <c r="D1038">
        <v>0.11590590000000001</v>
      </c>
      <c r="E1038">
        <v>0.43712479999999998</v>
      </c>
      <c r="F1038">
        <v>6.4466200000000001E-2</v>
      </c>
      <c r="G1038">
        <v>3.6785320000000001</v>
      </c>
      <c r="H1038">
        <v>0.33804260000000003</v>
      </c>
      <c r="Q1038" s="10">
        <f t="shared" si="52"/>
        <v>9.1480027779075967E-5</v>
      </c>
      <c r="AI1038">
        <v>5.0340700000000002E-2</v>
      </c>
      <c r="AJ1038">
        <f t="shared" si="51"/>
        <v>5.0340700000000002E-2</v>
      </c>
      <c r="AO1038">
        <v>5.0340700000000002E-2</v>
      </c>
      <c r="AR1038" s="8">
        <v>0</v>
      </c>
      <c r="AS1038">
        <v>3.159923</v>
      </c>
    </row>
    <row r="1039" spans="1:45" x14ac:dyDescent="0.25">
      <c r="A1039">
        <v>199</v>
      </c>
      <c r="B1039">
        <v>2004</v>
      </c>
      <c r="C1039" s="8">
        <v>0</v>
      </c>
      <c r="D1039">
        <v>0.1121243</v>
      </c>
      <c r="E1039">
        <v>0.47516609999999998</v>
      </c>
      <c r="F1039">
        <v>6.4943600000000004E-2</v>
      </c>
      <c r="G1039">
        <v>4.2396209999999996</v>
      </c>
      <c r="H1039">
        <v>0.31183660000000002</v>
      </c>
      <c r="Q1039" s="10">
        <f t="shared" si="52"/>
        <v>3.4642812428596861E-5</v>
      </c>
      <c r="AI1039">
        <v>1.26135E-2</v>
      </c>
      <c r="AJ1039">
        <f t="shared" si="51"/>
        <v>1.26135E-2</v>
      </c>
      <c r="AO1039">
        <v>1.26135E-2</v>
      </c>
      <c r="AR1039" s="8">
        <v>0</v>
      </c>
      <c r="AS1039">
        <v>3.6383809999999999</v>
      </c>
    </row>
    <row r="1040" spans="1:45" x14ac:dyDescent="0.25">
      <c r="A1040">
        <v>200</v>
      </c>
      <c r="B1040">
        <v>1999</v>
      </c>
      <c r="C1040" s="8">
        <v>0</v>
      </c>
      <c r="D1040">
        <v>5.0340700000000002E-2</v>
      </c>
      <c r="E1040">
        <v>0.1259998</v>
      </c>
      <c r="F1040">
        <v>6.0463500000000003E-2</v>
      </c>
      <c r="G1040">
        <v>0.50497729999999996</v>
      </c>
      <c r="H1040">
        <v>0.1149665</v>
      </c>
      <c r="Q1040" s="10">
        <f t="shared" si="52"/>
        <v>1.9398798547371691E-2</v>
      </c>
      <c r="AI1040">
        <v>4.95098E-2</v>
      </c>
      <c r="AJ1040">
        <f t="shared" si="51"/>
        <v>4.95098E-2</v>
      </c>
      <c r="AO1040">
        <v>4.95098E-2</v>
      </c>
      <c r="AR1040" s="8">
        <v>0</v>
      </c>
      <c r="AS1040">
        <v>3.6785320000000001</v>
      </c>
    </row>
    <row r="1041" spans="1:45" x14ac:dyDescent="0.25">
      <c r="A1041">
        <v>200</v>
      </c>
      <c r="B1041">
        <v>2000</v>
      </c>
      <c r="C1041" s="8">
        <v>0</v>
      </c>
      <c r="D1041">
        <v>1.26135E-2</v>
      </c>
      <c r="E1041">
        <v>0.16345660000000001</v>
      </c>
      <c r="F1041">
        <v>5.0415399999999999E-2</v>
      </c>
      <c r="G1041">
        <v>0.6305885</v>
      </c>
      <c r="H1041">
        <v>0.146979</v>
      </c>
      <c r="Q1041" s="10">
        <f t="shared" si="52"/>
        <v>1.6414964125789303E-2</v>
      </c>
      <c r="AI1041">
        <v>5.3337500000000003E-2</v>
      </c>
      <c r="AJ1041">
        <f t="shared" si="51"/>
        <v>5.3337500000000003E-2</v>
      </c>
      <c r="AO1041">
        <v>5.3337500000000003E-2</v>
      </c>
      <c r="AR1041" s="8">
        <v>0</v>
      </c>
      <c r="AS1041">
        <v>4.2396209999999996</v>
      </c>
    </row>
    <row r="1042" spans="1:45" x14ac:dyDescent="0.25">
      <c r="A1042">
        <v>200</v>
      </c>
      <c r="B1042">
        <v>2001</v>
      </c>
      <c r="C1042" s="8">
        <v>0</v>
      </c>
      <c r="D1042">
        <v>4.95098E-2</v>
      </c>
      <c r="E1042">
        <v>0.2015527</v>
      </c>
      <c r="F1042">
        <v>4.0932999999999997E-2</v>
      </c>
      <c r="G1042">
        <v>0.63790259999999999</v>
      </c>
      <c r="H1042">
        <v>0.12715000000000001</v>
      </c>
      <c r="Q1042" s="10">
        <f t="shared" si="52"/>
        <v>1.6606624986518732E-2</v>
      </c>
      <c r="AI1042">
        <v>8.8950799999999997E-2</v>
      </c>
      <c r="AJ1042">
        <f t="shared" si="51"/>
        <v>8.8950799999999997E-2</v>
      </c>
      <c r="AO1042">
        <v>8.8950799999999997E-2</v>
      </c>
      <c r="AR1042" s="8">
        <v>0</v>
      </c>
      <c r="AS1042">
        <v>0.50497729999999996</v>
      </c>
    </row>
    <row r="1043" spans="1:45" x14ac:dyDescent="0.25">
      <c r="A1043">
        <v>200</v>
      </c>
      <c r="B1043">
        <v>2002</v>
      </c>
      <c r="C1043" s="8">
        <v>0</v>
      </c>
      <c r="D1043">
        <v>5.3337500000000003E-2</v>
      </c>
      <c r="E1043">
        <v>0.19049930000000001</v>
      </c>
      <c r="F1043">
        <v>1.6305099999999999E-2</v>
      </c>
      <c r="G1043">
        <v>0.49160710000000002</v>
      </c>
      <c r="H1043">
        <v>0.1149929</v>
      </c>
      <c r="Q1043" s="10">
        <f t="shared" si="52"/>
        <v>2.5557174496988216E-2</v>
      </c>
      <c r="AI1043">
        <v>-4.9346599999999997E-2</v>
      </c>
      <c r="AJ1043">
        <f t="shared" si="51"/>
        <v>-4.9346599999999997E-2</v>
      </c>
      <c r="AO1043">
        <v>-4.9346599999999997E-2</v>
      </c>
      <c r="AR1043" s="8">
        <v>0</v>
      </c>
      <c r="AS1043">
        <v>0.6305885</v>
      </c>
    </row>
    <row r="1044" spans="1:45" x14ac:dyDescent="0.25">
      <c r="A1044">
        <v>200</v>
      </c>
      <c r="B1044">
        <v>2003</v>
      </c>
      <c r="C1044" s="8">
        <v>0</v>
      </c>
      <c r="D1044">
        <v>8.8950799999999997E-2</v>
      </c>
      <c r="E1044">
        <v>0.25340639999999998</v>
      </c>
      <c r="F1044">
        <v>5.2772699999999999E-2</v>
      </c>
      <c r="G1044">
        <v>0.61691439999999997</v>
      </c>
      <c r="H1044">
        <v>0.12959270000000001</v>
      </c>
      <c r="Q1044" s="10">
        <f t="shared" si="52"/>
        <v>1.4773948167039046E-2</v>
      </c>
      <c r="AI1044">
        <v>-6.5863400000000002E-2</v>
      </c>
      <c r="AJ1044">
        <f t="shared" si="51"/>
        <v>-6.5863400000000002E-2</v>
      </c>
      <c r="AO1044">
        <v>-6.5863400000000002E-2</v>
      </c>
      <c r="AR1044" s="8">
        <v>0</v>
      </c>
      <c r="AS1044">
        <v>0.63790259999999999</v>
      </c>
    </row>
    <row r="1045" spans="1:45" x14ac:dyDescent="0.25">
      <c r="A1045">
        <v>200</v>
      </c>
      <c r="B1045">
        <v>2004</v>
      </c>
      <c r="C1045" s="8">
        <v>0</v>
      </c>
      <c r="D1045">
        <v>-4.9346599999999997E-2</v>
      </c>
      <c r="E1045">
        <v>0.27651710000000002</v>
      </c>
      <c r="F1045">
        <v>3.8873600000000001E-2</v>
      </c>
      <c r="G1045">
        <v>0.89511510000000005</v>
      </c>
      <c r="H1045">
        <v>0.14640520000000001</v>
      </c>
      <c r="Q1045" s="10">
        <f t="shared" si="52"/>
        <v>9.8278459436234328E-3</v>
      </c>
      <c r="AI1045">
        <v>-5.5973000000000002E-2</v>
      </c>
      <c r="AJ1045">
        <f t="shared" si="51"/>
        <v>-5.5973000000000002E-2</v>
      </c>
      <c r="AO1045">
        <v>-5.5973000000000002E-2</v>
      </c>
      <c r="AR1045" s="8">
        <v>0</v>
      </c>
      <c r="AS1045">
        <v>0.49160710000000002</v>
      </c>
    </row>
    <row r="1046" spans="1:45" x14ac:dyDescent="0.25">
      <c r="A1046">
        <v>201</v>
      </c>
      <c r="B1046">
        <v>1997</v>
      </c>
      <c r="C1046" s="8">
        <v>0</v>
      </c>
      <c r="D1046">
        <v>-6.5863400000000002E-2</v>
      </c>
      <c r="E1046">
        <v>5.2422499999999997E-2</v>
      </c>
      <c r="F1046">
        <v>4.2057799999999999E-2</v>
      </c>
      <c r="G1046">
        <v>0.58086349999999998</v>
      </c>
      <c r="H1046">
        <v>0.19584109999999999</v>
      </c>
      <c r="Q1046" s="10">
        <f t="shared" si="52"/>
        <v>2.2145859878688112E-2</v>
      </c>
      <c r="AI1046">
        <v>-1.5865600000000001E-2</v>
      </c>
      <c r="AJ1046">
        <f t="shared" si="51"/>
        <v>-1.5865600000000001E-2</v>
      </c>
      <c r="AO1046">
        <v>-1.5865600000000001E-2</v>
      </c>
      <c r="AR1046" s="8">
        <v>0</v>
      </c>
      <c r="AS1046">
        <v>0.61691439999999997</v>
      </c>
    </row>
    <row r="1047" spans="1:45" x14ac:dyDescent="0.25">
      <c r="A1047">
        <v>201</v>
      </c>
      <c r="B1047">
        <v>1998</v>
      </c>
      <c r="C1047" s="8">
        <v>0</v>
      </c>
      <c r="D1047">
        <v>-5.5973000000000002E-2</v>
      </c>
      <c r="E1047">
        <v>6.7023899999999997E-2</v>
      </c>
      <c r="F1047">
        <v>3.8719400000000001E-2</v>
      </c>
      <c r="G1047">
        <v>0.579098</v>
      </c>
      <c r="H1047">
        <v>0.155776</v>
      </c>
      <c r="Q1047" s="10">
        <f t="shared" si="52"/>
        <v>2.1877979710991164E-2</v>
      </c>
      <c r="AI1047">
        <v>2.24846E-2</v>
      </c>
      <c r="AJ1047">
        <f t="shared" si="51"/>
        <v>2.24846E-2</v>
      </c>
      <c r="AO1047">
        <v>2.24846E-2</v>
      </c>
      <c r="AR1047" s="8">
        <v>0</v>
      </c>
      <c r="AS1047">
        <v>0.89511510000000005</v>
      </c>
    </row>
    <row r="1048" spans="1:45" x14ac:dyDescent="0.25">
      <c r="A1048">
        <v>201</v>
      </c>
      <c r="B1048">
        <v>1999</v>
      </c>
      <c r="C1048" s="8">
        <v>0</v>
      </c>
      <c r="D1048">
        <v>-1.5865600000000001E-2</v>
      </c>
      <c r="E1048">
        <v>8.7427400000000002E-2</v>
      </c>
      <c r="F1048">
        <v>1.5342400000000001E-2</v>
      </c>
      <c r="G1048">
        <v>0.67632139999999996</v>
      </c>
      <c r="H1048">
        <v>0.16871949999999999</v>
      </c>
      <c r="Q1048" s="10">
        <f t="shared" si="52"/>
        <v>2.2464026013680225E-2</v>
      </c>
      <c r="AI1048">
        <v>4.6252000000000003E-3</v>
      </c>
      <c r="AJ1048">
        <f t="shared" si="51"/>
        <v>4.6252000000000003E-3</v>
      </c>
      <c r="AO1048">
        <v>4.6252000000000003E-3</v>
      </c>
      <c r="AR1048" s="8">
        <v>0</v>
      </c>
      <c r="AS1048">
        <v>0.58086349999999998</v>
      </c>
    </row>
    <row r="1049" spans="1:45" x14ac:dyDescent="0.25">
      <c r="A1049">
        <v>201</v>
      </c>
      <c r="B1049">
        <v>2000</v>
      </c>
      <c r="C1049" s="8">
        <v>0</v>
      </c>
      <c r="D1049">
        <v>2.24846E-2</v>
      </c>
      <c r="E1049">
        <v>7.6025800000000004E-2</v>
      </c>
      <c r="F1049">
        <v>5.2451400000000002E-2</v>
      </c>
      <c r="G1049">
        <v>0.7430599</v>
      </c>
      <c r="H1049">
        <v>0.63878100000000004</v>
      </c>
      <c r="Q1049" s="10">
        <f t="shared" si="52"/>
        <v>2.0784708826766696E-2</v>
      </c>
      <c r="AI1049">
        <v>5.1460199999999998E-2</v>
      </c>
      <c r="AJ1049">
        <f t="shared" si="51"/>
        <v>5.1460199999999998E-2</v>
      </c>
      <c r="AO1049">
        <v>5.1460199999999998E-2</v>
      </c>
      <c r="AR1049" s="8">
        <v>0</v>
      </c>
      <c r="AS1049">
        <v>0.579098</v>
      </c>
    </row>
    <row r="1050" spans="1:45" x14ac:dyDescent="0.25">
      <c r="A1050">
        <v>201</v>
      </c>
      <c r="B1050">
        <v>2001</v>
      </c>
      <c r="C1050" s="8">
        <v>0</v>
      </c>
      <c r="D1050">
        <v>4.6252000000000003E-3</v>
      </c>
      <c r="E1050">
        <v>0.13704479999999999</v>
      </c>
      <c r="F1050">
        <v>3.5474100000000001E-2</v>
      </c>
      <c r="G1050">
        <v>0.6437254</v>
      </c>
      <c r="H1050">
        <v>8.8809299999999994E-2</v>
      </c>
      <c r="Q1050" s="10">
        <f t="shared" si="52"/>
        <v>1.8067900608782751E-2</v>
      </c>
      <c r="AI1050">
        <v>6.9845299999999999E-2</v>
      </c>
      <c r="AJ1050">
        <f t="shared" si="51"/>
        <v>6.9845299999999999E-2</v>
      </c>
      <c r="AO1050">
        <v>6.9845299999999999E-2</v>
      </c>
      <c r="AR1050" s="8">
        <v>0</v>
      </c>
      <c r="AS1050">
        <v>0.67632139999999996</v>
      </c>
    </row>
    <row r="1051" spans="1:45" x14ac:dyDescent="0.25">
      <c r="A1051">
        <v>201</v>
      </c>
      <c r="B1051">
        <v>2002</v>
      </c>
      <c r="C1051" s="8">
        <v>0</v>
      </c>
      <c r="D1051">
        <v>5.1460199999999998E-2</v>
      </c>
      <c r="E1051">
        <v>8.6972900000000006E-2</v>
      </c>
      <c r="F1051">
        <v>-1.62005E-2</v>
      </c>
      <c r="G1051">
        <v>0.14664240000000001</v>
      </c>
      <c r="H1051">
        <v>3.5858300000000003E-2</v>
      </c>
      <c r="Q1051" s="10">
        <f t="shared" si="52"/>
        <v>6.119802994049911E-2</v>
      </c>
      <c r="AI1051">
        <v>5.5765500000000003E-2</v>
      </c>
      <c r="AJ1051">
        <f t="shared" si="51"/>
        <v>5.5765500000000003E-2</v>
      </c>
      <c r="AO1051">
        <v>5.5765500000000003E-2</v>
      </c>
      <c r="AR1051" s="8">
        <v>0</v>
      </c>
      <c r="AS1051">
        <v>0.7430599</v>
      </c>
    </row>
    <row r="1052" spans="1:45" x14ac:dyDescent="0.25">
      <c r="A1052">
        <v>201</v>
      </c>
      <c r="B1052">
        <v>2003</v>
      </c>
      <c r="C1052" s="8">
        <v>0</v>
      </c>
      <c r="D1052">
        <v>6.9845299999999999E-2</v>
      </c>
      <c r="E1052">
        <v>-9.3264000000000003E-3</v>
      </c>
      <c r="F1052">
        <v>3.4992299999999997E-2</v>
      </c>
      <c r="G1052">
        <v>0.19157199999999999</v>
      </c>
      <c r="H1052">
        <v>7.2883900000000001E-2</v>
      </c>
      <c r="Q1052" s="10">
        <f t="shared" si="52"/>
        <v>4.5607711095771587E-2</v>
      </c>
      <c r="AI1052">
        <v>6.8308400000000005E-2</v>
      </c>
      <c r="AJ1052">
        <f t="shared" si="51"/>
        <v>6.8308400000000005E-2</v>
      </c>
      <c r="AO1052">
        <v>6.8308400000000005E-2</v>
      </c>
      <c r="AR1052" s="8">
        <v>0</v>
      </c>
      <c r="AS1052">
        <v>0.6437254</v>
      </c>
    </row>
    <row r="1053" spans="1:45" x14ac:dyDescent="0.25">
      <c r="A1053">
        <v>201</v>
      </c>
      <c r="B1053">
        <v>2004</v>
      </c>
      <c r="C1053" s="8">
        <v>0</v>
      </c>
      <c r="D1053">
        <v>5.5765500000000003E-2</v>
      </c>
      <c r="E1053">
        <v>-7.0347900000000005E-2</v>
      </c>
      <c r="F1053">
        <v>3.1214700000000001E-2</v>
      </c>
      <c r="G1053">
        <v>0.27053539999999998</v>
      </c>
      <c r="H1053">
        <v>7.1913400000000002E-2</v>
      </c>
      <c r="Q1053" s="10">
        <f t="shared" si="52"/>
        <v>4.5031080755289297E-2</v>
      </c>
      <c r="AI1053">
        <v>4.8404799999999998E-2</v>
      </c>
      <c r="AJ1053">
        <f t="shared" si="51"/>
        <v>4.8404799999999998E-2</v>
      </c>
      <c r="AO1053">
        <v>4.8404799999999998E-2</v>
      </c>
      <c r="AR1053" s="8">
        <v>0</v>
      </c>
      <c r="AS1053">
        <v>0.14664240000000001</v>
      </c>
    </row>
    <row r="1054" spans="1:45" x14ac:dyDescent="0.25">
      <c r="A1054">
        <v>202</v>
      </c>
      <c r="B1054">
        <v>1999</v>
      </c>
      <c r="C1054" s="8">
        <v>0</v>
      </c>
      <c r="D1054">
        <v>6.8308400000000005E-2</v>
      </c>
      <c r="E1054">
        <v>0.56987860000000001</v>
      </c>
      <c r="F1054">
        <v>7.5943399999999994E-2</v>
      </c>
      <c r="G1054">
        <v>3.715125</v>
      </c>
      <c r="H1054">
        <v>0.3046913</v>
      </c>
      <c r="Q1054" s="10">
        <f t="shared" si="52"/>
        <v>6.2340371490131506E-5</v>
      </c>
      <c r="AI1054">
        <v>3.7685299999999998E-2</v>
      </c>
      <c r="AJ1054">
        <f t="shared" si="51"/>
        <v>3.7685299999999998E-2</v>
      </c>
      <c r="AO1054">
        <v>3.7685299999999998E-2</v>
      </c>
      <c r="AR1054" s="8">
        <v>0</v>
      </c>
      <c r="AS1054">
        <v>0.19157199999999999</v>
      </c>
    </row>
    <row r="1055" spans="1:45" x14ac:dyDescent="0.25">
      <c r="A1055">
        <v>202</v>
      </c>
      <c r="B1055">
        <v>2000</v>
      </c>
      <c r="C1055" s="8">
        <v>0</v>
      </c>
      <c r="D1055">
        <v>4.8404799999999998E-2</v>
      </c>
      <c r="E1055">
        <v>0.56603230000000004</v>
      </c>
      <c r="F1055">
        <v>8.5879899999999995E-2</v>
      </c>
      <c r="G1055">
        <v>3.3091400000000002</v>
      </c>
      <c r="H1055">
        <v>0.31679390000000002</v>
      </c>
      <c r="Q1055" s="10">
        <f t="shared" si="52"/>
        <v>1.1048708879615691E-4</v>
      </c>
      <c r="AI1055">
        <v>8.5465200000000005E-2</v>
      </c>
      <c r="AJ1055">
        <f t="shared" si="51"/>
        <v>8.5465200000000005E-2</v>
      </c>
      <c r="AO1055">
        <v>8.5465200000000005E-2</v>
      </c>
      <c r="AR1055" s="8">
        <v>0</v>
      </c>
      <c r="AS1055">
        <v>0.27053539999999998</v>
      </c>
    </row>
    <row r="1056" spans="1:45" x14ac:dyDescent="0.25">
      <c r="A1056">
        <v>202</v>
      </c>
      <c r="B1056">
        <v>2001</v>
      </c>
      <c r="C1056" s="8">
        <v>0</v>
      </c>
      <c r="D1056">
        <v>3.7685299999999998E-2</v>
      </c>
      <c r="E1056">
        <v>0.56939289999999998</v>
      </c>
      <c r="F1056">
        <v>6.7569599999999994E-2</v>
      </c>
      <c r="G1056">
        <v>2.2878050000000001</v>
      </c>
      <c r="H1056">
        <v>0.2680903</v>
      </c>
      <c r="Q1056" s="10">
        <f t="shared" si="52"/>
        <v>6.2573742843376678E-4</v>
      </c>
      <c r="AI1056">
        <v>0.1660693</v>
      </c>
      <c r="AJ1056">
        <f t="shared" si="51"/>
        <v>0.1660693</v>
      </c>
      <c r="AO1056">
        <v>0.1660693</v>
      </c>
      <c r="AR1056" s="8">
        <v>0</v>
      </c>
      <c r="AS1056">
        <v>3.715125</v>
      </c>
    </row>
    <row r="1057" spans="1:45" x14ac:dyDescent="0.25">
      <c r="A1057">
        <v>202</v>
      </c>
      <c r="B1057">
        <v>2002</v>
      </c>
      <c r="C1057" s="8">
        <v>0</v>
      </c>
      <c r="D1057">
        <v>8.5465200000000005E-2</v>
      </c>
      <c r="E1057">
        <v>0.57497600000000004</v>
      </c>
      <c r="F1057">
        <v>6.1185099999999999E-2</v>
      </c>
      <c r="G1057">
        <v>2.133264</v>
      </c>
      <c r="H1057">
        <v>0.25945570000000001</v>
      </c>
      <c r="Q1057" s="10">
        <f t="shared" si="52"/>
        <v>8.4757997174640025E-4</v>
      </c>
      <c r="AI1057">
        <v>0.1500679</v>
      </c>
      <c r="AJ1057">
        <f t="shared" si="51"/>
        <v>0.1500679</v>
      </c>
      <c r="AO1057">
        <v>0.1500679</v>
      </c>
      <c r="AR1057" s="8">
        <v>0</v>
      </c>
      <c r="AS1057">
        <v>3.3091400000000002</v>
      </c>
    </row>
    <row r="1058" spans="1:45" x14ac:dyDescent="0.25">
      <c r="A1058">
        <v>202</v>
      </c>
      <c r="B1058">
        <v>2003</v>
      </c>
      <c r="C1058" s="8">
        <v>0</v>
      </c>
      <c r="D1058">
        <v>0.1660693</v>
      </c>
      <c r="E1058">
        <v>0.58616029999999997</v>
      </c>
      <c r="F1058">
        <v>7.13337E-2</v>
      </c>
      <c r="G1058">
        <v>2.5836480000000002</v>
      </c>
      <c r="H1058">
        <v>0.27262439999999999</v>
      </c>
      <c r="Q1058" s="10">
        <f t="shared" si="52"/>
        <v>3.9120583024089155E-4</v>
      </c>
      <c r="AI1058">
        <v>7.8260300000000005E-2</v>
      </c>
      <c r="AJ1058">
        <f t="shared" si="51"/>
        <v>7.8260300000000005E-2</v>
      </c>
      <c r="AO1058">
        <v>7.8260300000000005E-2</v>
      </c>
      <c r="AR1058" s="8">
        <v>0</v>
      </c>
      <c r="AS1058">
        <v>2.2878050000000001</v>
      </c>
    </row>
    <row r="1059" spans="1:45" x14ac:dyDescent="0.25">
      <c r="A1059">
        <v>202</v>
      </c>
      <c r="B1059">
        <v>2004</v>
      </c>
      <c r="C1059" s="8">
        <v>0</v>
      </c>
      <c r="D1059">
        <v>0.1500679</v>
      </c>
      <c r="E1059">
        <v>0.61105330000000002</v>
      </c>
      <c r="F1059">
        <v>7.0125400000000004E-2</v>
      </c>
      <c r="G1059">
        <v>2.8750740000000001</v>
      </c>
      <c r="H1059">
        <v>0.27001979999999998</v>
      </c>
      <c r="Q1059" s="10">
        <f t="shared" si="52"/>
        <v>2.3750724291593504E-4</v>
      </c>
      <c r="AI1059">
        <v>-7.3536000000000004E-2</v>
      </c>
      <c r="AJ1059">
        <f t="shared" si="51"/>
        <v>-7.3536000000000004E-2</v>
      </c>
      <c r="AO1059">
        <v>-7.3536000000000004E-2</v>
      </c>
      <c r="AR1059" s="8">
        <v>0</v>
      </c>
      <c r="AS1059">
        <v>2.133264</v>
      </c>
    </row>
    <row r="1060" spans="1:45" x14ac:dyDescent="0.25">
      <c r="A1060">
        <v>203</v>
      </c>
      <c r="B1060">
        <v>1999</v>
      </c>
      <c r="C1060" s="8">
        <v>0</v>
      </c>
      <c r="D1060">
        <v>7.8260300000000005E-2</v>
      </c>
      <c r="E1060">
        <v>9.3273999999999996E-2</v>
      </c>
      <c r="F1060">
        <v>3.8852600000000001E-2</v>
      </c>
      <c r="G1060">
        <v>0.80952970000000002</v>
      </c>
      <c r="H1060">
        <v>0.103505</v>
      </c>
      <c r="Q1060" s="10">
        <f t="shared" si="52"/>
        <v>1.501805732145001E-2</v>
      </c>
      <c r="AI1060">
        <v>-5.3948999999999997E-2</v>
      </c>
      <c r="AJ1060">
        <f t="shared" si="51"/>
        <v>-5.3948999999999997E-2</v>
      </c>
      <c r="AO1060">
        <v>-5.3948999999999997E-2</v>
      </c>
      <c r="AR1060" s="8">
        <v>0</v>
      </c>
      <c r="AS1060">
        <v>2.5836480000000002</v>
      </c>
    </row>
    <row r="1061" spans="1:45" x14ac:dyDescent="0.25">
      <c r="A1061">
        <v>203</v>
      </c>
      <c r="B1061">
        <v>2000</v>
      </c>
      <c r="C1061" s="8">
        <v>0</v>
      </c>
      <c r="D1061">
        <v>-7.3536000000000004E-2</v>
      </c>
      <c r="E1061">
        <v>0.1029548</v>
      </c>
      <c r="F1061">
        <v>4.6163700000000002E-2</v>
      </c>
      <c r="G1061">
        <v>0.82499750000000005</v>
      </c>
      <c r="H1061">
        <v>0.10317900000000001</v>
      </c>
      <c r="Q1061" s="10">
        <f t="shared" si="52"/>
        <v>1.2822063138668233E-2</v>
      </c>
      <c r="AI1061">
        <v>3.05963E-2</v>
      </c>
      <c r="AJ1061">
        <f t="shared" si="51"/>
        <v>3.05963E-2</v>
      </c>
      <c r="AO1061">
        <v>3.05963E-2</v>
      </c>
      <c r="AR1061" s="8">
        <v>0</v>
      </c>
      <c r="AS1061">
        <v>2.8750740000000001</v>
      </c>
    </row>
    <row r="1062" spans="1:45" x14ac:dyDescent="0.25">
      <c r="A1062">
        <v>203</v>
      </c>
      <c r="B1062">
        <v>2001</v>
      </c>
      <c r="C1062" s="8">
        <v>0</v>
      </c>
      <c r="D1062">
        <v>-5.3948999999999997E-2</v>
      </c>
      <c r="E1062">
        <v>7.2012099999999996E-2</v>
      </c>
      <c r="F1062">
        <v>4.0275400000000003E-2</v>
      </c>
      <c r="G1062">
        <v>0.69156960000000001</v>
      </c>
      <c r="H1062">
        <v>9.9577200000000005E-2</v>
      </c>
      <c r="Q1062" s="10">
        <f t="shared" si="52"/>
        <v>1.7411214587938036E-2</v>
      </c>
      <c r="AI1062">
        <v>7.1943300000000002E-2</v>
      </c>
      <c r="AJ1062">
        <f t="shared" si="51"/>
        <v>7.1943300000000002E-2</v>
      </c>
      <c r="AO1062">
        <v>7.1943300000000002E-2</v>
      </c>
      <c r="AR1062" s="8">
        <v>0</v>
      </c>
      <c r="AS1062">
        <v>0.80952970000000002</v>
      </c>
    </row>
    <row r="1063" spans="1:45" x14ac:dyDescent="0.25">
      <c r="A1063">
        <v>203</v>
      </c>
      <c r="B1063">
        <v>2002</v>
      </c>
      <c r="C1063" s="8">
        <v>0</v>
      </c>
      <c r="D1063">
        <v>3.05963E-2</v>
      </c>
      <c r="E1063">
        <v>8.5508299999999995E-2</v>
      </c>
      <c r="F1063">
        <v>4.6567900000000002E-2</v>
      </c>
      <c r="G1063">
        <v>0.67861039999999995</v>
      </c>
      <c r="H1063">
        <v>9.1830200000000001E-2</v>
      </c>
      <c r="Q1063" s="10">
        <f t="shared" si="52"/>
        <v>1.7087914471379341E-2</v>
      </c>
      <c r="AI1063">
        <v>6.9376599999999997E-2</v>
      </c>
      <c r="AJ1063">
        <f t="shared" si="51"/>
        <v>6.9376599999999997E-2</v>
      </c>
      <c r="AO1063">
        <v>6.9376599999999997E-2</v>
      </c>
      <c r="AR1063" s="8">
        <v>0</v>
      </c>
      <c r="AS1063">
        <v>0.82499750000000005</v>
      </c>
    </row>
    <row r="1064" spans="1:45" x14ac:dyDescent="0.25">
      <c r="A1064">
        <v>203</v>
      </c>
      <c r="B1064">
        <v>2003</v>
      </c>
      <c r="C1064" s="8">
        <v>0</v>
      </c>
      <c r="D1064">
        <v>7.1943300000000002E-2</v>
      </c>
      <c r="E1064">
        <v>7.6339400000000002E-2</v>
      </c>
      <c r="F1064">
        <v>3.3698199999999998E-2</v>
      </c>
      <c r="G1064">
        <v>0.8338392</v>
      </c>
      <c r="H1064">
        <v>0.108872</v>
      </c>
      <c r="Q1064" s="10">
        <f t="shared" si="52"/>
        <v>1.5435223345498307E-2</v>
      </c>
      <c r="AI1064">
        <v>-0.1094929</v>
      </c>
      <c r="AJ1064">
        <f t="shared" si="51"/>
        <v>-0.1094929</v>
      </c>
      <c r="AO1064">
        <v>-0.1094929</v>
      </c>
      <c r="AR1064" s="8">
        <v>0</v>
      </c>
      <c r="AS1064">
        <v>0.69156960000000001</v>
      </c>
    </row>
    <row r="1065" spans="1:45" x14ac:dyDescent="0.25">
      <c r="A1065">
        <v>203</v>
      </c>
      <c r="B1065">
        <v>2004</v>
      </c>
      <c r="C1065" s="8">
        <v>0</v>
      </c>
      <c r="D1065">
        <v>6.9376599999999997E-2</v>
      </c>
      <c r="E1065">
        <v>5.2491000000000003E-2</v>
      </c>
      <c r="F1065">
        <v>3.4548099999999998E-2</v>
      </c>
      <c r="G1065">
        <v>0.9365253</v>
      </c>
      <c r="H1065">
        <v>9.0876700000000005E-2</v>
      </c>
      <c r="Q1065" s="10">
        <f t="shared" si="52"/>
        <v>1.3340433059529366E-2</v>
      </c>
      <c r="AI1065">
        <v>-0.10903060000000001</v>
      </c>
      <c r="AJ1065">
        <f t="shared" si="51"/>
        <v>-0.10903060000000001</v>
      </c>
      <c r="AO1065">
        <v>-0.10903060000000001</v>
      </c>
      <c r="AR1065" s="8">
        <v>0</v>
      </c>
      <c r="AS1065">
        <v>0.67861039999999995</v>
      </c>
    </row>
    <row r="1066" spans="1:45" x14ac:dyDescent="0.25">
      <c r="A1066">
        <v>204</v>
      </c>
      <c r="B1066">
        <v>1999</v>
      </c>
      <c r="C1066" s="8">
        <v>0</v>
      </c>
      <c r="D1066">
        <v>-0.1094929</v>
      </c>
      <c r="E1066">
        <v>0.17213439999999999</v>
      </c>
      <c r="F1066">
        <v>1.7431499999999999E-2</v>
      </c>
      <c r="G1066">
        <v>0.75814389999999998</v>
      </c>
      <c r="H1066">
        <v>0.1103779</v>
      </c>
      <c r="Q1066" s="10">
        <f t="shared" si="52"/>
        <v>1.6010941685386384E-2</v>
      </c>
      <c r="AI1066">
        <v>3.9556000000000001E-2</v>
      </c>
      <c r="AJ1066">
        <f t="shared" si="51"/>
        <v>3.9556000000000001E-2</v>
      </c>
      <c r="AO1066">
        <v>3.9556000000000001E-2</v>
      </c>
      <c r="AR1066" s="8">
        <v>0</v>
      </c>
      <c r="AS1066">
        <v>0.8338392</v>
      </c>
    </row>
    <row r="1067" spans="1:45" x14ac:dyDescent="0.25">
      <c r="A1067">
        <v>204</v>
      </c>
      <c r="B1067">
        <v>2000</v>
      </c>
      <c r="C1067" s="8">
        <v>0</v>
      </c>
      <c r="D1067">
        <v>-0.10903060000000001</v>
      </c>
      <c r="E1067">
        <v>0.18514439999999999</v>
      </c>
      <c r="F1067">
        <v>3.8938100000000003E-2</v>
      </c>
      <c r="G1067">
        <v>1.159162</v>
      </c>
      <c r="H1067">
        <v>0.1222324</v>
      </c>
      <c r="Q1067" s="10">
        <f t="shared" si="52"/>
        <v>7.0980354592838253E-3</v>
      </c>
      <c r="AI1067">
        <v>-7.4648599999999996E-2</v>
      </c>
      <c r="AJ1067">
        <f t="shared" si="51"/>
        <v>-7.4648599999999996E-2</v>
      </c>
      <c r="AO1067">
        <v>-7.4648599999999996E-2</v>
      </c>
      <c r="AR1067" s="8">
        <v>0</v>
      </c>
      <c r="AS1067">
        <v>0.9365253</v>
      </c>
    </row>
    <row r="1068" spans="1:45" x14ac:dyDescent="0.25">
      <c r="A1068">
        <v>204</v>
      </c>
      <c r="B1068">
        <v>2001</v>
      </c>
      <c r="C1068" s="8">
        <v>0</v>
      </c>
      <c r="D1068">
        <v>3.9556000000000001E-2</v>
      </c>
      <c r="E1068">
        <v>0.22764570000000001</v>
      </c>
      <c r="F1068">
        <v>2.3852100000000001E-2</v>
      </c>
      <c r="G1068">
        <v>0.96614889999999998</v>
      </c>
      <c r="H1068">
        <v>0.129968</v>
      </c>
      <c r="Q1068" s="10">
        <f t="shared" si="52"/>
        <v>1.0900503398991322E-2</v>
      </c>
      <c r="AI1068">
        <v>1.2558E-2</v>
      </c>
      <c r="AJ1068">
        <f t="shared" si="51"/>
        <v>1.2558E-2</v>
      </c>
      <c r="AO1068">
        <v>1.2558E-2</v>
      </c>
      <c r="AR1068" s="8">
        <v>0</v>
      </c>
      <c r="AS1068">
        <v>0.75814389999999998</v>
      </c>
    </row>
    <row r="1069" spans="1:45" x14ac:dyDescent="0.25">
      <c r="A1069">
        <v>204</v>
      </c>
      <c r="B1069">
        <v>2002</v>
      </c>
      <c r="C1069" s="8">
        <v>0</v>
      </c>
      <c r="D1069">
        <v>-7.4648599999999996E-2</v>
      </c>
      <c r="E1069">
        <v>0.20738809999999999</v>
      </c>
      <c r="F1069">
        <v>5.89265E-2</v>
      </c>
      <c r="G1069">
        <v>1.095391</v>
      </c>
      <c r="H1069">
        <v>0.13453300000000001</v>
      </c>
      <c r="Q1069" s="10">
        <f t="shared" si="52"/>
        <v>6.6296644342970024E-3</v>
      </c>
      <c r="AI1069">
        <v>-4.59853E-2</v>
      </c>
      <c r="AJ1069">
        <f t="shared" si="51"/>
        <v>-4.59853E-2</v>
      </c>
      <c r="AO1069">
        <v>-4.59853E-2</v>
      </c>
      <c r="AR1069" s="8">
        <v>0</v>
      </c>
      <c r="AS1069">
        <v>1.159162</v>
      </c>
    </row>
    <row r="1070" spans="1:45" x14ac:dyDescent="0.25">
      <c r="A1070">
        <v>204</v>
      </c>
      <c r="B1070">
        <v>2003</v>
      </c>
      <c r="C1070" s="8">
        <v>0</v>
      </c>
      <c r="D1070">
        <v>1.2558E-2</v>
      </c>
      <c r="E1070">
        <v>0.20882909999999999</v>
      </c>
      <c r="F1070">
        <v>5.4982700000000002E-2</v>
      </c>
      <c r="G1070">
        <v>1.3980159999999999</v>
      </c>
      <c r="H1070">
        <v>0.14652019999999999</v>
      </c>
      <c r="Q1070" s="10">
        <f t="shared" si="52"/>
        <v>4.4129343105854439E-3</v>
      </c>
      <c r="AI1070">
        <v>1.50993E-2</v>
      </c>
      <c r="AJ1070">
        <f t="shared" si="51"/>
        <v>1.50993E-2</v>
      </c>
      <c r="AO1070">
        <v>1.50993E-2</v>
      </c>
      <c r="AR1070" s="8">
        <v>0</v>
      </c>
      <c r="AS1070">
        <v>0.96614889999999998</v>
      </c>
    </row>
    <row r="1071" spans="1:45" x14ac:dyDescent="0.25">
      <c r="A1071">
        <v>204</v>
      </c>
      <c r="B1071">
        <v>2004</v>
      </c>
      <c r="C1071" s="8">
        <v>0</v>
      </c>
      <c r="D1071">
        <v>-4.59853E-2</v>
      </c>
      <c r="E1071">
        <v>0.21812010000000001</v>
      </c>
      <c r="F1071">
        <v>6.0867999999999998E-2</v>
      </c>
      <c r="G1071">
        <v>1.590201</v>
      </c>
      <c r="H1071">
        <v>0.14504980000000001</v>
      </c>
      <c r="Q1071" s="10">
        <f t="shared" si="52"/>
        <v>2.9860448629900633E-3</v>
      </c>
      <c r="AI1071">
        <v>1.2524999999999999E-3</v>
      </c>
      <c r="AJ1071">
        <f t="shared" si="51"/>
        <v>1.2524999999999999E-3</v>
      </c>
      <c r="AO1071">
        <v>1.2524999999999999E-3</v>
      </c>
      <c r="AR1071" s="8">
        <v>0</v>
      </c>
      <c r="AS1071">
        <v>1.095391</v>
      </c>
    </row>
    <row r="1072" spans="1:45" x14ac:dyDescent="0.25">
      <c r="A1072">
        <v>205</v>
      </c>
      <c r="B1072">
        <v>1999</v>
      </c>
      <c r="C1072" s="8">
        <v>0</v>
      </c>
      <c r="D1072">
        <v>1.50993E-2</v>
      </c>
      <c r="E1072">
        <v>0.35538320000000001</v>
      </c>
      <c r="F1072">
        <v>5.8243799999999998E-2</v>
      </c>
      <c r="G1072">
        <v>1.144002</v>
      </c>
      <c r="H1072">
        <v>0.40637790000000001</v>
      </c>
      <c r="Q1072" s="10">
        <f t="shared" si="52"/>
        <v>6.1137428700860736E-3</v>
      </c>
      <c r="AI1072">
        <v>2.2070200000000002E-2</v>
      </c>
      <c r="AJ1072">
        <f t="shared" si="51"/>
        <v>2.2070200000000002E-2</v>
      </c>
      <c r="AO1072">
        <v>2.2070200000000002E-2</v>
      </c>
      <c r="AR1072" s="8">
        <v>0</v>
      </c>
      <c r="AS1072">
        <v>1.3980159999999999</v>
      </c>
    </row>
    <row r="1073" spans="1:45" x14ac:dyDescent="0.25">
      <c r="A1073">
        <v>205</v>
      </c>
      <c r="B1073">
        <v>2000</v>
      </c>
      <c r="C1073" s="8">
        <v>0</v>
      </c>
      <c r="D1073">
        <v>1.2524999999999999E-3</v>
      </c>
      <c r="E1073">
        <v>0.37719340000000001</v>
      </c>
      <c r="F1073">
        <v>4.1415199999999999E-2</v>
      </c>
      <c r="G1073">
        <v>1.1708419999999999</v>
      </c>
      <c r="H1073">
        <v>0.50726760000000004</v>
      </c>
      <c r="Q1073" s="10">
        <f t="shared" si="52"/>
        <v>6.8667782983458815E-3</v>
      </c>
      <c r="AI1073">
        <v>8.0137700000000006E-2</v>
      </c>
      <c r="AJ1073">
        <f t="shared" si="51"/>
        <v>8.0137700000000006E-2</v>
      </c>
      <c r="AO1073">
        <v>8.0137700000000006E-2</v>
      </c>
      <c r="AR1073" s="8">
        <v>0</v>
      </c>
      <c r="AS1073">
        <v>1.590201</v>
      </c>
    </row>
    <row r="1074" spans="1:45" x14ac:dyDescent="0.25">
      <c r="A1074">
        <v>205</v>
      </c>
      <c r="B1074">
        <v>2001</v>
      </c>
      <c r="C1074" s="8">
        <v>0</v>
      </c>
      <c r="D1074">
        <v>2.2070200000000002E-2</v>
      </c>
      <c r="E1074">
        <v>0.43967079999999997</v>
      </c>
      <c r="F1074">
        <v>7.0268200000000003E-2</v>
      </c>
      <c r="G1074">
        <v>1.810163</v>
      </c>
      <c r="H1074">
        <v>0.32066220000000001</v>
      </c>
      <c r="Q1074" s="10">
        <f t="shared" si="52"/>
        <v>1.6233400775886135E-3</v>
      </c>
      <c r="AI1074">
        <v>0.1763045</v>
      </c>
      <c r="AJ1074">
        <f t="shared" si="51"/>
        <v>0.1763045</v>
      </c>
      <c r="AO1074">
        <v>0.1763045</v>
      </c>
      <c r="AR1074" s="8">
        <v>0</v>
      </c>
      <c r="AS1074">
        <v>1.144002</v>
      </c>
    </row>
    <row r="1075" spans="1:45" x14ac:dyDescent="0.25">
      <c r="A1075">
        <v>205</v>
      </c>
      <c r="B1075">
        <v>2002</v>
      </c>
      <c r="C1075" s="8">
        <v>0</v>
      </c>
      <c r="D1075">
        <v>8.0137700000000006E-2</v>
      </c>
      <c r="E1075">
        <v>0.47514129999999999</v>
      </c>
      <c r="F1075">
        <v>5.0696499999999999E-2</v>
      </c>
      <c r="G1075">
        <v>1.492256</v>
      </c>
      <c r="H1075">
        <v>0.32497239999999999</v>
      </c>
      <c r="Q1075" s="10">
        <f t="shared" si="52"/>
        <v>3.0690429099593033E-3</v>
      </c>
      <c r="AI1075">
        <v>0.25201050000000003</v>
      </c>
      <c r="AJ1075">
        <f t="shared" si="51"/>
        <v>0.25201050000000003</v>
      </c>
      <c r="AO1075">
        <v>0.25201050000000003</v>
      </c>
      <c r="AR1075" s="8">
        <v>0</v>
      </c>
      <c r="AS1075">
        <v>1.1708419999999999</v>
      </c>
    </row>
    <row r="1076" spans="1:45" x14ac:dyDescent="0.25">
      <c r="A1076">
        <v>205</v>
      </c>
      <c r="B1076">
        <v>2003</v>
      </c>
      <c r="C1076" s="8">
        <v>0</v>
      </c>
      <c r="D1076">
        <v>0.1763045</v>
      </c>
      <c r="E1076">
        <v>0.58082160000000005</v>
      </c>
      <c r="F1076">
        <v>4.9362999999999997E-2</v>
      </c>
      <c r="G1076">
        <v>2.2968060000000001</v>
      </c>
      <c r="H1076">
        <v>0.37754179999999998</v>
      </c>
      <c r="Q1076" s="10">
        <f t="shared" si="52"/>
        <v>7.9529067819884283E-4</v>
      </c>
      <c r="AI1076">
        <v>-0.1277316</v>
      </c>
      <c r="AJ1076">
        <f t="shared" si="51"/>
        <v>-0.113345184</v>
      </c>
      <c r="AO1076">
        <v>-0.113345184</v>
      </c>
      <c r="AR1076" s="8">
        <v>0</v>
      </c>
      <c r="AS1076">
        <v>1.810163</v>
      </c>
    </row>
    <row r="1077" spans="1:45" x14ac:dyDescent="0.25">
      <c r="A1077">
        <v>205</v>
      </c>
      <c r="B1077">
        <v>2004</v>
      </c>
      <c r="C1077" s="8">
        <v>0</v>
      </c>
      <c r="D1077">
        <v>0.25201050000000003</v>
      </c>
      <c r="E1077">
        <v>0.58411089999999999</v>
      </c>
      <c r="F1077">
        <v>4.8565400000000002E-2</v>
      </c>
      <c r="G1077">
        <v>2.1564000000000001</v>
      </c>
      <c r="H1077">
        <v>0.3595682</v>
      </c>
      <c r="Q1077" s="10">
        <f t="shared" si="52"/>
        <v>1.0164458494771231E-3</v>
      </c>
      <c r="AI1077">
        <v>-6.2754599999999994E-2</v>
      </c>
      <c r="AJ1077">
        <f t="shared" si="51"/>
        <v>-6.2754599999999994E-2</v>
      </c>
      <c r="AO1077">
        <v>-6.2754599999999994E-2</v>
      </c>
      <c r="AR1077" s="8">
        <v>0</v>
      </c>
      <c r="AS1077">
        <v>1.492256</v>
      </c>
    </row>
    <row r="1078" spans="1:45" x14ac:dyDescent="0.25">
      <c r="A1078">
        <v>206</v>
      </c>
      <c r="B1078">
        <v>1997</v>
      </c>
      <c r="C1078" s="8">
        <v>0</v>
      </c>
      <c r="D1078">
        <v>-0.1277316</v>
      </c>
      <c r="E1078">
        <v>9.1410400000000003E-2</v>
      </c>
      <c r="F1078">
        <v>-9.3332999999999992E-3</v>
      </c>
      <c r="G1078">
        <v>0.99900009999999995</v>
      </c>
      <c r="H1078">
        <v>0.12677140000000001</v>
      </c>
      <c r="Q1078" s="10">
        <f t="shared" si="52"/>
        <v>1.5245612415276661E-2</v>
      </c>
      <c r="AI1078">
        <v>-9.3834000000000001E-2</v>
      </c>
      <c r="AJ1078">
        <f t="shared" si="51"/>
        <v>-9.3834000000000001E-2</v>
      </c>
      <c r="AO1078">
        <v>-9.3834000000000001E-2</v>
      </c>
      <c r="AR1078" s="8">
        <v>0</v>
      </c>
      <c r="AS1078">
        <v>2.2968060000000001</v>
      </c>
    </row>
    <row r="1079" spans="1:45" x14ac:dyDescent="0.25">
      <c r="A1079">
        <v>206</v>
      </c>
      <c r="B1079">
        <v>1998</v>
      </c>
      <c r="C1079" s="8">
        <v>0</v>
      </c>
      <c r="D1079">
        <v>-6.2754599999999994E-2</v>
      </c>
      <c r="E1079">
        <v>0.1189688</v>
      </c>
      <c r="F1079">
        <v>2.59876E-2</v>
      </c>
      <c r="G1079">
        <v>1.1486940000000001</v>
      </c>
      <c r="H1079">
        <v>0.13879820000000001</v>
      </c>
      <c r="Q1079" s="10">
        <f t="shared" si="52"/>
        <v>9.059173255841704E-3</v>
      </c>
      <c r="AI1079">
        <v>-0.1060157</v>
      </c>
      <c r="AJ1079">
        <f t="shared" si="51"/>
        <v>-0.1060157</v>
      </c>
      <c r="AO1079">
        <v>-0.1060157</v>
      </c>
      <c r="AR1079" s="8">
        <v>0</v>
      </c>
      <c r="AS1079">
        <v>2.1564000000000001</v>
      </c>
    </row>
    <row r="1080" spans="1:45" x14ac:dyDescent="0.25">
      <c r="A1080">
        <v>206</v>
      </c>
      <c r="B1080">
        <v>1999</v>
      </c>
      <c r="C1080" s="8">
        <v>0</v>
      </c>
      <c r="D1080">
        <v>-9.3834000000000001E-2</v>
      </c>
      <c r="E1080">
        <v>0.1026637</v>
      </c>
      <c r="F1080">
        <v>4.6211999999999998E-3</v>
      </c>
      <c r="G1080">
        <v>0.88951550000000001</v>
      </c>
      <c r="H1080">
        <v>0.12217020000000001</v>
      </c>
      <c r="Q1080" s="10">
        <f t="shared" si="52"/>
        <v>1.6136293605992731E-2</v>
      </c>
      <c r="AI1080">
        <v>-1.29798E-2</v>
      </c>
      <c r="AJ1080">
        <f t="shared" si="51"/>
        <v>-1.29798E-2</v>
      </c>
      <c r="AO1080">
        <v>-1.29798E-2</v>
      </c>
      <c r="AR1080" s="8">
        <v>0</v>
      </c>
      <c r="AS1080">
        <v>0.99900009999999995</v>
      </c>
    </row>
    <row r="1081" spans="1:45" x14ac:dyDescent="0.25">
      <c r="A1081">
        <v>206</v>
      </c>
      <c r="B1081">
        <v>2000</v>
      </c>
      <c r="C1081" s="8">
        <v>0</v>
      </c>
      <c r="D1081">
        <v>-0.1060157</v>
      </c>
      <c r="E1081">
        <v>9.4770099999999996E-2</v>
      </c>
      <c r="F1081">
        <v>4.6242600000000002E-2</v>
      </c>
      <c r="G1081">
        <v>0.72067550000000002</v>
      </c>
      <c r="H1081">
        <v>0.13242999999999999</v>
      </c>
      <c r="Q1081" s="10">
        <f t="shared" si="52"/>
        <v>1.5345049741531561E-2</v>
      </c>
      <c r="AI1081">
        <v>-3.1082499999999999E-2</v>
      </c>
      <c r="AJ1081">
        <f t="shared" si="51"/>
        <v>-3.1082499999999999E-2</v>
      </c>
      <c r="AO1081">
        <v>-3.1082499999999999E-2</v>
      </c>
      <c r="AR1081" s="8">
        <v>0</v>
      </c>
      <c r="AS1081">
        <v>1.1486940000000001</v>
      </c>
    </row>
    <row r="1082" spans="1:45" x14ac:dyDescent="0.25">
      <c r="A1082">
        <v>206</v>
      </c>
      <c r="B1082">
        <v>2001</v>
      </c>
      <c r="C1082" s="8">
        <v>0</v>
      </c>
      <c r="D1082">
        <v>-1.29798E-2</v>
      </c>
      <c r="E1082">
        <v>8.8586300000000007E-2</v>
      </c>
      <c r="F1082">
        <v>3.0504900000000001E-2</v>
      </c>
      <c r="G1082">
        <v>0.63649080000000002</v>
      </c>
      <c r="H1082">
        <v>0.11313139999999999</v>
      </c>
      <c r="Q1082" s="10">
        <f t="shared" si="52"/>
        <v>2.0515009211996244E-2</v>
      </c>
      <c r="AI1082">
        <v>5.1236400000000001E-2</v>
      </c>
      <c r="AJ1082">
        <f t="shared" si="51"/>
        <v>5.1236400000000001E-2</v>
      </c>
      <c r="AO1082">
        <v>5.1236400000000001E-2</v>
      </c>
      <c r="AR1082" s="8">
        <v>0</v>
      </c>
      <c r="AS1082">
        <v>0.88951550000000001</v>
      </c>
    </row>
    <row r="1083" spans="1:45" x14ac:dyDescent="0.25">
      <c r="A1083">
        <v>206</v>
      </c>
      <c r="B1083">
        <v>2002</v>
      </c>
      <c r="C1083" s="8">
        <v>0</v>
      </c>
      <c r="D1083">
        <v>-3.1082499999999999E-2</v>
      </c>
      <c r="E1083">
        <v>5.4965699999999999E-2</v>
      </c>
      <c r="F1083">
        <v>2.3554599999999998E-2</v>
      </c>
      <c r="G1083">
        <v>0.67017090000000001</v>
      </c>
      <c r="H1083">
        <v>8.6688399999999999E-2</v>
      </c>
      <c r="Q1083" s="10">
        <f t="shared" si="52"/>
        <v>2.1062974693703534E-2</v>
      </c>
      <c r="AI1083">
        <v>0.1280731</v>
      </c>
      <c r="AJ1083">
        <f t="shared" si="51"/>
        <v>0.1280731</v>
      </c>
      <c r="AO1083">
        <v>0.1280731</v>
      </c>
      <c r="AR1083" s="8">
        <v>0</v>
      </c>
      <c r="AS1083">
        <v>0.72067550000000002</v>
      </c>
    </row>
    <row r="1084" spans="1:45" x14ac:dyDescent="0.25">
      <c r="A1084">
        <v>206</v>
      </c>
      <c r="B1084">
        <v>2003</v>
      </c>
      <c r="C1084" s="8">
        <v>0</v>
      </c>
      <c r="D1084">
        <v>5.1236400000000001E-2</v>
      </c>
      <c r="E1084">
        <v>9.1510099999999997E-2</v>
      </c>
      <c r="F1084">
        <v>4.7467799999999997E-2</v>
      </c>
      <c r="G1084">
        <v>0.77762869999999995</v>
      </c>
      <c r="H1084">
        <v>0.2002554</v>
      </c>
      <c r="Q1084" s="10">
        <f t="shared" si="52"/>
        <v>1.5517895340337139E-2</v>
      </c>
      <c r="AI1084">
        <v>9.7715099999999999E-2</v>
      </c>
      <c r="AJ1084">
        <f t="shared" si="51"/>
        <v>9.7715099999999999E-2</v>
      </c>
      <c r="AO1084">
        <v>9.7715099999999999E-2</v>
      </c>
      <c r="AR1084" s="8">
        <v>0</v>
      </c>
      <c r="AS1084">
        <v>0.63649080000000002</v>
      </c>
    </row>
    <row r="1085" spans="1:45" x14ac:dyDescent="0.25">
      <c r="A1085">
        <v>206</v>
      </c>
      <c r="B1085">
        <v>2004</v>
      </c>
      <c r="C1085" s="8">
        <v>0</v>
      </c>
      <c r="D1085">
        <v>0.1280731</v>
      </c>
      <c r="E1085">
        <v>7.4249200000000001E-2</v>
      </c>
      <c r="F1085">
        <v>2.6865400000000001E-2</v>
      </c>
      <c r="G1085">
        <v>0.9430075</v>
      </c>
      <c r="H1085">
        <v>0.1927142</v>
      </c>
      <c r="Q1085" s="10">
        <f t="shared" si="52"/>
        <v>1.4823548135035832E-2</v>
      </c>
      <c r="AI1085">
        <v>-0.30722860000000002</v>
      </c>
      <c r="AJ1085">
        <f t="shared" si="51"/>
        <v>-0.113345184</v>
      </c>
      <c r="AO1085">
        <v>-0.113345184</v>
      </c>
      <c r="AR1085" s="8">
        <v>0</v>
      </c>
      <c r="AS1085">
        <v>0.67017090000000001</v>
      </c>
    </row>
    <row r="1086" spans="1:45" x14ac:dyDescent="0.25">
      <c r="A1086">
        <v>207</v>
      </c>
      <c r="B1086">
        <v>1999</v>
      </c>
      <c r="C1086" s="8">
        <v>0</v>
      </c>
      <c r="D1086">
        <v>9.7715099999999999E-2</v>
      </c>
      <c r="E1086">
        <v>-0.43240499999999998</v>
      </c>
      <c r="F1086">
        <v>4.1917799999999998E-2</v>
      </c>
      <c r="G1086">
        <v>0.10406360000000001</v>
      </c>
      <c r="H1086">
        <v>0.15233559999999999</v>
      </c>
      <c r="Q1086" s="10">
        <f t="shared" si="52"/>
        <v>9.2709593691219921E-2</v>
      </c>
      <c r="AI1086">
        <v>-0.72657289999999997</v>
      </c>
      <c r="AJ1086">
        <f t="shared" si="51"/>
        <v>-0.113345184</v>
      </c>
      <c r="AO1086">
        <v>-0.113345184</v>
      </c>
      <c r="AR1086" s="8">
        <v>0</v>
      </c>
      <c r="AS1086">
        <v>0.77762869999999995</v>
      </c>
    </row>
    <row r="1087" spans="1:45" x14ac:dyDescent="0.25">
      <c r="A1087">
        <v>207</v>
      </c>
      <c r="B1087">
        <v>2000</v>
      </c>
      <c r="C1087" s="8">
        <v>0</v>
      </c>
      <c r="D1087">
        <v>-0.30722860000000002</v>
      </c>
      <c r="E1087">
        <v>-0.73215850000000005</v>
      </c>
      <c r="F1087">
        <v>1.8441099999999998E-2</v>
      </c>
      <c r="G1087">
        <v>6.4637E-2</v>
      </c>
      <c r="H1087">
        <v>0.1782166</v>
      </c>
      <c r="Q1087" s="10">
        <f t="shared" si="52"/>
        <v>0.14851592443837652</v>
      </c>
      <c r="AI1087">
        <v>0.1310318</v>
      </c>
      <c r="AJ1087">
        <f t="shared" si="51"/>
        <v>0.1310318</v>
      </c>
      <c r="AO1087">
        <v>0.1310318</v>
      </c>
      <c r="AR1087" s="8">
        <v>0</v>
      </c>
      <c r="AS1087">
        <v>0.9430075</v>
      </c>
    </row>
    <row r="1088" spans="1:45" x14ac:dyDescent="0.25">
      <c r="A1088">
        <v>207</v>
      </c>
      <c r="B1088">
        <v>2001</v>
      </c>
      <c r="C1088" s="8">
        <v>0</v>
      </c>
      <c r="D1088">
        <v>-0.72657289999999997</v>
      </c>
      <c r="E1088">
        <v>-1.1440699999999999</v>
      </c>
      <c r="F1088">
        <v>4.646E-3</v>
      </c>
      <c r="G1088">
        <v>2.8029700000000001E-2</v>
      </c>
      <c r="H1088">
        <v>0.23160430000000001</v>
      </c>
      <c r="Q1088" s="10">
        <f t="shared" si="52"/>
        <v>0.24612925276040512</v>
      </c>
      <c r="AI1088">
        <v>7.61598E-2</v>
      </c>
      <c r="AJ1088">
        <f t="shared" si="51"/>
        <v>7.61598E-2</v>
      </c>
      <c r="AO1088">
        <v>7.61598E-2</v>
      </c>
      <c r="AR1088" s="8">
        <v>0</v>
      </c>
      <c r="AS1088">
        <v>0.10406360000000001</v>
      </c>
    </row>
    <row r="1089" spans="1:45" x14ac:dyDescent="0.25">
      <c r="A1089">
        <v>208</v>
      </c>
      <c r="B1089">
        <v>1995</v>
      </c>
      <c r="C1089" s="8">
        <v>0</v>
      </c>
      <c r="D1089">
        <v>0.1310318</v>
      </c>
      <c r="E1089">
        <v>0.26141920000000002</v>
      </c>
      <c r="F1089">
        <v>0.11221639999999999</v>
      </c>
      <c r="G1089">
        <v>4.508489</v>
      </c>
      <c r="H1089">
        <v>0.42804940000000002</v>
      </c>
      <c r="Q1089" s="10">
        <f t="shared" si="52"/>
        <v>2.2854423336505081E-5</v>
      </c>
      <c r="AI1089">
        <v>8.7042999999999995E-2</v>
      </c>
      <c r="AJ1089">
        <f t="shared" si="51"/>
        <v>8.7042999999999995E-2</v>
      </c>
      <c r="AO1089">
        <v>8.7042999999999995E-2</v>
      </c>
      <c r="AR1089" s="8">
        <v>0</v>
      </c>
      <c r="AS1089">
        <v>6.4637E-2</v>
      </c>
    </row>
    <row r="1090" spans="1:45" x14ac:dyDescent="0.25">
      <c r="A1090">
        <v>208</v>
      </c>
      <c r="B1090">
        <v>1996</v>
      </c>
      <c r="C1090" s="8">
        <v>0</v>
      </c>
      <c r="D1090">
        <v>7.61598E-2</v>
      </c>
      <c r="E1090">
        <v>0.32097609999999999</v>
      </c>
      <c r="F1090">
        <v>9.0880299999999997E-2</v>
      </c>
      <c r="G1090">
        <v>5.0775189999999997</v>
      </c>
      <c r="H1090">
        <v>0.2819642</v>
      </c>
      <c r="Q1090" s="10">
        <f t="shared" si="52"/>
        <v>8.96346404600448E-6</v>
      </c>
      <c r="AI1090">
        <v>8.1175899999999995E-2</v>
      </c>
      <c r="AJ1090">
        <f t="shared" si="51"/>
        <v>8.1175899999999995E-2</v>
      </c>
      <c r="AO1090">
        <v>8.1175899999999995E-2</v>
      </c>
      <c r="AR1090" s="8">
        <v>0</v>
      </c>
      <c r="AS1090">
        <v>2.8029700000000001E-2</v>
      </c>
    </row>
    <row r="1091" spans="1:45" x14ac:dyDescent="0.25">
      <c r="A1091">
        <v>208</v>
      </c>
      <c r="B1091">
        <v>1997</v>
      </c>
      <c r="C1091" s="8">
        <v>0</v>
      </c>
      <c r="D1091">
        <v>8.7042999999999995E-2</v>
      </c>
      <c r="E1091">
        <v>0.38800259999999998</v>
      </c>
      <c r="F1091">
        <v>0.1148351</v>
      </c>
      <c r="G1091">
        <v>6.1529049999999996</v>
      </c>
      <c r="H1091">
        <v>0.3389972</v>
      </c>
      <c r="Q1091" s="10">
        <f t="shared" si="52"/>
        <v>1.2588722112010266E-6</v>
      </c>
      <c r="AI1091">
        <v>7.4694399999999994E-2</v>
      </c>
      <c r="AJ1091">
        <f t="shared" si="51"/>
        <v>7.4694399999999994E-2</v>
      </c>
      <c r="AO1091">
        <v>7.4694399999999994E-2</v>
      </c>
      <c r="AR1091" s="8">
        <v>0</v>
      </c>
      <c r="AS1091">
        <v>4.508489</v>
      </c>
    </row>
    <row r="1092" spans="1:45" x14ac:dyDescent="0.25">
      <c r="A1092">
        <v>208</v>
      </c>
      <c r="B1092">
        <v>1998</v>
      </c>
      <c r="C1092" s="8">
        <v>0</v>
      </c>
      <c r="D1092">
        <v>8.1175899999999995E-2</v>
      </c>
      <c r="E1092">
        <v>0.31394450000000002</v>
      </c>
      <c r="F1092">
        <v>7.1012199999999998E-2</v>
      </c>
      <c r="G1092">
        <v>3.4674960000000001</v>
      </c>
      <c r="H1092">
        <v>0.2831864</v>
      </c>
      <c r="Q1092" s="10">
        <f t="shared" si="52"/>
        <v>1.3848151303169691E-4</v>
      </c>
      <c r="AI1092">
        <v>0.12706039999999999</v>
      </c>
      <c r="AJ1092">
        <f t="shared" si="51"/>
        <v>0.12706039999999999</v>
      </c>
      <c r="AO1092">
        <v>0.12706039999999999</v>
      </c>
      <c r="AR1092" s="8">
        <v>0</v>
      </c>
      <c r="AS1092">
        <v>5.0775189999999997</v>
      </c>
    </row>
    <row r="1093" spans="1:45" x14ac:dyDescent="0.25">
      <c r="A1093">
        <v>208</v>
      </c>
      <c r="B1093">
        <v>1999</v>
      </c>
      <c r="C1093" s="8">
        <v>0</v>
      </c>
      <c r="D1093">
        <v>7.4694399999999994E-2</v>
      </c>
      <c r="E1093">
        <v>0.33734740000000002</v>
      </c>
      <c r="F1093">
        <v>9.6538499999999999E-2</v>
      </c>
      <c r="G1093">
        <v>2.0857969999999999</v>
      </c>
      <c r="H1093">
        <v>0.28319830000000001</v>
      </c>
      <c r="Q1093" s="10">
        <f t="shared" si="52"/>
        <v>9.8325245121353246E-4</v>
      </c>
      <c r="AI1093">
        <v>8.8083499999999995E-2</v>
      </c>
      <c r="AJ1093">
        <f t="shared" ref="AJ1093:AJ1156" si="53">MAX(MIN(AI1093,AM$5),AM$4)</f>
        <v>8.8083499999999995E-2</v>
      </c>
      <c r="AO1093">
        <v>8.8083499999999995E-2</v>
      </c>
      <c r="AR1093" s="8">
        <v>0</v>
      </c>
      <c r="AS1093">
        <v>6.1529049999999996</v>
      </c>
    </row>
    <row r="1094" spans="1:45" x14ac:dyDescent="0.25">
      <c r="A1094">
        <v>208</v>
      </c>
      <c r="B1094">
        <v>2000</v>
      </c>
      <c r="C1094" s="8">
        <v>0</v>
      </c>
      <c r="D1094">
        <v>0.12706039999999999</v>
      </c>
      <c r="E1094">
        <v>0.37156129999999998</v>
      </c>
      <c r="F1094">
        <v>7.4874700000000002E-2</v>
      </c>
      <c r="G1094">
        <v>2.4268070000000002</v>
      </c>
      <c r="H1094">
        <v>0.16450600000000001</v>
      </c>
      <c r="Q1094" s="10">
        <f t="shared" si="52"/>
        <v>6.1369041269202093E-4</v>
      </c>
      <c r="AI1094">
        <v>-6.8159999999999998E-2</v>
      </c>
      <c r="AJ1094">
        <f t="shared" si="53"/>
        <v>-6.8159999999999998E-2</v>
      </c>
      <c r="AO1094">
        <v>-6.8159999999999998E-2</v>
      </c>
      <c r="AR1094" s="8">
        <v>0</v>
      </c>
      <c r="AS1094">
        <v>3.4674960000000001</v>
      </c>
    </row>
    <row r="1095" spans="1:45" x14ac:dyDescent="0.25">
      <c r="A1095">
        <v>208</v>
      </c>
      <c r="B1095">
        <v>2001</v>
      </c>
      <c r="C1095" s="8">
        <v>0</v>
      </c>
      <c r="D1095">
        <v>8.8083499999999995E-2</v>
      </c>
      <c r="E1095">
        <v>0.42439739999999998</v>
      </c>
      <c r="F1095">
        <v>9.1077599999999995E-2</v>
      </c>
      <c r="G1095">
        <v>3.0017399999999999</v>
      </c>
      <c r="H1095">
        <v>0.23051830000000001</v>
      </c>
      <c r="Q1095" s="10">
        <f t="shared" ref="Q1095:Q1158" si="54">1/(1+EXP(-(J$6+SUMPRODUCT(K$6:O$6,D1095:H1095))))</f>
        <v>2.0479600853384034E-4</v>
      </c>
      <c r="AI1095">
        <v>-4.7550000000000001E-4</v>
      </c>
      <c r="AJ1095">
        <f t="shared" si="53"/>
        <v>-4.7550000000000001E-4</v>
      </c>
      <c r="AO1095">
        <v>-4.7550000000000001E-4</v>
      </c>
      <c r="AR1095" s="8">
        <v>0</v>
      </c>
      <c r="AS1095">
        <v>2.0857969999999999</v>
      </c>
    </row>
    <row r="1096" spans="1:45" x14ac:dyDescent="0.25">
      <c r="A1096">
        <v>208</v>
      </c>
      <c r="B1096">
        <v>2002</v>
      </c>
      <c r="C1096" s="8">
        <v>0</v>
      </c>
      <c r="D1096">
        <v>-6.8159999999999998E-2</v>
      </c>
      <c r="E1096">
        <v>0.40982449999999998</v>
      </c>
      <c r="F1096">
        <v>8.6818599999999996E-2</v>
      </c>
      <c r="G1096">
        <v>2.5910880000000001</v>
      </c>
      <c r="H1096">
        <v>0.22014139999999999</v>
      </c>
      <c r="Q1096" s="10">
        <f t="shared" si="54"/>
        <v>3.8773580212879096E-4</v>
      </c>
      <c r="AI1096">
        <v>-7.1552299999999999E-2</v>
      </c>
      <c r="AJ1096">
        <f t="shared" si="53"/>
        <v>-7.1552299999999999E-2</v>
      </c>
      <c r="AO1096">
        <v>-7.1552299999999999E-2</v>
      </c>
      <c r="AR1096" s="8">
        <v>0</v>
      </c>
      <c r="AS1096">
        <v>2.4268070000000002</v>
      </c>
    </row>
    <row r="1097" spans="1:45" x14ac:dyDescent="0.25">
      <c r="A1097">
        <v>208</v>
      </c>
      <c r="B1097">
        <v>2003</v>
      </c>
      <c r="C1097" s="8">
        <v>0</v>
      </c>
      <c r="D1097">
        <v>-4.7550000000000001E-4</v>
      </c>
      <c r="E1097">
        <v>0.53889869999999995</v>
      </c>
      <c r="F1097">
        <v>7.0834499999999995E-2</v>
      </c>
      <c r="G1097">
        <v>2.905478</v>
      </c>
      <c r="H1097">
        <v>0.21630959999999999</v>
      </c>
      <c r="Q1097" s="10">
        <f t="shared" si="54"/>
        <v>2.2708614230816478E-4</v>
      </c>
      <c r="AI1097">
        <v>-2.92328E-2</v>
      </c>
      <c r="AJ1097">
        <f t="shared" si="53"/>
        <v>-2.92328E-2</v>
      </c>
      <c r="AO1097">
        <v>-2.92328E-2</v>
      </c>
      <c r="AR1097" s="8">
        <v>0</v>
      </c>
      <c r="AS1097">
        <v>3.0017399999999999</v>
      </c>
    </row>
    <row r="1098" spans="1:45" x14ac:dyDescent="0.25">
      <c r="A1098">
        <v>208</v>
      </c>
      <c r="B1098">
        <v>2004</v>
      </c>
      <c r="C1098" s="8">
        <v>0</v>
      </c>
      <c r="D1098">
        <v>-7.1552299999999999E-2</v>
      </c>
      <c r="E1098">
        <v>0.69229980000000002</v>
      </c>
      <c r="F1098">
        <v>8.9241899999999999E-2</v>
      </c>
      <c r="G1098">
        <v>3.7044250000000001</v>
      </c>
      <c r="H1098">
        <v>0.23490340000000001</v>
      </c>
      <c r="Q1098" s="10">
        <f t="shared" si="54"/>
        <v>4.3124660513704891E-5</v>
      </c>
      <c r="AI1098">
        <v>-7.6471899999999995E-2</v>
      </c>
      <c r="AJ1098">
        <f t="shared" si="53"/>
        <v>-7.6471899999999995E-2</v>
      </c>
      <c r="AO1098">
        <v>-7.6471899999999995E-2</v>
      </c>
      <c r="AR1098" s="8">
        <v>0</v>
      </c>
      <c r="AS1098">
        <v>2.5910880000000001</v>
      </c>
    </row>
    <row r="1099" spans="1:45" x14ac:dyDescent="0.25">
      <c r="A1099">
        <v>209</v>
      </c>
      <c r="B1099">
        <v>1999</v>
      </c>
      <c r="C1099" s="8">
        <v>0</v>
      </c>
      <c r="D1099">
        <v>-2.92328E-2</v>
      </c>
      <c r="E1099">
        <v>0.30968109999999999</v>
      </c>
      <c r="F1099">
        <v>6.2290499999999999E-2</v>
      </c>
      <c r="G1099">
        <v>0.9906684</v>
      </c>
      <c r="H1099">
        <v>0.1582933</v>
      </c>
      <c r="Q1099" s="10">
        <f t="shared" si="54"/>
        <v>6.794904427196242E-3</v>
      </c>
      <c r="AI1099">
        <v>2.4837399999999999E-2</v>
      </c>
      <c r="AJ1099">
        <f t="shared" si="53"/>
        <v>2.4837399999999999E-2</v>
      </c>
      <c r="AO1099">
        <v>2.4837399999999999E-2</v>
      </c>
      <c r="AR1099" s="8">
        <v>0</v>
      </c>
      <c r="AS1099">
        <v>2.905478</v>
      </c>
    </row>
    <row r="1100" spans="1:45" x14ac:dyDescent="0.25">
      <c r="A1100">
        <v>209</v>
      </c>
      <c r="B1100">
        <v>2000</v>
      </c>
      <c r="C1100" s="8">
        <v>0</v>
      </c>
      <c r="D1100">
        <v>-7.6471899999999995E-2</v>
      </c>
      <c r="E1100">
        <v>0.27916410000000003</v>
      </c>
      <c r="F1100">
        <v>5.6999500000000002E-2</v>
      </c>
      <c r="G1100">
        <v>1.2765249999999999</v>
      </c>
      <c r="H1100">
        <v>0.28502230000000001</v>
      </c>
      <c r="Q1100" s="10">
        <f t="shared" si="54"/>
        <v>4.9933257993042815E-3</v>
      </c>
      <c r="AI1100">
        <v>-2.656E-2</v>
      </c>
      <c r="AJ1100">
        <f t="shared" si="53"/>
        <v>-2.656E-2</v>
      </c>
      <c r="AO1100">
        <v>-2.656E-2</v>
      </c>
      <c r="AR1100" s="8">
        <v>0</v>
      </c>
      <c r="AS1100">
        <v>3.7044250000000001</v>
      </c>
    </row>
    <row r="1101" spans="1:45" x14ac:dyDescent="0.25">
      <c r="A1101">
        <v>209</v>
      </c>
      <c r="B1101">
        <v>2001</v>
      </c>
      <c r="C1101" s="8">
        <v>0</v>
      </c>
      <c r="D1101">
        <v>2.4837399999999999E-2</v>
      </c>
      <c r="E1101">
        <v>0.32085409999999998</v>
      </c>
      <c r="F1101">
        <v>4.9952000000000003E-2</v>
      </c>
      <c r="G1101">
        <v>1.3341959999999999</v>
      </c>
      <c r="H1101">
        <v>0.16979130000000001</v>
      </c>
      <c r="Q1101" s="10">
        <f t="shared" si="54"/>
        <v>4.4066450673208501E-3</v>
      </c>
      <c r="AI1101">
        <v>-2.72044E-2</v>
      </c>
      <c r="AJ1101">
        <f t="shared" si="53"/>
        <v>-2.72044E-2</v>
      </c>
      <c r="AO1101">
        <v>-2.72044E-2</v>
      </c>
      <c r="AR1101" s="8">
        <v>0</v>
      </c>
      <c r="AS1101">
        <v>0.9906684</v>
      </c>
    </row>
    <row r="1102" spans="1:45" x14ac:dyDescent="0.25">
      <c r="A1102">
        <v>209</v>
      </c>
      <c r="B1102">
        <v>2002</v>
      </c>
      <c r="C1102" s="8">
        <v>0</v>
      </c>
      <c r="D1102">
        <v>-2.656E-2</v>
      </c>
      <c r="E1102">
        <v>0.34183269999999999</v>
      </c>
      <c r="F1102">
        <v>6.4602400000000004E-2</v>
      </c>
      <c r="G1102">
        <v>1.348214</v>
      </c>
      <c r="H1102">
        <v>0.1608839</v>
      </c>
      <c r="Q1102" s="10">
        <f t="shared" si="54"/>
        <v>3.6220883102426392E-3</v>
      </c>
      <c r="AI1102">
        <v>-7.9670199999999997E-2</v>
      </c>
      <c r="AJ1102">
        <f t="shared" si="53"/>
        <v>-7.9670199999999997E-2</v>
      </c>
      <c r="AO1102">
        <v>-7.9670199999999997E-2</v>
      </c>
      <c r="AR1102" s="8">
        <v>0</v>
      </c>
      <c r="AS1102">
        <v>1.2765249999999999</v>
      </c>
    </row>
    <row r="1103" spans="1:45" x14ac:dyDescent="0.25">
      <c r="A1103">
        <v>209</v>
      </c>
      <c r="B1103">
        <v>2003</v>
      </c>
      <c r="C1103" s="8">
        <v>0</v>
      </c>
      <c r="D1103">
        <v>-2.72044E-2</v>
      </c>
      <c r="E1103">
        <v>0.3476783</v>
      </c>
      <c r="F1103">
        <v>5.4914699999999997E-2</v>
      </c>
      <c r="G1103">
        <v>1.3709290000000001</v>
      </c>
      <c r="H1103">
        <v>0.1333252</v>
      </c>
      <c r="Q1103" s="10">
        <f t="shared" si="54"/>
        <v>3.67827168297371E-3</v>
      </c>
      <c r="AI1103">
        <v>0.3069964</v>
      </c>
      <c r="AJ1103">
        <f t="shared" si="53"/>
        <v>0.3069964</v>
      </c>
      <c r="AO1103">
        <v>0.3069964</v>
      </c>
      <c r="AR1103" s="8">
        <v>0</v>
      </c>
      <c r="AS1103">
        <v>1.3341959999999999</v>
      </c>
    </row>
    <row r="1104" spans="1:45" x14ac:dyDescent="0.25">
      <c r="A1104">
        <v>209</v>
      </c>
      <c r="B1104">
        <v>2004</v>
      </c>
      <c r="C1104" s="8">
        <v>0</v>
      </c>
      <c r="D1104">
        <v>-7.9670199999999997E-2</v>
      </c>
      <c r="E1104">
        <v>0.31443779999999999</v>
      </c>
      <c r="F1104">
        <v>4.95139E-2</v>
      </c>
      <c r="G1104">
        <v>1.6392629999999999</v>
      </c>
      <c r="H1104">
        <v>0.13259409999999999</v>
      </c>
      <c r="Q1104" s="10">
        <f t="shared" si="54"/>
        <v>2.5735204731742946E-3</v>
      </c>
      <c r="AI1104">
        <v>0.287549</v>
      </c>
      <c r="AJ1104">
        <f t="shared" si="53"/>
        <v>0.287549</v>
      </c>
      <c r="AO1104">
        <v>0.287549</v>
      </c>
      <c r="AR1104" s="8">
        <v>0</v>
      </c>
      <c r="AS1104">
        <v>1.348214</v>
      </c>
    </row>
    <row r="1105" spans="1:45" x14ac:dyDescent="0.25">
      <c r="A1105">
        <v>210</v>
      </c>
      <c r="B1105">
        <v>1995</v>
      </c>
      <c r="C1105" s="8">
        <v>0</v>
      </c>
      <c r="D1105">
        <v>0.3069964</v>
      </c>
      <c r="E1105">
        <v>0.389629</v>
      </c>
      <c r="F1105">
        <v>7.1087399999999995E-2</v>
      </c>
      <c r="G1105">
        <v>2.2300110000000002</v>
      </c>
      <c r="H1105">
        <v>0.4279963</v>
      </c>
      <c r="Q1105" s="10">
        <f t="shared" si="54"/>
        <v>1.0690510496215221E-3</v>
      </c>
      <c r="AI1105">
        <v>0.43265900000000002</v>
      </c>
      <c r="AJ1105">
        <f t="shared" si="53"/>
        <v>0.43265900000000002</v>
      </c>
      <c r="AO1105">
        <v>0.43265900000000002</v>
      </c>
      <c r="AR1105" s="8">
        <v>0</v>
      </c>
      <c r="AS1105">
        <v>1.3709290000000001</v>
      </c>
    </row>
    <row r="1106" spans="1:45" x14ac:dyDescent="0.25">
      <c r="A1106">
        <v>210</v>
      </c>
      <c r="B1106">
        <v>1996</v>
      </c>
      <c r="C1106" s="8">
        <v>0</v>
      </c>
      <c r="D1106">
        <v>0.287549</v>
      </c>
      <c r="E1106">
        <v>0.36948370000000003</v>
      </c>
      <c r="F1106">
        <v>6.9328500000000001E-2</v>
      </c>
      <c r="G1106">
        <v>2.7892269999999999</v>
      </c>
      <c r="H1106">
        <v>0.41600579999999998</v>
      </c>
      <c r="Q1106" s="10">
        <f t="shared" si="54"/>
        <v>4.5117406138555136E-4</v>
      </c>
      <c r="AI1106">
        <v>0.37411509999999998</v>
      </c>
      <c r="AJ1106">
        <f t="shared" si="53"/>
        <v>0.37411509999999998</v>
      </c>
      <c r="AO1106">
        <v>0.37411509999999998</v>
      </c>
      <c r="AR1106" s="8">
        <v>0</v>
      </c>
      <c r="AS1106">
        <v>1.6392629999999999</v>
      </c>
    </row>
    <row r="1107" spans="1:45" x14ac:dyDescent="0.25">
      <c r="A1107">
        <v>210</v>
      </c>
      <c r="B1107">
        <v>1997</v>
      </c>
      <c r="C1107" s="8">
        <v>0</v>
      </c>
      <c r="D1107">
        <v>0.43265900000000002</v>
      </c>
      <c r="E1107">
        <v>0.36798560000000002</v>
      </c>
      <c r="F1107">
        <v>6.5580399999999997E-2</v>
      </c>
      <c r="G1107">
        <v>3.0875370000000002</v>
      </c>
      <c r="H1107">
        <v>0.3700445</v>
      </c>
      <c r="Q1107" s="10">
        <f t="shared" si="54"/>
        <v>2.9899577914239538E-4</v>
      </c>
      <c r="AI1107">
        <v>0.36453049999999998</v>
      </c>
      <c r="AJ1107">
        <f t="shared" si="53"/>
        <v>0.36453049999999998</v>
      </c>
      <c r="AO1107">
        <v>0.36453049999999998</v>
      </c>
      <c r="AR1107" s="8">
        <v>0</v>
      </c>
      <c r="AS1107">
        <v>2.2300110000000002</v>
      </c>
    </row>
    <row r="1108" spans="1:45" x14ac:dyDescent="0.25">
      <c r="A1108">
        <v>210</v>
      </c>
      <c r="B1108">
        <v>1998</v>
      </c>
      <c r="C1108" s="8">
        <v>0</v>
      </c>
      <c r="D1108">
        <v>0.37411509999999998</v>
      </c>
      <c r="E1108">
        <v>0.37341679999999999</v>
      </c>
      <c r="F1108">
        <v>5.8859700000000001E-2</v>
      </c>
      <c r="G1108">
        <v>3.4428550000000002</v>
      </c>
      <c r="H1108">
        <v>0.36740709999999999</v>
      </c>
      <c r="Q1108" s="10">
        <f t="shared" si="54"/>
        <v>1.7317282874708135E-4</v>
      </c>
      <c r="AI1108">
        <v>0.41087370000000001</v>
      </c>
      <c r="AJ1108">
        <f t="shared" si="53"/>
        <v>0.41087370000000001</v>
      </c>
      <c r="AO1108">
        <v>0.41087370000000001</v>
      </c>
      <c r="AR1108" s="8">
        <v>0</v>
      </c>
      <c r="AS1108">
        <v>2.7892269999999999</v>
      </c>
    </row>
    <row r="1109" spans="1:45" x14ac:dyDescent="0.25">
      <c r="A1109">
        <v>210</v>
      </c>
      <c r="B1109">
        <v>1999</v>
      </c>
      <c r="C1109" s="8">
        <v>0</v>
      </c>
      <c r="D1109">
        <v>0.36453049999999998</v>
      </c>
      <c r="E1109">
        <v>0.35280810000000001</v>
      </c>
      <c r="F1109">
        <v>5.3288700000000001E-2</v>
      </c>
      <c r="G1109">
        <v>7.7609019999999997</v>
      </c>
      <c r="H1109">
        <v>0.3624983</v>
      </c>
      <c r="Q1109" s="10">
        <f t="shared" si="54"/>
        <v>1.9028406544651425E-7</v>
      </c>
      <c r="AI1109">
        <v>0.4348168</v>
      </c>
      <c r="AJ1109">
        <f t="shared" si="53"/>
        <v>0.4348168</v>
      </c>
      <c r="AO1109">
        <v>0.4348168</v>
      </c>
      <c r="AR1109" s="8">
        <v>0</v>
      </c>
      <c r="AS1109">
        <v>3.0875370000000002</v>
      </c>
    </row>
    <row r="1110" spans="1:45" x14ac:dyDescent="0.25">
      <c r="A1110">
        <v>210</v>
      </c>
      <c r="B1110">
        <v>2000</v>
      </c>
      <c r="C1110" s="8">
        <v>0</v>
      </c>
      <c r="D1110">
        <v>0.41087370000000001</v>
      </c>
      <c r="E1110">
        <v>0.35663640000000002</v>
      </c>
      <c r="F1110">
        <v>-1.3296000000000001E-2</v>
      </c>
      <c r="G1110">
        <v>4.8091660000000003</v>
      </c>
      <c r="H1110">
        <v>0.32941019999999999</v>
      </c>
      <c r="Q1110" s="10">
        <f t="shared" si="54"/>
        <v>3.5528824708448555E-5</v>
      </c>
      <c r="AI1110">
        <v>0.40706160000000002</v>
      </c>
      <c r="AJ1110">
        <f t="shared" si="53"/>
        <v>0.40706160000000002</v>
      </c>
      <c r="AO1110">
        <v>0.40706160000000002</v>
      </c>
      <c r="AR1110" s="8">
        <v>0</v>
      </c>
      <c r="AS1110">
        <v>3.4428550000000002</v>
      </c>
    </row>
    <row r="1111" spans="1:45" x14ac:dyDescent="0.25">
      <c r="A1111">
        <v>210</v>
      </c>
      <c r="B1111">
        <v>2001</v>
      </c>
      <c r="C1111" s="8">
        <v>0</v>
      </c>
      <c r="D1111">
        <v>0.4348168</v>
      </c>
      <c r="E1111">
        <v>0.28176639999999997</v>
      </c>
      <c r="F1111">
        <v>1.0789200000000001E-2</v>
      </c>
      <c r="G1111">
        <v>2.2665690000000001</v>
      </c>
      <c r="H1111">
        <v>0.27713850000000001</v>
      </c>
      <c r="Q1111" s="10">
        <f t="shared" si="54"/>
        <v>1.8337967725579475E-3</v>
      </c>
      <c r="AI1111">
        <v>0.45450819999999997</v>
      </c>
      <c r="AJ1111">
        <f t="shared" si="53"/>
        <v>0.45450819999999997</v>
      </c>
      <c r="AO1111">
        <v>0.45450819999999997</v>
      </c>
      <c r="AR1111" s="8">
        <v>0</v>
      </c>
      <c r="AS1111">
        <v>7.7609019999999997</v>
      </c>
    </row>
    <row r="1112" spans="1:45" x14ac:dyDescent="0.25">
      <c r="A1112">
        <v>210</v>
      </c>
      <c r="B1112">
        <v>2002</v>
      </c>
      <c r="C1112" s="8">
        <v>0</v>
      </c>
      <c r="D1112">
        <v>0.40706160000000002</v>
      </c>
      <c r="E1112">
        <v>0.31488890000000003</v>
      </c>
      <c r="F1112">
        <v>-5.2534000000000001E-3</v>
      </c>
      <c r="G1112">
        <v>0.69601610000000003</v>
      </c>
      <c r="H1112">
        <v>0.24778030000000001</v>
      </c>
      <c r="Q1112" s="10">
        <f t="shared" si="54"/>
        <v>2.3061980832238014E-2</v>
      </c>
      <c r="AI1112">
        <v>0.51685930000000002</v>
      </c>
      <c r="AJ1112">
        <f t="shared" si="53"/>
        <v>0.51685930000000002</v>
      </c>
      <c r="AO1112">
        <v>0.51685930000000002</v>
      </c>
      <c r="AR1112" s="8">
        <v>0</v>
      </c>
      <c r="AS1112">
        <v>4.8091660000000003</v>
      </c>
    </row>
    <row r="1113" spans="1:45" x14ac:dyDescent="0.25">
      <c r="A1113">
        <v>210</v>
      </c>
      <c r="B1113">
        <v>2003</v>
      </c>
      <c r="C1113" s="8">
        <v>0</v>
      </c>
      <c r="D1113">
        <v>0.45450819999999997</v>
      </c>
      <c r="E1113">
        <v>0.26502599999999998</v>
      </c>
      <c r="F1113">
        <v>3.81769E-2</v>
      </c>
      <c r="G1113">
        <v>1.6606430000000001</v>
      </c>
      <c r="H1113">
        <v>0.2516987</v>
      </c>
      <c r="Q1113" s="10">
        <f t="shared" si="54"/>
        <v>3.9257217811977628E-3</v>
      </c>
      <c r="AI1113">
        <v>0.47267759999999998</v>
      </c>
      <c r="AJ1113">
        <f t="shared" si="53"/>
        <v>0.47267759999999998</v>
      </c>
      <c r="AO1113">
        <v>0.47267759999999998</v>
      </c>
      <c r="AR1113" s="8">
        <v>0</v>
      </c>
      <c r="AS1113">
        <v>2.2665690000000001</v>
      </c>
    </row>
    <row r="1114" spans="1:45" x14ac:dyDescent="0.25">
      <c r="A1114">
        <v>210</v>
      </c>
      <c r="B1114">
        <v>2004</v>
      </c>
      <c r="C1114" s="8">
        <v>0</v>
      </c>
      <c r="D1114">
        <v>0.51685930000000002</v>
      </c>
      <c r="E1114">
        <v>0.34834809999999999</v>
      </c>
      <c r="F1114">
        <v>7.2101200000000004E-2</v>
      </c>
      <c r="G1114">
        <v>2.965767</v>
      </c>
      <c r="H1114">
        <v>0.29556450000000001</v>
      </c>
      <c r="Q1114" s="10">
        <f t="shared" si="54"/>
        <v>3.5056922906146821E-4</v>
      </c>
      <c r="AI1114">
        <v>0.31499050000000001</v>
      </c>
      <c r="AJ1114">
        <f t="shared" si="53"/>
        <v>0.31499050000000001</v>
      </c>
      <c r="AO1114">
        <v>0.31499050000000001</v>
      </c>
      <c r="AR1114" s="8">
        <v>0</v>
      </c>
      <c r="AS1114">
        <v>0.69601610000000003</v>
      </c>
    </row>
    <row r="1115" spans="1:45" x14ac:dyDescent="0.25">
      <c r="A1115">
        <v>211</v>
      </c>
      <c r="B1115">
        <v>1999</v>
      </c>
      <c r="C1115" s="8">
        <v>0</v>
      </c>
      <c r="D1115">
        <v>0.47267759999999998</v>
      </c>
      <c r="E1115">
        <v>0.47707270000000002</v>
      </c>
      <c r="F1115">
        <v>3.7905999999999999E-3</v>
      </c>
      <c r="G1115">
        <v>1.1362620000000001</v>
      </c>
      <c r="H1115">
        <v>0.2546853</v>
      </c>
      <c r="Q1115" s="10">
        <f t="shared" si="54"/>
        <v>8.7970475465211154E-3</v>
      </c>
      <c r="AI1115">
        <v>0.34531580000000001</v>
      </c>
      <c r="AJ1115">
        <f t="shared" si="53"/>
        <v>0.34531580000000001</v>
      </c>
      <c r="AO1115">
        <v>0.34531580000000001</v>
      </c>
      <c r="AR1115" s="8">
        <v>0</v>
      </c>
      <c r="AS1115">
        <v>1.6606430000000001</v>
      </c>
    </row>
    <row r="1116" spans="1:45" x14ac:dyDescent="0.25">
      <c r="A1116">
        <v>211</v>
      </c>
      <c r="B1116">
        <v>2000</v>
      </c>
      <c r="C1116" s="8">
        <v>0</v>
      </c>
      <c r="D1116">
        <v>0.31499050000000001</v>
      </c>
      <c r="E1116">
        <v>0.23591809999999999</v>
      </c>
      <c r="F1116">
        <v>1.03429E-2</v>
      </c>
      <c r="G1116">
        <v>0.61670959999999997</v>
      </c>
      <c r="H1116">
        <v>0.2426614</v>
      </c>
      <c r="Q1116" s="10">
        <f t="shared" si="54"/>
        <v>2.4816618978581138E-2</v>
      </c>
      <c r="AI1116">
        <v>0.46900730000000002</v>
      </c>
      <c r="AJ1116">
        <f t="shared" si="53"/>
        <v>0.46900730000000002</v>
      </c>
      <c r="AO1116">
        <v>0.46900730000000002</v>
      </c>
      <c r="AR1116" s="8">
        <v>0</v>
      </c>
      <c r="AS1116">
        <v>2.965767</v>
      </c>
    </row>
    <row r="1117" spans="1:45" x14ac:dyDescent="0.25">
      <c r="A1117">
        <v>211</v>
      </c>
      <c r="B1117">
        <v>2001</v>
      </c>
      <c r="C1117" s="8">
        <v>0</v>
      </c>
      <c r="D1117">
        <v>0.34531580000000001</v>
      </c>
      <c r="E1117">
        <v>0.141486</v>
      </c>
      <c r="F1117">
        <v>-3.2251599999999998E-2</v>
      </c>
      <c r="G1117">
        <v>0.63897939999999998</v>
      </c>
      <c r="H1117">
        <v>0.1851246</v>
      </c>
      <c r="Q1117" s="10">
        <f t="shared" si="54"/>
        <v>3.7266961432104888E-2</v>
      </c>
      <c r="AI1117">
        <v>0.27002379999999998</v>
      </c>
      <c r="AJ1117">
        <f t="shared" si="53"/>
        <v>0.27002379999999998</v>
      </c>
      <c r="AO1117">
        <v>0.27002379999999998</v>
      </c>
      <c r="AR1117" s="8">
        <v>0</v>
      </c>
      <c r="AS1117">
        <v>1.1362620000000001</v>
      </c>
    </row>
    <row r="1118" spans="1:45" x14ac:dyDescent="0.25">
      <c r="A1118">
        <v>211</v>
      </c>
      <c r="B1118">
        <v>2002</v>
      </c>
      <c r="C1118" s="8">
        <v>0</v>
      </c>
      <c r="D1118">
        <v>0.46900730000000002</v>
      </c>
      <c r="E1118">
        <v>7.7773900000000007E-2</v>
      </c>
      <c r="F1118">
        <v>1.7723999999999999E-3</v>
      </c>
      <c r="G1118">
        <v>0.89935799999999999</v>
      </c>
      <c r="H1118">
        <v>0.26617990000000002</v>
      </c>
      <c r="Q1118" s="10">
        <f t="shared" si="54"/>
        <v>2.3098020154487486E-2</v>
      </c>
      <c r="AI1118">
        <v>0.26688820000000002</v>
      </c>
      <c r="AJ1118">
        <f t="shared" si="53"/>
        <v>0.26688820000000002</v>
      </c>
      <c r="AO1118">
        <v>0.26688820000000002</v>
      </c>
      <c r="AR1118" s="8">
        <v>0</v>
      </c>
      <c r="AS1118">
        <v>0.61670959999999997</v>
      </c>
    </row>
    <row r="1119" spans="1:45" x14ac:dyDescent="0.25">
      <c r="A1119">
        <v>211</v>
      </c>
      <c r="B1119">
        <v>2003</v>
      </c>
      <c r="C1119" s="8">
        <v>0</v>
      </c>
      <c r="D1119">
        <v>0.27002379999999998</v>
      </c>
      <c r="E1119">
        <v>-0.31947490000000001</v>
      </c>
      <c r="F1119">
        <v>3.1440000000000003E-2</v>
      </c>
      <c r="G1119">
        <v>0.65210029999999997</v>
      </c>
      <c r="H1119">
        <v>0.2969157</v>
      </c>
      <c r="Q1119" s="10">
        <f t="shared" si="54"/>
        <v>4.4204140703496299E-2</v>
      </c>
      <c r="AI1119">
        <v>-2.1128999999999998E-2</v>
      </c>
      <c r="AJ1119">
        <f t="shared" si="53"/>
        <v>-2.1128999999999998E-2</v>
      </c>
      <c r="AO1119">
        <v>-2.1128999999999998E-2</v>
      </c>
      <c r="AR1119" s="8">
        <v>0</v>
      </c>
      <c r="AS1119">
        <v>0.63897939999999998</v>
      </c>
    </row>
    <row r="1120" spans="1:45" x14ac:dyDescent="0.25">
      <c r="A1120">
        <v>211</v>
      </c>
      <c r="B1120">
        <v>2004</v>
      </c>
      <c r="C1120" s="8">
        <v>0</v>
      </c>
      <c r="D1120">
        <v>0.26688820000000002</v>
      </c>
      <c r="E1120">
        <v>-0.55961499999999997</v>
      </c>
      <c r="F1120">
        <v>-2.2365000000000002E-3</v>
      </c>
      <c r="G1120">
        <v>1.0720590000000001</v>
      </c>
      <c r="H1120">
        <v>0.28317900000000001</v>
      </c>
      <c r="Q1120" s="10">
        <f t="shared" si="54"/>
        <v>4.1717059168463952E-2</v>
      </c>
      <c r="AI1120">
        <v>4.8742000000000001E-2</v>
      </c>
      <c r="AJ1120">
        <f t="shared" si="53"/>
        <v>4.8742000000000001E-2</v>
      </c>
      <c r="AO1120">
        <v>4.8742000000000001E-2</v>
      </c>
      <c r="AR1120" s="8">
        <v>0</v>
      </c>
      <c r="AS1120">
        <v>0.89935799999999999</v>
      </c>
    </row>
    <row r="1121" spans="1:45" x14ac:dyDescent="0.25">
      <c r="A1121">
        <v>212</v>
      </c>
      <c r="B1121">
        <v>1999</v>
      </c>
      <c r="C1121" s="8">
        <v>0</v>
      </c>
      <c r="D1121">
        <v>-2.1128999999999998E-2</v>
      </c>
      <c r="E1121">
        <v>0.53046289999999996</v>
      </c>
      <c r="F1121">
        <v>5.1511099999999997E-2</v>
      </c>
      <c r="G1121">
        <v>3.474056</v>
      </c>
      <c r="H1121">
        <v>0.3641933</v>
      </c>
      <c r="Q1121" s="10">
        <f t="shared" si="54"/>
        <v>1.1783423557341572E-4</v>
      </c>
      <c r="AI1121">
        <v>7.2849499999999998E-2</v>
      </c>
      <c r="AJ1121">
        <f t="shared" si="53"/>
        <v>7.2849499999999998E-2</v>
      </c>
      <c r="AO1121">
        <v>7.2849499999999998E-2</v>
      </c>
      <c r="AR1121" s="8">
        <v>0</v>
      </c>
      <c r="AS1121">
        <v>0.65210029999999997</v>
      </c>
    </row>
    <row r="1122" spans="1:45" x14ac:dyDescent="0.25">
      <c r="A1122">
        <v>212</v>
      </c>
      <c r="B1122">
        <v>2000</v>
      </c>
      <c r="C1122" s="8">
        <v>0</v>
      </c>
      <c r="D1122">
        <v>4.8742000000000001E-2</v>
      </c>
      <c r="E1122">
        <v>0.58568750000000003</v>
      </c>
      <c r="F1122">
        <v>8.2552E-2</v>
      </c>
      <c r="G1122">
        <v>3.8969809999999998</v>
      </c>
      <c r="H1122">
        <v>0.40637329999999999</v>
      </c>
      <c r="Q1122" s="10">
        <f t="shared" si="54"/>
        <v>4.5689952243822608E-5</v>
      </c>
      <c r="AI1122">
        <v>4.96715E-2</v>
      </c>
      <c r="AJ1122">
        <f t="shared" si="53"/>
        <v>4.96715E-2</v>
      </c>
      <c r="AO1122">
        <v>4.96715E-2</v>
      </c>
      <c r="AR1122" s="8">
        <v>0</v>
      </c>
      <c r="AS1122">
        <v>1.0720590000000001</v>
      </c>
    </row>
    <row r="1123" spans="1:45" x14ac:dyDescent="0.25">
      <c r="A1123">
        <v>212</v>
      </c>
      <c r="B1123">
        <v>2001</v>
      </c>
      <c r="C1123" s="8">
        <v>0</v>
      </c>
      <c r="D1123">
        <v>7.2849499999999998E-2</v>
      </c>
      <c r="E1123">
        <v>0.66270119999999999</v>
      </c>
      <c r="F1123">
        <v>5.0458900000000001E-2</v>
      </c>
      <c r="G1123">
        <v>3.8554590000000002</v>
      </c>
      <c r="H1123">
        <v>0.32061790000000001</v>
      </c>
      <c r="Q1123" s="10">
        <f t="shared" si="54"/>
        <v>5.4034352092762347E-5</v>
      </c>
      <c r="AI1123">
        <v>7.2668099999999999E-2</v>
      </c>
      <c r="AJ1123">
        <f t="shared" si="53"/>
        <v>7.2668099999999999E-2</v>
      </c>
      <c r="AO1123">
        <v>7.2668099999999999E-2</v>
      </c>
      <c r="AR1123" s="8">
        <v>0</v>
      </c>
      <c r="AS1123">
        <v>3.474056</v>
      </c>
    </row>
    <row r="1124" spans="1:45" x14ac:dyDescent="0.25">
      <c r="A1124">
        <v>212</v>
      </c>
      <c r="B1124">
        <v>2002</v>
      </c>
      <c r="C1124" s="8">
        <v>0</v>
      </c>
      <c r="D1124">
        <v>4.96715E-2</v>
      </c>
      <c r="E1124">
        <v>0.63856760000000001</v>
      </c>
      <c r="F1124">
        <v>5.95317E-2</v>
      </c>
      <c r="G1124">
        <v>3.0463520000000002</v>
      </c>
      <c r="H1124">
        <v>0.34611069999999999</v>
      </c>
      <c r="Q1124" s="10">
        <f t="shared" si="54"/>
        <v>1.901061522862144E-4</v>
      </c>
      <c r="AI1124">
        <v>0.1129006</v>
      </c>
      <c r="AJ1124">
        <f t="shared" si="53"/>
        <v>0.1129006</v>
      </c>
      <c r="AO1124">
        <v>0.1129006</v>
      </c>
      <c r="AR1124" s="8">
        <v>0</v>
      </c>
      <c r="AS1124">
        <v>3.8969809999999998</v>
      </c>
    </row>
    <row r="1125" spans="1:45" x14ac:dyDescent="0.25">
      <c r="A1125">
        <v>212</v>
      </c>
      <c r="B1125">
        <v>2003</v>
      </c>
      <c r="C1125" s="8">
        <v>0</v>
      </c>
      <c r="D1125">
        <v>7.2668099999999999E-2</v>
      </c>
      <c r="E1125">
        <v>0.69072160000000005</v>
      </c>
      <c r="F1125">
        <v>6.2953499999999996E-2</v>
      </c>
      <c r="G1125">
        <v>3.2278549999999999</v>
      </c>
      <c r="H1125">
        <v>0.353995</v>
      </c>
      <c r="Q1125" s="10">
        <f t="shared" si="54"/>
        <v>1.3027034565426165E-4</v>
      </c>
      <c r="AI1125">
        <v>5.0689100000000001E-2</v>
      </c>
      <c r="AJ1125">
        <f t="shared" si="53"/>
        <v>5.0689100000000001E-2</v>
      </c>
      <c r="AO1125">
        <v>5.0689100000000001E-2</v>
      </c>
      <c r="AR1125" s="8">
        <v>0</v>
      </c>
      <c r="AS1125">
        <v>3.8554590000000002</v>
      </c>
    </row>
    <row r="1126" spans="1:45" x14ac:dyDescent="0.25">
      <c r="A1126">
        <v>212</v>
      </c>
      <c r="B1126">
        <v>2004</v>
      </c>
      <c r="C1126" s="8">
        <v>0</v>
      </c>
      <c r="D1126">
        <v>0.1129006</v>
      </c>
      <c r="E1126">
        <v>0.73237810000000003</v>
      </c>
      <c r="F1126">
        <v>9.3502500000000002E-2</v>
      </c>
      <c r="G1126">
        <v>3.565836</v>
      </c>
      <c r="H1126">
        <v>0.4102732</v>
      </c>
      <c r="Q1126" s="10">
        <f t="shared" si="54"/>
        <v>5.9009283360071894E-5</v>
      </c>
      <c r="AI1126">
        <v>2.7242999999999998E-3</v>
      </c>
      <c r="AJ1126">
        <f t="shared" si="53"/>
        <v>2.7242999999999998E-3</v>
      </c>
      <c r="AO1126">
        <v>2.7242999999999998E-3</v>
      </c>
      <c r="AR1126" s="8">
        <v>0</v>
      </c>
      <c r="AS1126">
        <v>3.0463520000000002</v>
      </c>
    </row>
    <row r="1127" spans="1:45" x14ac:dyDescent="0.25">
      <c r="A1127">
        <v>213</v>
      </c>
      <c r="B1127">
        <v>1995</v>
      </c>
      <c r="C1127" s="8">
        <v>0</v>
      </c>
      <c r="D1127">
        <v>5.0689100000000001E-2</v>
      </c>
      <c r="E1127">
        <v>0.1936147</v>
      </c>
      <c r="F1127">
        <v>5.4582199999999997E-2</v>
      </c>
      <c r="G1127">
        <v>1.7679510000000001</v>
      </c>
      <c r="H1127">
        <v>0.2088026</v>
      </c>
      <c r="Q1127" s="10">
        <f t="shared" si="54"/>
        <v>2.6551529498091649E-3</v>
      </c>
      <c r="AI1127">
        <v>6.2042300000000002E-2</v>
      </c>
      <c r="AJ1127">
        <f t="shared" si="53"/>
        <v>6.2042300000000002E-2</v>
      </c>
      <c r="AO1127">
        <v>6.2042300000000002E-2</v>
      </c>
      <c r="AR1127" s="8">
        <v>0</v>
      </c>
      <c r="AS1127">
        <v>3.2278549999999999</v>
      </c>
    </row>
    <row r="1128" spans="1:45" x14ac:dyDescent="0.25">
      <c r="A1128">
        <v>213</v>
      </c>
      <c r="B1128">
        <v>1996</v>
      </c>
      <c r="C1128" s="8">
        <v>0</v>
      </c>
      <c r="D1128">
        <v>2.7242999999999998E-3</v>
      </c>
      <c r="E1128">
        <v>0.16370219999999999</v>
      </c>
      <c r="F1128">
        <v>3.3888000000000001E-2</v>
      </c>
      <c r="G1128">
        <v>1.035833</v>
      </c>
      <c r="H1128">
        <v>0.1349426</v>
      </c>
      <c r="Q1128" s="10">
        <f t="shared" si="54"/>
        <v>9.7710068706355797E-3</v>
      </c>
      <c r="AI1128">
        <v>-6.9780000000000005E-4</v>
      </c>
      <c r="AJ1128">
        <f t="shared" si="53"/>
        <v>-6.9780000000000005E-4</v>
      </c>
      <c r="AO1128">
        <v>-6.9780000000000005E-4</v>
      </c>
      <c r="AR1128" s="8">
        <v>0</v>
      </c>
      <c r="AS1128">
        <v>3.565836</v>
      </c>
    </row>
    <row r="1129" spans="1:45" x14ac:dyDescent="0.25">
      <c r="A1129">
        <v>213</v>
      </c>
      <c r="B1129">
        <v>1997</v>
      </c>
      <c r="C1129" s="8">
        <v>0</v>
      </c>
      <c r="D1129">
        <v>6.2042300000000002E-2</v>
      </c>
      <c r="E1129">
        <v>0.18906100000000001</v>
      </c>
      <c r="F1129">
        <v>6.6331000000000001E-2</v>
      </c>
      <c r="G1129">
        <v>1.6533880000000001</v>
      </c>
      <c r="H1129">
        <v>0.2407861</v>
      </c>
      <c r="Q1129" s="10">
        <f t="shared" si="54"/>
        <v>2.9918708233374783E-3</v>
      </c>
      <c r="AI1129">
        <v>9.2432E-3</v>
      </c>
      <c r="AJ1129">
        <f t="shared" si="53"/>
        <v>9.2432E-3</v>
      </c>
      <c r="AO1129">
        <v>9.2432E-3</v>
      </c>
      <c r="AR1129" s="8">
        <v>0</v>
      </c>
      <c r="AS1129">
        <v>1.7679510000000001</v>
      </c>
    </row>
    <row r="1130" spans="1:45" x14ac:dyDescent="0.25">
      <c r="A1130">
        <v>214</v>
      </c>
      <c r="B1130">
        <v>1999</v>
      </c>
      <c r="C1130" s="8">
        <v>0</v>
      </c>
      <c r="D1130">
        <v>-6.9780000000000005E-4</v>
      </c>
      <c r="E1130">
        <v>0.29669269999999998</v>
      </c>
      <c r="F1130">
        <v>5.0847900000000001E-2</v>
      </c>
      <c r="G1130">
        <v>0.57109200000000004</v>
      </c>
      <c r="H1130">
        <v>0.28500789999999998</v>
      </c>
      <c r="Q1130" s="10">
        <f t="shared" si="54"/>
        <v>1.6057967578702512E-2</v>
      </c>
      <c r="AI1130">
        <v>-7.4192999999999995E-2</v>
      </c>
      <c r="AJ1130">
        <f t="shared" si="53"/>
        <v>-7.4192999999999995E-2</v>
      </c>
      <c r="AO1130">
        <v>-7.4192999999999995E-2</v>
      </c>
      <c r="AR1130" s="8">
        <v>0</v>
      </c>
      <c r="AS1130">
        <v>1.035833</v>
      </c>
    </row>
    <row r="1131" spans="1:45" x14ac:dyDescent="0.25">
      <c r="A1131">
        <v>214</v>
      </c>
      <c r="B1131">
        <v>2000</v>
      </c>
      <c r="C1131" s="8">
        <v>0</v>
      </c>
      <c r="D1131">
        <v>9.2432E-3</v>
      </c>
      <c r="E1131">
        <v>0.32154939999999999</v>
      </c>
      <c r="F1131">
        <v>4.3856300000000001E-2</v>
      </c>
      <c r="G1131">
        <v>0.77130900000000002</v>
      </c>
      <c r="H1131">
        <v>0.31457600000000002</v>
      </c>
      <c r="Q1131" s="10">
        <f t="shared" si="54"/>
        <v>1.222225845183297E-2</v>
      </c>
      <c r="AI1131">
        <v>0.124681</v>
      </c>
      <c r="AJ1131">
        <f t="shared" si="53"/>
        <v>0.124681</v>
      </c>
      <c r="AO1131">
        <v>0.124681</v>
      </c>
      <c r="AR1131" s="8">
        <v>0</v>
      </c>
      <c r="AS1131">
        <v>1.6533880000000001</v>
      </c>
    </row>
    <row r="1132" spans="1:45" x14ac:dyDescent="0.25">
      <c r="A1132">
        <v>214</v>
      </c>
      <c r="B1132">
        <v>2001</v>
      </c>
      <c r="C1132" s="8">
        <v>0</v>
      </c>
      <c r="D1132">
        <v>-7.4192999999999995E-2</v>
      </c>
      <c r="E1132">
        <v>0.23268040000000001</v>
      </c>
      <c r="F1132">
        <v>4.8561300000000002E-2</v>
      </c>
      <c r="G1132">
        <v>0.87557189999999996</v>
      </c>
      <c r="H1132">
        <v>0.2244563</v>
      </c>
      <c r="Q1132" s="10">
        <f t="shared" si="54"/>
        <v>1.0382524257698322E-2</v>
      </c>
      <c r="AI1132">
        <v>0.1127121</v>
      </c>
      <c r="AJ1132">
        <f t="shared" si="53"/>
        <v>0.1127121</v>
      </c>
      <c r="AO1132">
        <v>0.1127121</v>
      </c>
      <c r="AR1132" s="8">
        <v>0</v>
      </c>
      <c r="AS1132">
        <v>0.57109200000000004</v>
      </c>
    </row>
    <row r="1133" spans="1:45" x14ac:dyDescent="0.25">
      <c r="A1133">
        <v>214</v>
      </c>
      <c r="B1133">
        <v>2002</v>
      </c>
      <c r="C1133" s="8">
        <v>0</v>
      </c>
      <c r="D1133">
        <v>0.124681</v>
      </c>
      <c r="E1133">
        <v>0.22147130000000001</v>
      </c>
      <c r="F1133">
        <v>5.4342500000000002E-2</v>
      </c>
      <c r="G1133">
        <v>0.41836659999999998</v>
      </c>
      <c r="H1133">
        <v>0.18841350000000001</v>
      </c>
      <c r="Q1133" s="10">
        <f t="shared" si="54"/>
        <v>2.1914150273940471E-2</v>
      </c>
      <c r="AI1133">
        <v>0.11651400000000001</v>
      </c>
      <c r="AJ1133">
        <f t="shared" si="53"/>
        <v>0.11651400000000001</v>
      </c>
      <c r="AO1133">
        <v>0.11651400000000001</v>
      </c>
      <c r="AR1133" s="8">
        <v>0</v>
      </c>
      <c r="AS1133">
        <v>0.77130900000000002</v>
      </c>
    </row>
    <row r="1134" spans="1:45" x14ac:dyDescent="0.25">
      <c r="A1134">
        <v>214</v>
      </c>
      <c r="B1134">
        <v>2003</v>
      </c>
      <c r="C1134" s="8">
        <v>0</v>
      </c>
      <c r="D1134">
        <v>0.1127121</v>
      </c>
      <c r="E1134">
        <v>0.28908430000000002</v>
      </c>
      <c r="F1134">
        <v>5.0192300000000002E-2</v>
      </c>
      <c r="G1134">
        <v>0.57747839999999995</v>
      </c>
      <c r="H1134">
        <v>0.2144084</v>
      </c>
      <c r="Q1134" s="10">
        <f t="shared" si="54"/>
        <v>1.62067523341064E-2</v>
      </c>
      <c r="AI1134">
        <v>-9.3694E-3</v>
      </c>
      <c r="AJ1134">
        <f t="shared" si="53"/>
        <v>-9.3694E-3</v>
      </c>
      <c r="AO1134">
        <v>-9.3694E-3</v>
      </c>
      <c r="AR1134" s="8">
        <v>0</v>
      </c>
      <c r="AS1134">
        <v>0.87557189999999996</v>
      </c>
    </row>
    <row r="1135" spans="1:45" x14ac:dyDescent="0.25">
      <c r="A1135">
        <v>214</v>
      </c>
      <c r="B1135">
        <v>2004</v>
      </c>
      <c r="C1135" s="8">
        <v>0</v>
      </c>
      <c r="D1135">
        <v>0.11651400000000001</v>
      </c>
      <c r="E1135">
        <v>0.36830659999999998</v>
      </c>
      <c r="F1135">
        <v>5.6988400000000002E-2</v>
      </c>
      <c r="G1135">
        <v>0.87577190000000005</v>
      </c>
      <c r="H1135">
        <v>0.21382789999999999</v>
      </c>
      <c r="Q1135" s="10">
        <f t="shared" si="54"/>
        <v>8.5801720446394992E-3</v>
      </c>
      <c r="AI1135">
        <v>-3.2631800000000002E-2</v>
      </c>
      <c r="AJ1135">
        <f t="shared" si="53"/>
        <v>-3.2631800000000002E-2</v>
      </c>
      <c r="AO1135">
        <v>-3.2631800000000002E-2</v>
      </c>
      <c r="AR1135" s="8">
        <v>0</v>
      </c>
      <c r="AS1135">
        <v>0.41836659999999998</v>
      </c>
    </row>
    <row r="1136" spans="1:45" x14ac:dyDescent="0.25">
      <c r="A1136">
        <v>215</v>
      </c>
      <c r="B1136">
        <v>1999</v>
      </c>
      <c r="C1136" s="8">
        <v>0</v>
      </c>
      <c r="D1136">
        <v>-9.3694E-3</v>
      </c>
      <c r="E1136">
        <v>0.20673150000000001</v>
      </c>
      <c r="F1136">
        <v>3.3096599999999997E-2</v>
      </c>
      <c r="G1136">
        <v>1.0194989999999999</v>
      </c>
      <c r="H1136">
        <v>0.1426432</v>
      </c>
      <c r="Q1136" s="10">
        <f t="shared" si="54"/>
        <v>9.4807928745588178E-3</v>
      </c>
      <c r="AI1136">
        <v>-8.2932500000000006E-2</v>
      </c>
      <c r="AJ1136">
        <f t="shared" si="53"/>
        <v>-8.2932500000000006E-2</v>
      </c>
      <c r="AO1136">
        <v>-8.2932500000000006E-2</v>
      </c>
      <c r="AR1136" s="8">
        <v>0</v>
      </c>
      <c r="AS1136">
        <v>0.57747839999999995</v>
      </c>
    </row>
    <row r="1137" spans="1:45" x14ac:dyDescent="0.25">
      <c r="A1137">
        <v>215</v>
      </c>
      <c r="B1137">
        <v>2000</v>
      </c>
      <c r="C1137" s="8">
        <v>0</v>
      </c>
      <c r="D1137">
        <v>-3.2631800000000002E-2</v>
      </c>
      <c r="E1137">
        <v>0.21238670000000001</v>
      </c>
      <c r="F1137">
        <v>4.32214E-2</v>
      </c>
      <c r="G1137">
        <v>1.368382</v>
      </c>
      <c r="H1137">
        <v>0.1557743</v>
      </c>
      <c r="Q1137" s="10">
        <f t="shared" si="54"/>
        <v>4.9883310112480992E-3</v>
      </c>
      <c r="AI1137">
        <v>-7.3416400000000007E-2</v>
      </c>
      <c r="AJ1137">
        <f t="shared" si="53"/>
        <v>-7.3416400000000007E-2</v>
      </c>
      <c r="AO1137">
        <v>-7.3416400000000007E-2</v>
      </c>
      <c r="AR1137" s="8">
        <v>0</v>
      </c>
      <c r="AS1137">
        <v>0.87577190000000005</v>
      </c>
    </row>
    <row r="1138" spans="1:45" x14ac:dyDescent="0.25">
      <c r="A1138">
        <v>215</v>
      </c>
      <c r="B1138">
        <v>2001</v>
      </c>
      <c r="C1138" s="8">
        <v>0</v>
      </c>
      <c r="D1138">
        <v>-8.2932500000000006E-2</v>
      </c>
      <c r="E1138">
        <v>0.2115264</v>
      </c>
      <c r="F1138">
        <v>3.8190399999999999E-2</v>
      </c>
      <c r="G1138">
        <v>0.89559169999999999</v>
      </c>
      <c r="H1138">
        <v>0.1239401</v>
      </c>
      <c r="Q1138" s="10">
        <f t="shared" si="54"/>
        <v>1.0547158069175864E-2</v>
      </c>
      <c r="AI1138">
        <v>1.2622700000000001E-2</v>
      </c>
      <c r="AJ1138">
        <f t="shared" si="53"/>
        <v>1.2622700000000001E-2</v>
      </c>
      <c r="AO1138">
        <v>1.2622700000000001E-2</v>
      </c>
      <c r="AR1138" s="8">
        <v>0</v>
      </c>
      <c r="AS1138">
        <v>1.0194989999999999</v>
      </c>
    </row>
    <row r="1139" spans="1:45" x14ac:dyDescent="0.25">
      <c r="A1139">
        <v>215</v>
      </c>
      <c r="B1139">
        <v>2002</v>
      </c>
      <c r="C1139" s="8">
        <v>0</v>
      </c>
      <c r="D1139">
        <v>-7.3416400000000007E-2</v>
      </c>
      <c r="E1139">
        <v>0.2097743</v>
      </c>
      <c r="F1139">
        <v>4.4507900000000003E-2</v>
      </c>
      <c r="G1139">
        <v>0.85373160000000003</v>
      </c>
      <c r="H1139">
        <v>0.1246134</v>
      </c>
      <c r="Q1139" s="10">
        <f t="shared" si="54"/>
        <v>1.0790783728134542E-2</v>
      </c>
      <c r="AI1139">
        <v>-3.22186E-2</v>
      </c>
      <c r="AJ1139">
        <f t="shared" si="53"/>
        <v>-3.22186E-2</v>
      </c>
      <c r="AO1139">
        <v>-3.22186E-2</v>
      </c>
      <c r="AR1139" s="8">
        <v>0</v>
      </c>
      <c r="AS1139">
        <v>1.368382</v>
      </c>
    </row>
    <row r="1140" spans="1:45" x14ac:dyDescent="0.25">
      <c r="A1140">
        <v>215</v>
      </c>
      <c r="B1140">
        <v>2003</v>
      </c>
      <c r="C1140" s="8">
        <v>0</v>
      </c>
      <c r="D1140">
        <v>1.2622700000000001E-2</v>
      </c>
      <c r="E1140">
        <v>0.1768026</v>
      </c>
      <c r="F1140">
        <v>4.66489E-2</v>
      </c>
      <c r="G1140">
        <v>0.62919000000000003</v>
      </c>
      <c r="H1140">
        <v>0.11669069999999999</v>
      </c>
      <c r="Q1140" s="10">
        <f t="shared" si="54"/>
        <v>1.6321345733570913E-2</v>
      </c>
      <c r="AI1140">
        <v>0.41203820000000002</v>
      </c>
      <c r="AJ1140">
        <f t="shared" si="53"/>
        <v>0.41203820000000002</v>
      </c>
      <c r="AO1140">
        <v>0.41203820000000002</v>
      </c>
      <c r="AR1140" s="8">
        <v>0</v>
      </c>
      <c r="AS1140">
        <v>0.89559169999999999</v>
      </c>
    </row>
    <row r="1141" spans="1:45" x14ac:dyDescent="0.25">
      <c r="A1141">
        <v>215</v>
      </c>
      <c r="B1141">
        <v>2004</v>
      </c>
      <c r="C1141" s="8">
        <v>0</v>
      </c>
      <c r="D1141">
        <v>-3.22186E-2</v>
      </c>
      <c r="E1141">
        <v>0.17841489999999999</v>
      </c>
      <c r="F1141">
        <v>3.8082600000000001E-2</v>
      </c>
      <c r="G1141">
        <v>0.70029949999999996</v>
      </c>
      <c r="H1141">
        <v>0.1209597</v>
      </c>
      <c r="Q1141" s="10">
        <f t="shared" si="54"/>
        <v>1.533892906202752E-2</v>
      </c>
      <c r="AI1141">
        <v>0.38176330000000003</v>
      </c>
      <c r="AJ1141">
        <f t="shared" si="53"/>
        <v>0.38176330000000003</v>
      </c>
      <c r="AO1141">
        <v>0.38176330000000003</v>
      </c>
      <c r="AR1141" s="8">
        <v>0</v>
      </c>
      <c r="AS1141">
        <v>0.85373160000000003</v>
      </c>
    </row>
    <row r="1142" spans="1:45" x14ac:dyDescent="0.25">
      <c r="A1142">
        <v>216</v>
      </c>
      <c r="B1142">
        <v>2003</v>
      </c>
      <c r="C1142" s="8">
        <v>0</v>
      </c>
      <c r="D1142">
        <v>0.41203820000000002</v>
      </c>
      <c r="E1142">
        <v>0.38861950000000001</v>
      </c>
      <c r="F1142">
        <v>0.1007917</v>
      </c>
      <c r="G1142">
        <v>1.4520789999999999</v>
      </c>
      <c r="H1142">
        <v>0.80570030000000004</v>
      </c>
      <c r="Q1142" s="10">
        <f t="shared" si="54"/>
        <v>3.8388153640390313E-3</v>
      </c>
      <c r="AI1142">
        <v>0.19452459999999999</v>
      </c>
      <c r="AJ1142">
        <f t="shared" si="53"/>
        <v>0.19452459999999999</v>
      </c>
      <c r="AO1142">
        <v>0.19452459999999999</v>
      </c>
      <c r="AR1142" s="8">
        <v>0</v>
      </c>
      <c r="AS1142">
        <v>0.62919000000000003</v>
      </c>
    </row>
    <row r="1143" spans="1:45" x14ac:dyDescent="0.25">
      <c r="A1143">
        <v>216</v>
      </c>
      <c r="B1143">
        <v>2004</v>
      </c>
      <c r="C1143" s="8">
        <v>0</v>
      </c>
      <c r="D1143">
        <v>0.38176330000000003</v>
      </c>
      <c r="E1143">
        <v>0.37811850000000002</v>
      </c>
      <c r="F1143">
        <v>0.10222539999999999</v>
      </c>
      <c r="G1143">
        <v>1.4718530000000001</v>
      </c>
      <c r="H1143">
        <v>0.72727339999999996</v>
      </c>
      <c r="Q1143" s="10">
        <f t="shared" si="54"/>
        <v>3.5135623677324491E-3</v>
      </c>
      <c r="AI1143">
        <v>0.18407129999999999</v>
      </c>
      <c r="AJ1143">
        <f t="shared" si="53"/>
        <v>0.18407129999999999</v>
      </c>
      <c r="AO1143">
        <v>0.18407129999999999</v>
      </c>
      <c r="AR1143" s="8">
        <v>0</v>
      </c>
      <c r="AS1143">
        <v>0.70029949999999996</v>
      </c>
    </row>
    <row r="1144" spans="1:45" x14ac:dyDescent="0.25">
      <c r="A1144">
        <v>217</v>
      </c>
      <c r="B1144">
        <v>1999</v>
      </c>
      <c r="C1144" s="8">
        <v>0</v>
      </c>
      <c r="D1144">
        <v>0.19452459999999999</v>
      </c>
      <c r="E1144">
        <v>0.1779202</v>
      </c>
      <c r="F1144">
        <v>5.56824E-2</v>
      </c>
      <c r="G1144">
        <v>0.37134129999999999</v>
      </c>
      <c r="H1144">
        <v>0.33065749999999999</v>
      </c>
      <c r="Q1144" s="10">
        <f t="shared" si="54"/>
        <v>2.7818938160469483E-2</v>
      </c>
      <c r="AI1144">
        <v>0.14987700000000001</v>
      </c>
      <c r="AJ1144">
        <f t="shared" si="53"/>
        <v>0.14987700000000001</v>
      </c>
      <c r="AO1144">
        <v>0.14987700000000001</v>
      </c>
      <c r="AR1144" s="8">
        <v>0</v>
      </c>
      <c r="AS1144">
        <v>1.4520789999999999</v>
      </c>
    </row>
    <row r="1145" spans="1:45" x14ac:dyDescent="0.25">
      <c r="A1145">
        <v>217</v>
      </c>
      <c r="B1145">
        <v>2000</v>
      </c>
      <c r="C1145" s="8">
        <v>0</v>
      </c>
      <c r="D1145">
        <v>0.18407129999999999</v>
      </c>
      <c r="E1145">
        <v>0.18698680000000001</v>
      </c>
      <c r="F1145">
        <v>6.2381699999999998E-2</v>
      </c>
      <c r="G1145">
        <v>0.35561100000000001</v>
      </c>
      <c r="H1145">
        <v>0.32827729999999999</v>
      </c>
      <c r="Q1145" s="10">
        <f t="shared" si="54"/>
        <v>2.6562445040975585E-2</v>
      </c>
      <c r="AI1145">
        <v>0.16894609999999999</v>
      </c>
      <c r="AJ1145">
        <f t="shared" si="53"/>
        <v>0.16894609999999999</v>
      </c>
      <c r="AO1145">
        <v>0.16894609999999999</v>
      </c>
      <c r="AR1145" s="8">
        <v>0</v>
      </c>
      <c r="AS1145">
        <v>1.4718530000000001</v>
      </c>
    </row>
    <row r="1146" spans="1:45" x14ac:dyDescent="0.25">
      <c r="A1146">
        <v>217</v>
      </c>
      <c r="B1146">
        <v>2001</v>
      </c>
      <c r="C1146" s="8">
        <v>0</v>
      </c>
      <c r="D1146">
        <v>0.14987700000000001</v>
      </c>
      <c r="E1146">
        <v>0.1367941</v>
      </c>
      <c r="F1146">
        <v>5.6862200000000002E-2</v>
      </c>
      <c r="G1146">
        <v>0.26059290000000002</v>
      </c>
      <c r="H1146">
        <v>0.34344079999999999</v>
      </c>
      <c r="Q1146" s="10">
        <f t="shared" si="54"/>
        <v>3.4305039011461994E-2</v>
      </c>
      <c r="AI1146">
        <v>0.20207610000000001</v>
      </c>
      <c r="AJ1146">
        <f t="shared" si="53"/>
        <v>0.20207610000000001</v>
      </c>
      <c r="AO1146">
        <v>0.20207610000000001</v>
      </c>
      <c r="AR1146" s="8">
        <v>0</v>
      </c>
      <c r="AS1146">
        <v>0.37134129999999999</v>
      </c>
    </row>
    <row r="1147" spans="1:45" x14ac:dyDescent="0.25">
      <c r="A1147">
        <v>217</v>
      </c>
      <c r="B1147">
        <v>2002</v>
      </c>
      <c r="C1147" s="8">
        <v>0</v>
      </c>
      <c r="D1147">
        <v>0.16894609999999999</v>
      </c>
      <c r="E1147">
        <v>0.1305626</v>
      </c>
      <c r="F1147">
        <v>5.1298099999999999E-2</v>
      </c>
      <c r="G1147">
        <v>0.19856770000000001</v>
      </c>
      <c r="H1147">
        <v>0.3148841</v>
      </c>
      <c r="Q1147" s="10">
        <f t="shared" si="54"/>
        <v>3.9356602462866583E-2</v>
      </c>
      <c r="AI1147">
        <v>8.4525199999999995E-2</v>
      </c>
      <c r="AJ1147">
        <f t="shared" si="53"/>
        <v>8.4525199999999995E-2</v>
      </c>
      <c r="AO1147">
        <v>8.4525199999999995E-2</v>
      </c>
      <c r="AR1147" s="8">
        <v>0</v>
      </c>
      <c r="AS1147">
        <v>0.35561100000000001</v>
      </c>
    </row>
    <row r="1148" spans="1:45" x14ac:dyDescent="0.25">
      <c r="A1148">
        <v>217</v>
      </c>
      <c r="B1148">
        <v>2003</v>
      </c>
      <c r="C1148" s="8">
        <v>1</v>
      </c>
      <c r="D1148">
        <v>0.20207610000000001</v>
      </c>
      <c r="E1148">
        <v>5.2325200000000002E-2</v>
      </c>
      <c r="F1148">
        <v>1.0134900000000001E-2</v>
      </c>
      <c r="G1148">
        <v>0.26838800000000002</v>
      </c>
      <c r="H1148">
        <v>0.28150449999999999</v>
      </c>
      <c r="Q1148" s="10">
        <f t="shared" si="54"/>
        <v>5.3649735680614687E-2</v>
      </c>
      <c r="AI1148">
        <v>8.0111199999999994E-2</v>
      </c>
      <c r="AJ1148">
        <f t="shared" si="53"/>
        <v>8.0111199999999994E-2</v>
      </c>
      <c r="AO1148">
        <v>8.0111199999999994E-2</v>
      </c>
      <c r="AR1148" s="8">
        <v>0</v>
      </c>
      <c r="AS1148">
        <v>0.26059290000000002</v>
      </c>
    </row>
    <row r="1149" spans="1:45" x14ac:dyDescent="0.25">
      <c r="A1149">
        <v>218</v>
      </c>
      <c r="B1149">
        <v>2001</v>
      </c>
      <c r="C1149" s="8">
        <v>0</v>
      </c>
      <c r="D1149">
        <v>8.4525199999999995E-2</v>
      </c>
      <c r="E1149">
        <v>0.4149349</v>
      </c>
      <c r="F1149">
        <v>4.9595100000000003E-2</v>
      </c>
      <c r="G1149">
        <v>2.2336529999999999</v>
      </c>
      <c r="H1149">
        <v>0.4140723</v>
      </c>
      <c r="Q1149" s="10">
        <f t="shared" si="54"/>
        <v>1.0999225305122055E-3</v>
      </c>
      <c r="AI1149">
        <v>4.6731099999999998E-2</v>
      </c>
      <c r="AJ1149">
        <f t="shared" si="53"/>
        <v>4.6731099999999998E-2</v>
      </c>
      <c r="AO1149">
        <v>4.6731099999999998E-2</v>
      </c>
      <c r="AR1149" s="8">
        <v>0</v>
      </c>
      <c r="AS1149">
        <v>0.19856770000000001</v>
      </c>
    </row>
    <row r="1150" spans="1:45" x14ac:dyDescent="0.25">
      <c r="A1150">
        <v>218</v>
      </c>
      <c r="B1150">
        <v>2002</v>
      </c>
      <c r="C1150" s="8">
        <v>0</v>
      </c>
      <c r="D1150">
        <v>8.0111199999999994E-2</v>
      </c>
      <c r="E1150">
        <v>0.42344769999999998</v>
      </c>
      <c r="F1150">
        <v>6.4742800000000003E-2</v>
      </c>
      <c r="G1150">
        <v>2.4007930000000002</v>
      </c>
      <c r="H1150">
        <v>0.3986093</v>
      </c>
      <c r="Q1150" s="10">
        <f t="shared" si="54"/>
        <v>7.2927847770415453E-4</v>
      </c>
      <c r="AI1150">
        <v>4.9555599999999998E-2</v>
      </c>
      <c r="AJ1150">
        <f t="shared" si="53"/>
        <v>4.9555599999999998E-2</v>
      </c>
      <c r="AO1150">
        <v>4.9555599999999998E-2</v>
      </c>
      <c r="AR1150" s="8">
        <v>1</v>
      </c>
      <c r="AS1150">
        <v>0.26838800000000002</v>
      </c>
    </row>
    <row r="1151" spans="1:45" x14ac:dyDescent="0.25">
      <c r="A1151">
        <v>218</v>
      </c>
      <c r="B1151">
        <v>2003</v>
      </c>
      <c r="C1151" s="8">
        <v>0</v>
      </c>
      <c r="D1151">
        <v>4.6731099999999998E-2</v>
      </c>
      <c r="E1151">
        <v>0.39475209999999999</v>
      </c>
      <c r="F1151">
        <v>6.8206699999999995E-2</v>
      </c>
      <c r="G1151">
        <v>2.013976</v>
      </c>
      <c r="H1151">
        <v>0.40089789999999997</v>
      </c>
      <c r="Q1151" s="10">
        <f t="shared" si="54"/>
        <v>1.3521663409491768E-3</v>
      </c>
      <c r="AI1151">
        <v>0.5186634</v>
      </c>
      <c r="AJ1151">
        <f t="shared" si="53"/>
        <v>0.5186634</v>
      </c>
      <c r="AO1151">
        <v>0.5186634</v>
      </c>
      <c r="AR1151" s="8">
        <v>0</v>
      </c>
      <c r="AS1151">
        <v>2.2336529999999999</v>
      </c>
    </row>
    <row r="1152" spans="1:45" x14ac:dyDescent="0.25">
      <c r="A1152">
        <v>218</v>
      </c>
      <c r="B1152">
        <v>2004</v>
      </c>
      <c r="C1152" s="8">
        <v>0</v>
      </c>
      <c r="D1152">
        <v>4.9555599999999998E-2</v>
      </c>
      <c r="E1152">
        <v>0.4295177</v>
      </c>
      <c r="F1152">
        <v>7.7824199999999996E-2</v>
      </c>
      <c r="G1152">
        <v>2.5300750000000001</v>
      </c>
      <c r="H1152">
        <v>0.40857589999999999</v>
      </c>
      <c r="Q1152" s="10">
        <f t="shared" si="54"/>
        <v>5.2651780390994285E-4</v>
      </c>
      <c r="AI1152">
        <v>0.45400499999999999</v>
      </c>
      <c r="AJ1152">
        <f t="shared" si="53"/>
        <v>0.45400499999999999</v>
      </c>
      <c r="AO1152">
        <v>0.45400499999999999</v>
      </c>
      <c r="AR1152" s="8">
        <v>0</v>
      </c>
      <c r="AS1152">
        <v>2.4007930000000002</v>
      </c>
    </row>
    <row r="1153" spans="1:45" x14ac:dyDescent="0.25">
      <c r="A1153">
        <v>219</v>
      </c>
      <c r="B1153">
        <v>1999</v>
      </c>
      <c r="C1153" s="8">
        <v>0</v>
      </c>
      <c r="D1153">
        <v>0.5186634</v>
      </c>
      <c r="E1153">
        <v>0.13953699999999999</v>
      </c>
      <c r="F1153">
        <v>7.40788E-2</v>
      </c>
      <c r="G1153">
        <v>0.51497700000000002</v>
      </c>
      <c r="H1153">
        <v>0.60432229999999998</v>
      </c>
      <c r="Q1153" s="10">
        <f t="shared" si="54"/>
        <v>2.7380841712517801E-2</v>
      </c>
      <c r="AI1153">
        <v>4.4032300000000003E-2</v>
      </c>
      <c r="AJ1153">
        <f t="shared" si="53"/>
        <v>4.4032300000000003E-2</v>
      </c>
      <c r="AO1153">
        <v>4.4032300000000003E-2</v>
      </c>
      <c r="AR1153" s="8">
        <v>0</v>
      </c>
      <c r="AS1153">
        <v>2.013976</v>
      </c>
    </row>
    <row r="1154" spans="1:45" x14ac:dyDescent="0.25">
      <c r="A1154">
        <v>219</v>
      </c>
      <c r="B1154">
        <v>2004</v>
      </c>
      <c r="C1154" s="8">
        <v>0</v>
      </c>
      <c r="D1154">
        <v>0.45400499999999999</v>
      </c>
      <c r="E1154">
        <v>0.2481389</v>
      </c>
      <c r="F1154">
        <v>8.4235299999999999E-2</v>
      </c>
      <c r="G1154">
        <v>1.084589</v>
      </c>
      <c r="H1154">
        <v>0.6317313</v>
      </c>
      <c r="Q1154" s="10">
        <f t="shared" si="54"/>
        <v>8.7766995541474057E-3</v>
      </c>
      <c r="AI1154">
        <v>6.5046499999999993E-2</v>
      </c>
      <c r="AJ1154">
        <f t="shared" si="53"/>
        <v>6.5046499999999993E-2</v>
      </c>
      <c r="AO1154">
        <v>6.5046499999999993E-2</v>
      </c>
      <c r="AR1154" s="8">
        <v>0</v>
      </c>
      <c r="AS1154">
        <v>2.5300750000000001</v>
      </c>
    </row>
    <row r="1155" spans="1:45" x14ac:dyDescent="0.25">
      <c r="A1155">
        <v>220</v>
      </c>
      <c r="B1155">
        <v>1999</v>
      </c>
      <c r="C1155" s="8">
        <v>0</v>
      </c>
      <c r="D1155">
        <v>4.4032300000000003E-2</v>
      </c>
      <c r="E1155">
        <v>2.2622099999999999E-2</v>
      </c>
      <c r="F1155">
        <v>3.9069100000000002E-2</v>
      </c>
      <c r="G1155">
        <v>0.22195690000000001</v>
      </c>
      <c r="H1155">
        <v>0.18955449999999999</v>
      </c>
      <c r="Q1155" s="10">
        <f t="shared" si="54"/>
        <v>4.2824471242787938E-2</v>
      </c>
      <c r="AI1155">
        <v>0.2424192</v>
      </c>
      <c r="AJ1155">
        <f t="shared" si="53"/>
        <v>0.2424192</v>
      </c>
      <c r="AO1155">
        <v>0.2424192</v>
      </c>
      <c r="AR1155" s="8">
        <v>0</v>
      </c>
      <c r="AS1155">
        <v>0.51497700000000002</v>
      </c>
    </row>
    <row r="1156" spans="1:45" x14ac:dyDescent="0.25">
      <c r="A1156">
        <v>220</v>
      </c>
      <c r="B1156">
        <v>2000</v>
      </c>
      <c r="C1156" s="8">
        <v>0</v>
      </c>
      <c r="D1156">
        <v>6.5046499999999993E-2</v>
      </c>
      <c r="E1156">
        <v>-2.24514E-2</v>
      </c>
      <c r="F1156">
        <v>2.4773900000000001E-2</v>
      </c>
      <c r="G1156">
        <v>6.9915599999999994E-2</v>
      </c>
      <c r="H1156">
        <v>0.17108419999999999</v>
      </c>
      <c r="Q1156" s="10">
        <f t="shared" si="54"/>
        <v>6.3718736494246378E-2</v>
      </c>
      <c r="AI1156">
        <v>0.25711070000000003</v>
      </c>
      <c r="AJ1156">
        <f t="shared" si="53"/>
        <v>0.25711070000000003</v>
      </c>
      <c r="AO1156">
        <v>0.25711070000000003</v>
      </c>
      <c r="AR1156" s="8">
        <v>0</v>
      </c>
      <c r="AS1156">
        <v>1.084589</v>
      </c>
    </row>
    <row r="1157" spans="1:45" x14ac:dyDescent="0.25">
      <c r="A1157">
        <v>221</v>
      </c>
      <c r="B1157">
        <v>1999</v>
      </c>
      <c r="C1157" s="8">
        <v>0</v>
      </c>
      <c r="D1157">
        <v>0.2424192</v>
      </c>
      <c r="E1157">
        <v>0.1935886</v>
      </c>
      <c r="F1157">
        <v>8.2324099999999997E-2</v>
      </c>
      <c r="G1157">
        <v>0.80550440000000001</v>
      </c>
      <c r="H1157">
        <v>0.35766320000000001</v>
      </c>
      <c r="Q1157" s="10">
        <f t="shared" si="54"/>
        <v>1.1600803058060495E-2</v>
      </c>
      <c r="AI1157">
        <v>0.25713989999999998</v>
      </c>
      <c r="AJ1157">
        <f t="shared" ref="AJ1157:AJ1220" si="55">MAX(MIN(AI1157,AM$5),AM$4)</f>
        <v>0.25713989999999998</v>
      </c>
      <c r="AO1157">
        <v>0.25713989999999998</v>
      </c>
      <c r="AR1157" s="8">
        <v>0</v>
      </c>
      <c r="AS1157">
        <v>0.22195690000000001</v>
      </c>
    </row>
    <row r="1158" spans="1:45" x14ac:dyDescent="0.25">
      <c r="A1158">
        <v>221</v>
      </c>
      <c r="B1158">
        <v>2000</v>
      </c>
      <c r="C1158" s="8">
        <v>0</v>
      </c>
      <c r="D1158">
        <v>0.25711070000000003</v>
      </c>
      <c r="E1158">
        <v>0.19197359999999999</v>
      </c>
      <c r="F1158">
        <v>8.4510100000000005E-2</v>
      </c>
      <c r="G1158">
        <v>0.83255579999999996</v>
      </c>
      <c r="H1158">
        <v>0.39176480000000002</v>
      </c>
      <c r="Q1158" s="10">
        <f t="shared" si="54"/>
        <v>1.1250399772610789E-2</v>
      </c>
      <c r="AI1158">
        <v>0.28693079999999999</v>
      </c>
      <c r="AJ1158">
        <f t="shared" si="55"/>
        <v>0.28693079999999999</v>
      </c>
      <c r="AO1158">
        <v>0.28693079999999999</v>
      </c>
      <c r="AR1158" s="8">
        <v>0</v>
      </c>
      <c r="AS1158">
        <v>6.9915599999999994E-2</v>
      </c>
    </row>
    <row r="1159" spans="1:45" x14ac:dyDescent="0.25">
      <c r="A1159">
        <v>221</v>
      </c>
      <c r="B1159">
        <v>2001</v>
      </c>
      <c r="C1159" s="8">
        <v>0</v>
      </c>
      <c r="D1159">
        <v>0.25713989999999998</v>
      </c>
      <c r="E1159">
        <v>0.18484970000000001</v>
      </c>
      <c r="F1159">
        <v>8.3046700000000001E-2</v>
      </c>
      <c r="G1159">
        <v>0.86722200000000005</v>
      </c>
      <c r="H1159">
        <v>0.38106830000000003</v>
      </c>
      <c r="Q1159" s="10">
        <f t="shared" ref="Q1159:Q1222" si="56">1/(1+EXP(-(J$6+SUMPRODUCT(K$6:O$6,D1159:H1159))))</f>
        <v>1.081621305264616E-2</v>
      </c>
      <c r="AI1159">
        <v>0.27078469999999999</v>
      </c>
      <c r="AJ1159">
        <f t="shared" si="55"/>
        <v>0.27078469999999999</v>
      </c>
      <c r="AO1159">
        <v>0.27078469999999999</v>
      </c>
      <c r="AR1159" s="8">
        <v>0</v>
      </c>
      <c r="AS1159">
        <v>0.80550440000000001</v>
      </c>
    </row>
    <row r="1160" spans="1:45" x14ac:dyDescent="0.25">
      <c r="A1160">
        <v>221</v>
      </c>
      <c r="B1160">
        <v>2002</v>
      </c>
      <c r="C1160" s="8">
        <v>0</v>
      </c>
      <c r="D1160">
        <v>0.28693079999999999</v>
      </c>
      <c r="E1160">
        <v>0.2206051</v>
      </c>
      <c r="F1160">
        <v>6.9198300000000004E-2</v>
      </c>
      <c r="G1160">
        <v>0.59862890000000002</v>
      </c>
      <c r="H1160">
        <v>0.37873620000000002</v>
      </c>
      <c r="Q1160" s="10">
        <f t="shared" si="56"/>
        <v>1.7668932575597266E-2</v>
      </c>
      <c r="AI1160">
        <v>0.23864050000000001</v>
      </c>
      <c r="AJ1160">
        <f t="shared" si="55"/>
        <v>0.23864050000000001</v>
      </c>
      <c r="AO1160">
        <v>0.23864050000000001</v>
      </c>
      <c r="AR1160" s="8">
        <v>0</v>
      </c>
      <c r="AS1160">
        <v>0.83255579999999996</v>
      </c>
    </row>
    <row r="1161" spans="1:45" x14ac:dyDescent="0.25">
      <c r="A1161">
        <v>221</v>
      </c>
      <c r="B1161">
        <v>2003</v>
      </c>
      <c r="C1161" s="8">
        <v>0</v>
      </c>
      <c r="D1161">
        <v>0.27078469999999999</v>
      </c>
      <c r="E1161">
        <v>0.26946819999999999</v>
      </c>
      <c r="F1161">
        <v>8.5833099999999996E-2</v>
      </c>
      <c r="G1161">
        <v>1.0296890000000001</v>
      </c>
      <c r="H1161">
        <v>0.38436439999999999</v>
      </c>
      <c r="Q1161" s="10">
        <f t="shared" si="56"/>
        <v>7.3013416124183645E-3</v>
      </c>
      <c r="AI1161">
        <v>0.19624559999999999</v>
      </c>
      <c r="AJ1161">
        <f t="shared" si="55"/>
        <v>0.19624559999999999</v>
      </c>
      <c r="AO1161">
        <v>0.19624559999999999</v>
      </c>
      <c r="AR1161" s="8">
        <v>0</v>
      </c>
      <c r="AS1161">
        <v>0.86722200000000005</v>
      </c>
    </row>
    <row r="1162" spans="1:45" x14ac:dyDescent="0.25">
      <c r="A1162">
        <v>221</v>
      </c>
      <c r="B1162">
        <v>2004</v>
      </c>
      <c r="C1162" s="8">
        <v>0</v>
      </c>
      <c r="D1162">
        <v>0.23864050000000001</v>
      </c>
      <c r="E1162">
        <v>0.30990459999999997</v>
      </c>
      <c r="F1162">
        <v>8.2111199999999995E-2</v>
      </c>
      <c r="G1162">
        <v>1.122932</v>
      </c>
      <c r="H1162">
        <v>0.37369520000000001</v>
      </c>
      <c r="Q1162" s="10">
        <f t="shared" si="56"/>
        <v>6.0003652554685158E-3</v>
      </c>
      <c r="AI1162">
        <v>0.1073474</v>
      </c>
      <c r="AJ1162">
        <f t="shared" si="55"/>
        <v>0.1073474</v>
      </c>
      <c r="AO1162">
        <v>0.1073474</v>
      </c>
      <c r="AR1162" s="8">
        <v>0</v>
      </c>
      <c r="AS1162">
        <v>0.59862890000000002</v>
      </c>
    </row>
    <row r="1163" spans="1:45" x14ac:dyDescent="0.25">
      <c r="A1163">
        <v>222</v>
      </c>
      <c r="B1163">
        <v>1999</v>
      </c>
      <c r="C1163" s="8">
        <v>0</v>
      </c>
      <c r="D1163">
        <v>0.19624559999999999</v>
      </c>
      <c r="E1163">
        <v>0.45445380000000002</v>
      </c>
      <c r="F1163">
        <v>6.3713900000000004E-2</v>
      </c>
      <c r="G1163">
        <v>1.1834530000000001</v>
      </c>
      <c r="H1163">
        <v>0.39198959999999999</v>
      </c>
      <c r="Q1163" s="10">
        <f t="shared" si="56"/>
        <v>5.0888092542101899E-3</v>
      </c>
      <c r="AI1163">
        <v>0.13958490000000001</v>
      </c>
      <c r="AJ1163">
        <f t="shared" si="55"/>
        <v>0.13958490000000001</v>
      </c>
      <c r="AO1163">
        <v>0.13958490000000001</v>
      </c>
      <c r="AR1163" s="8">
        <v>0</v>
      </c>
      <c r="AS1163">
        <v>1.0296890000000001</v>
      </c>
    </row>
    <row r="1164" spans="1:45" x14ac:dyDescent="0.25">
      <c r="A1164">
        <v>222</v>
      </c>
      <c r="B1164">
        <v>2000</v>
      </c>
      <c r="C1164" s="8">
        <v>0</v>
      </c>
      <c r="D1164">
        <v>0.1073474</v>
      </c>
      <c r="E1164">
        <v>0.43441259999999998</v>
      </c>
      <c r="F1164">
        <v>6.8540199999999996E-2</v>
      </c>
      <c r="G1164">
        <v>1.0076959999999999</v>
      </c>
      <c r="H1164">
        <v>0.34250799999999998</v>
      </c>
      <c r="Q1164" s="10">
        <f t="shared" si="56"/>
        <v>6.2277466693215254E-3</v>
      </c>
      <c r="AI1164">
        <v>8.72227E-2</v>
      </c>
      <c r="AJ1164">
        <f t="shared" si="55"/>
        <v>8.72227E-2</v>
      </c>
      <c r="AO1164">
        <v>8.72227E-2</v>
      </c>
      <c r="AR1164" s="8">
        <v>0</v>
      </c>
      <c r="AS1164">
        <v>1.122932</v>
      </c>
    </row>
    <row r="1165" spans="1:45" x14ac:dyDescent="0.25">
      <c r="A1165">
        <v>222</v>
      </c>
      <c r="B1165">
        <v>2001</v>
      </c>
      <c r="C1165" s="8">
        <v>0</v>
      </c>
      <c r="D1165">
        <v>0.13958490000000001</v>
      </c>
      <c r="E1165">
        <v>0.29352689999999998</v>
      </c>
      <c r="F1165">
        <v>4.6267000000000003E-2</v>
      </c>
      <c r="G1165">
        <v>0.61468210000000001</v>
      </c>
      <c r="H1165">
        <v>0.222497</v>
      </c>
      <c r="Q1165" s="10">
        <f t="shared" si="56"/>
        <v>1.5919111696473497E-2</v>
      </c>
      <c r="AI1165">
        <v>0.1242813</v>
      </c>
      <c r="AJ1165">
        <f t="shared" si="55"/>
        <v>0.1242813</v>
      </c>
      <c r="AO1165">
        <v>0.1242813</v>
      </c>
      <c r="AR1165" s="8">
        <v>0</v>
      </c>
      <c r="AS1165">
        <v>1.1834530000000001</v>
      </c>
    </row>
    <row r="1166" spans="1:45" x14ac:dyDescent="0.25">
      <c r="A1166">
        <v>222</v>
      </c>
      <c r="B1166">
        <v>2002</v>
      </c>
      <c r="C1166" s="8">
        <v>0</v>
      </c>
      <c r="D1166">
        <v>8.72227E-2</v>
      </c>
      <c r="E1166">
        <v>0.32215549999999998</v>
      </c>
      <c r="F1166">
        <v>4.691E-2</v>
      </c>
      <c r="G1166">
        <v>0.89996209999999999</v>
      </c>
      <c r="H1166">
        <v>0.25516929999999999</v>
      </c>
      <c r="Q1166" s="10">
        <f t="shared" si="56"/>
        <v>9.6889873963405936E-3</v>
      </c>
      <c r="AI1166">
        <v>0.28552440000000001</v>
      </c>
      <c r="AJ1166">
        <f t="shared" si="55"/>
        <v>0.28552440000000001</v>
      </c>
      <c r="AO1166">
        <v>0.28552440000000001</v>
      </c>
      <c r="AR1166" s="8">
        <v>0</v>
      </c>
      <c r="AS1166">
        <v>1.0076959999999999</v>
      </c>
    </row>
    <row r="1167" spans="1:45" x14ac:dyDescent="0.25">
      <c r="A1167">
        <v>222</v>
      </c>
      <c r="B1167">
        <v>2003</v>
      </c>
      <c r="C1167" s="8">
        <v>0</v>
      </c>
      <c r="D1167">
        <v>0.1242813</v>
      </c>
      <c r="E1167">
        <v>0.33336199999999999</v>
      </c>
      <c r="F1167">
        <v>3.3655600000000001E-2</v>
      </c>
      <c r="G1167">
        <v>0.94759300000000002</v>
      </c>
      <c r="H1167">
        <v>0.25389250000000002</v>
      </c>
      <c r="Q1167" s="10">
        <f t="shared" si="56"/>
        <v>9.9652145419023147E-3</v>
      </c>
      <c r="AI1167">
        <v>0.263652</v>
      </c>
      <c r="AJ1167">
        <f t="shared" si="55"/>
        <v>0.263652</v>
      </c>
      <c r="AO1167">
        <v>0.263652</v>
      </c>
      <c r="AR1167" s="8">
        <v>0</v>
      </c>
      <c r="AS1167">
        <v>0.61468210000000001</v>
      </c>
    </row>
    <row r="1168" spans="1:45" x14ac:dyDescent="0.25">
      <c r="A1168">
        <v>223</v>
      </c>
      <c r="B1168">
        <v>1999</v>
      </c>
      <c r="C1168" s="8">
        <v>0</v>
      </c>
      <c r="D1168">
        <v>0.28552440000000001</v>
      </c>
      <c r="E1168">
        <v>3.9794200000000002E-2</v>
      </c>
      <c r="F1168">
        <v>6.0269700000000002E-2</v>
      </c>
      <c r="G1168">
        <v>1.8765350000000001</v>
      </c>
      <c r="H1168">
        <v>0.22184960000000001</v>
      </c>
      <c r="Q1168" s="10">
        <f t="shared" si="56"/>
        <v>2.9645242878420714E-3</v>
      </c>
      <c r="AI1168">
        <v>0.23356740000000001</v>
      </c>
      <c r="AJ1168">
        <f t="shared" si="55"/>
        <v>0.23356740000000001</v>
      </c>
      <c r="AO1168">
        <v>0.23356740000000001</v>
      </c>
      <c r="AR1168" s="8">
        <v>0</v>
      </c>
      <c r="AS1168">
        <v>0.89996209999999999</v>
      </c>
    </row>
    <row r="1169" spans="1:45" x14ac:dyDescent="0.25">
      <c r="A1169">
        <v>223</v>
      </c>
      <c r="B1169">
        <v>2000</v>
      </c>
      <c r="C1169" s="8">
        <v>0</v>
      </c>
      <c r="D1169">
        <v>0.263652</v>
      </c>
      <c r="E1169">
        <v>0.1289949</v>
      </c>
      <c r="F1169">
        <v>5.36617E-2</v>
      </c>
      <c r="G1169">
        <v>2.2317089999999999</v>
      </c>
      <c r="H1169">
        <v>0.28086430000000001</v>
      </c>
      <c r="Q1169" s="10">
        <f t="shared" si="56"/>
        <v>1.6043899049404497E-3</v>
      </c>
      <c r="AI1169">
        <v>0.1141863</v>
      </c>
      <c r="AJ1169">
        <f t="shared" si="55"/>
        <v>0.1141863</v>
      </c>
      <c r="AO1169">
        <v>0.1141863</v>
      </c>
      <c r="AR1169" s="8">
        <v>0</v>
      </c>
      <c r="AS1169">
        <v>0.94759300000000002</v>
      </c>
    </row>
    <row r="1170" spans="1:45" x14ac:dyDescent="0.25">
      <c r="A1170">
        <v>224</v>
      </c>
      <c r="B1170">
        <v>1999</v>
      </c>
      <c r="C1170" s="8">
        <v>0</v>
      </c>
      <c r="D1170">
        <v>0.23356740000000001</v>
      </c>
      <c r="E1170">
        <v>0.26134689999999999</v>
      </c>
      <c r="F1170">
        <v>4.3505099999999998E-2</v>
      </c>
      <c r="G1170">
        <v>0.52560099999999998</v>
      </c>
      <c r="H1170">
        <v>0.61288410000000004</v>
      </c>
      <c r="Q1170" s="10">
        <f t="shared" si="56"/>
        <v>2.5769185849592594E-2</v>
      </c>
      <c r="AI1170">
        <v>0.2480994</v>
      </c>
      <c r="AJ1170">
        <f t="shared" si="55"/>
        <v>0.2480994</v>
      </c>
      <c r="AO1170">
        <v>0.2480994</v>
      </c>
      <c r="AR1170" s="8">
        <v>0</v>
      </c>
      <c r="AS1170">
        <v>1.8765350000000001</v>
      </c>
    </row>
    <row r="1171" spans="1:45" x14ac:dyDescent="0.25">
      <c r="A1171">
        <v>224</v>
      </c>
      <c r="B1171">
        <v>2000</v>
      </c>
      <c r="C1171" s="8">
        <v>0</v>
      </c>
      <c r="D1171">
        <v>0.1141863</v>
      </c>
      <c r="E1171">
        <v>8.4666099999999994E-2</v>
      </c>
      <c r="F1171">
        <v>2.2353E-3</v>
      </c>
      <c r="G1171">
        <v>0.52200539999999995</v>
      </c>
      <c r="H1171">
        <v>0.50791470000000005</v>
      </c>
      <c r="Q1171" s="10">
        <f t="shared" si="56"/>
        <v>4.0924365693935559E-2</v>
      </c>
      <c r="AI1171">
        <v>0.2267604</v>
      </c>
      <c r="AJ1171">
        <f t="shared" si="55"/>
        <v>0.2267604</v>
      </c>
      <c r="AO1171">
        <v>0.2267604</v>
      </c>
      <c r="AR1171" s="8">
        <v>0</v>
      </c>
      <c r="AS1171">
        <v>2.2317089999999999</v>
      </c>
    </row>
    <row r="1172" spans="1:45" x14ac:dyDescent="0.25">
      <c r="A1172">
        <v>224</v>
      </c>
      <c r="B1172">
        <v>2001</v>
      </c>
      <c r="C1172" s="8">
        <v>0</v>
      </c>
      <c r="D1172">
        <v>0.2480994</v>
      </c>
      <c r="E1172">
        <v>-8.2766099999999995E-2</v>
      </c>
      <c r="F1172">
        <v>-2.9426999999999999E-3</v>
      </c>
      <c r="G1172">
        <v>0.49451260000000002</v>
      </c>
      <c r="H1172">
        <v>0.63804289999999997</v>
      </c>
      <c r="Q1172" s="10">
        <f t="shared" si="56"/>
        <v>6.3600135107765299E-2</v>
      </c>
      <c r="AI1172">
        <v>0.28998309999999999</v>
      </c>
      <c r="AJ1172">
        <f t="shared" si="55"/>
        <v>0.28998309999999999</v>
      </c>
      <c r="AO1172">
        <v>0.28998309999999999</v>
      </c>
      <c r="AR1172" s="8">
        <v>0</v>
      </c>
      <c r="AS1172">
        <v>0.52560099999999998</v>
      </c>
    </row>
    <row r="1173" spans="1:45" x14ac:dyDescent="0.25">
      <c r="A1173">
        <v>224</v>
      </c>
      <c r="B1173">
        <v>2002</v>
      </c>
      <c r="C1173" s="8">
        <v>0</v>
      </c>
      <c r="D1173">
        <v>0.2267604</v>
      </c>
      <c r="E1173">
        <v>-0.16681499999999999</v>
      </c>
      <c r="F1173">
        <v>-1.6524299999999999E-2</v>
      </c>
      <c r="G1173">
        <v>0.25244539999999999</v>
      </c>
      <c r="H1173">
        <v>0.64432639999999997</v>
      </c>
      <c r="Q1173" s="10">
        <f t="shared" si="56"/>
        <v>0.11127631035320991</v>
      </c>
      <c r="AI1173">
        <v>0.14914350000000001</v>
      </c>
      <c r="AJ1173">
        <f t="shared" si="55"/>
        <v>0.14914350000000001</v>
      </c>
      <c r="AO1173">
        <v>0.14914350000000001</v>
      </c>
      <c r="AR1173" s="8">
        <v>0</v>
      </c>
      <c r="AS1173">
        <v>0.52200539999999995</v>
      </c>
    </row>
    <row r="1174" spans="1:45" x14ac:dyDescent="0.25">
      <c r="A1174">
        <v>224</v>
      </c>
      <c r="B1174">
        <v>2003</v>
      </c>
      <c r="C1174" s="8">
        <v>0</v>
      </c>
      <c r="D1174">
        <v>0.28998309999999999</v>
      </c>
      <c r="E1174">
        <v>-0.14552409999999999</v>
      </c>
      <c r="F1174">
        <v>4.3287800000000001E-2</v>
      </c>
      <c r="G1174">
        <v>0.71910370000000001</v>
      </c>
      <c r="H1174">
        <v>0.6789809</v>
      </c>
      <c r="Q1174" s="10">
        <f t="shared" si="56"/>
        <v>3.6153556064619681E-2</v>
      </c>
      <c r="AI1174">
        <v>0.140843</v>
      </c>
      <c r="AJ1174">
        <f t="shared" si="55"/>
        <v>0.140843</v>
      </c>
      <c r="AO1174">
        <v>0.140843</v>
      </c>
      <c r="AR1174" s="8">
        <v>0</v>
      </c>
      <c r="AS1174">
        <v>0.49451260000000002</v>
      </c>
    </row>
    <row r="1175" spans="1:45" x14ac:dyDescent="0.25">
      <c r="A1175">
        <v>225</v>
      </c>
      <c r="B1175">
        <v>1999</v>
      </c>
      <c r="C1175" s="8">
        <v>0</v>
      </c>
      <c r="D1175">
        <v>0.14914350000000001</v>
      </c>
      <c r="E1175">
        <v>2.4149400000000001E-2</v>
      </c>
      <c r="F1175">
        <v>4.6677400000000001E-2</v>
      </c>
      <c r="G1175">
        <v>0.1711772</v>
      </c>
      <c r="H1175">
        <v>1.0070479999999999</v>
      </c>
      <c r="Q1175" s="10">
        <f t="shared" si="56"/>
        <v>7.317847671071262E-2</v>
      </c>
      <c r="AI1175">
        <v>0.16062760000000001</v>
      </c>
      <c r="AJ1175">
        <f t="shared" si="55"/>
        <v>0.16062760000000001</v>
      </c>
      <c r="AO1175">
        <v>0.16062760000000001</v>
      </c>
      <c r="AR1175" s="8">
        <v>0</v>
      </c>
      <c r="AS1175">
        <v>0.25244539999999999</v>
      </c>
    </row>
    <row r="1176" spans="1:45" x14ac:dyDescent="0.25">
      <c r="A1176">
        <v>225</v>
      </c>
      <c r="B1176">
        <v>2000</v>
      </c>
      <c r="C1176" s="8">
        <v>0</v>
      </c>
      <c r="D1176">
        <v>0.140843</v>
      </c>
      <c r="E1176">
        <v>-1.8039099999999999E-2</v>
      </c>
      <c r="F1176">
        <v>4.4848199999999998E-2</v>
      </c>
      <c r="G1176">
        <v>0.17897060000000001</v>
      </c>
      <c r="H1176">
        <v>1.1056619999999999</v>
      </c>
      <c r="Q1176" s="10">
        <f t="shared" si="56"/>
        <v>8.1838095282006029E-2</v>
      </c>
      <c r="AI1176">
        <v>0.25987270000000001</v>
      </c>
      <c r="AJ1176">
        <f t="shared" si="55"/>
        <v>0.25987270000000001</v>
      </c>
      <c r="AO1176">
        <v>0.25987270000000001</v>
      </c>
      <c r="AR1176" s="8">
        <v>0</v>
      </c>
      <c r="AS1176">
        <v>0.71910370000000001</v>
      </c>
    </row>
    <row r="1177" spans="1:45" x14ac:dyDescent="0.25">
      <c r="A1177">
        <v>225</v>
      </c>
      <c r="B1177">
        <v>2001</v>
      </c>
      <c r="C1177" s="8">
        <v>0</v>
      </c>
      <c r="D1177">
        <v>0.16062760000000001</v>
      </c>
      <c r="E1177">
        <v>-1.96016E-2</v>
      </c>
      <c r="F1177">
        <v>3.6512700000000002E-2</v>
      </c>
      <c r="G1177">
        <v>0.29027789999999998</v>
      </c>
      <c r="H1177">
        <v>0.98858429999999997</v>
      </c>
      <c r="Q1177" s="10">
        <f t="shared" si="56"/>
        <v>6.9757630297191633E-2</v>
      </c>
      <c r="AI1177">
        <v>0.25073679999999998</v>
      </c>
      <c r="AJ1177">
        <f t="shared" si="55"/>
        <v>0.25073679999999998</v>
      </c>
      <c r="AO1177">
        <v>0.25073679999999998</v>
      </c>
      <c r="AR1177" s="8">
        <v>0</v>
      </c>
      <c r="AS1177">
        <v>0.1711772</v>
      </c>
    </row>
    <row r="1178" spans="1:45" x14ac:dyDescent="0.25">
      <c r="A1178">
        <v>226</v>
      </c>
      <c r="B1178">
        <v>2004</v>
      </c>
      <c r="C1178" s="8">
        <v>0</v>
      </c>
      <c r="D1178">
        <v>0.25987270000000001</v>
      </c>
      <c r="E1178">
        <v>0.2505638</v>
      </c>
      <c r="F1178">
        <v>4.8980099999999999E-2</v>
      </c>
      <c r="G1178">
        <v>1.738982</v>
      </c>
      <c r="H1178">
        <v>0.70533319999999999</v>
      </c>
      <c r="Q1178" s="10">
        <f t="shared" si="56"/>
        <v>3.965980231247156E-3</v>
      </c>
      <c r="AI1178">
        <v>1.7285399999999999E-2</v>
      </c>
      <c r="AJ1178">
        <f t="shared" si="55"/>
        <v>1.7285399999999999E-2</v>
      </c>
      <c r="AO1178">
        <v>1.7285399999999999E-2</v>
      </c>
      <c r="AR1178" s="8">
        <v>0</v>
      </c>
      <c r="AS1178">
        <v>0.17897060000000001</v>
      </c>
    </row>
    <row r="1179" spans="1:45" x14ac:dyDescent="0.25">
      <c r="A1179">
        <v>227</v>
      </c>
      <c r="B1179">
        <v>1998</v>
      </c>
      <c r="C1179" s="8">
        <v>0</v>
      </c>
      <c r="D1179">
        <v>0.25073679999999998</v>
      </c>
      <c r="E1179">
        <v>0.21884919999999999</v>
      </c>
      <c r="F1179">
        <v>8.1036899999999995E-2</v>
      </c>
      <c r="G1179">
        <v>0.95010240000000001</v>
      </c>
      <c r="H1179">
        <v>0.39380609999999999</v>
      </c>
      <c r="Q1179" s="10">
        <f t="shared" si="56"/>
        <v>9.2299334540023696E-3</v>
      </c>
      <c r="AI1179">
        <v>2.9708700000000001E-2</v>
      </c>
      <c r="AJ1179">
        <f t="shared" si="55"/>
        <v>2.9708700000000001E-2</v>
      </c>
      <c r="AO1179">
        <v>2.9708700000000001E-2</v>
      </c>
      <c r="AR1179" s="8">
        <v>0</v>
      </c>
      <c r="AS1179">
        <v>0.29027789999999998</v>
      </c>
    </row>
    <row r="1180" spans="1:45" x14ac:dyDescent="0.25">
      <c r="A1180">
        <v>228</v>
      </c>
      <c r="B1180">
        <v>1999</v>
      </c>
      <c r="C1180" s="8">
        <v>0</v>
      </c>
      <c r="D1180">
        <v>1.7285399999999999E-2</v>
      </c>
      <c r="E1180">
        <v>-0.47103469999999997</v>
      </c>
      <c r="F1180">
        <v>4.3435500000000002E-2</v>
      </c>
      <c r="G1180">
        <v>1.498699</v>
      </c>
      <c r="H1180">
        <v>0.15488859999999999</v>
      </c>
      <c r="Q1180" s="10">
        <f t="shared" si="56"/>
        <v>1.1083057478986526E-2</v>
      </c>
      <c r="AI1180">
        <v>1.15639E-2</v>
      </c>
      <c r="AJ1180">
        <f t="shared" si="55"/>
        <v>1.15639E-2</v>
      </c>
      <c r="AO1180">
        <v>1.15639E-2</v>
      </c>
      <c r="AR1180" s="8">
        <v>0</v>
      </c>
      <c r="AS1180">
        <v>1.738982</v>
      </c>
    </row>
    <row r="1181" spans="1:45" x14ac:dyDescent="0.25">
      <c r="A1181">
        <v>228</v>
      </c>
      <c r="B1181">
        <v>2000</v>
      </c>
      <c r="C1181" s="8">
        <v>0</v>
      </c>
      <c r="D1181">
        <v>2.9708700000000001E-2</v>
      </c>
      <c r="E1181">
        <v>-0.1411925</v>
      </c>
      <c r="F1181">
        <v>0.1074794</v>
      </c>
      <c r="G1181">
        <v>2.044165</v>
      </c>
      <c r="H1181">
        <v>0.35272500000000001</v>
      </c>
      <c r="Q1181" s="10">
        <f t="shared" si="56"/>
        <v>1.9762398977445786E-3</v>
      </c>
      <c r="AI1181">
        <v>-2.6069999999999999E-4</v>
      </c>
      <c r="AJ1181">
        <f t="shared" si="55"/>
        <v>-2.6069999999999999E-4</v>
      </c>
      <c r="AO1181">
        <v>-2.6069999999999999E-4</v>
      </c>
      <c r="AR1181" s="8">
        <v>0</v>
      </c>
      <c r="AS1181">
        <v>0.95010240000000001</v>
      </c>
    </row>
    <row r="1182" spans="1:45" x14ac:dyDescent="0.25">
      <c r="A1182">
        <v>228</v>
      </c>
      <c r="B1182">
        <v>2001</v>
      </c>
      <c r="C1182" s="8">
        <v>0</v>
      </c>
      <c r="D1182">
        <v>1.15639E-2</v>
      </c>
      <c r="E1182">
        <v>-5.5037500000000003E-2</v>
      </c>
      <c r="F1182">
        <v>3.9044700000000002E-2</v>
      </c>
      <c r="G1182">
        <v>1.539123</v>
      </c>
      <c r="H1182">
        <v>0.14188239999999999</v>
      </c>
      <c r="Q1182" s="10">
        <f t="shared" si="56"/>
        <v>5.8480044361293006E-3</v>
      </c>
      <c r="AI1182">
        <v>8.6406999999999994E-3</v>
      </c>
      <c r="AJ1182">
        <f t="shared" si="55"/>
        <v>8.6406999999999994E-3</v>
      </c>
      <c r="AO1182">
        <v>8.6406999999999994E-3</v>
      </c>
      <c r="AR1182" s="8">
        <v>0</v>
      </c>
      <c r="AS1182">
        <v>1.498699</v>
      </c>
    </row>
    <row r="1183" spans="1:45" x14ac:dyDescent="0.25">
      <c r="A1183">
        <v>228</v>
      </c>
      <c r="B1183">
        <v>2002</v>
      </c>
      <c r="C1183" s="8">
        <v>0</v>
      </c>
      <c r="D1183">
        <v>-2.6069999999999999E-4</v>
      </c>
      <c r="E1183">
        <v>-7.1995799999999999E-2</v>
      </c>
      <c r="F1183">
        <v>3.2391099999999999E-2</v>
      </c>
      <c r="G1183">
        <v>1.3128820000000001</v>
      </c>
      <c r="H1183">
        <v>9.4525999999999999E-2</v>
      </c>
      <c r="Q1183" s="10">
        <f t="shared" si="56"/>
        <v>8.735200485784524E-3</v>
      </c>
      <c r="AI1183">
        <v>1.5336600000000001E-2</v>
      </c>
      <c r="AJ1183">
        <f t="shared" si="55"/>
        <v>1.5336600000000001E-2</v>
      </c>
      <c r="AO1183">
        <v>1.5336600000000001E-2</v>
      </c>
      <c r="AR1183" s="8">
        <v>0</v>
      </c>
      <c r="AS1183">
        <v>2.044165</v>
      </c>
    </row>
    <row r="1184" spans="1:45" x14ac:dyDescent="0.25">
      <c r="A1184">
        <v>228</v>
      </c>
      <c r="B1184">
        <v>2003</v>
      </c>
      <c r="C1184" s="8">
        <v>0</v>
      </c>
      <c r="D1184">
        <v>8.6406999999999994E-3</v>
      </c>
      <c r="E1184">
        <v>1.6154200000000001E-2</v>
      </c>
      <c r="F1184">
        <v>2.92917E-2</v>
      </c>
      <c r="G1184">
        <v>1.0499769999999999</v>
      </c>
      <c r="H1184">
        <v>8.7423799999999996E-2</v>
      </c>
      <c r="Q1184" s="10">
        <f t="shared" si="56"/>
        <v>1.1929387749052126E-2</v>
      </c>
      <c r="AI1184">
        <v>-0.1052575</v>
      </c>
      <c r="AJ1184">
        <f t="shared" si="55"/>
        <v>-0.1052575</v>
      </c>
      <c r="AO1184">
        <v>-0.1052575</v>
      </c>
      <c r="AR1184" s="8">
        <v>0</v>
      </c>
      <c r="AS1184">
        <v>1.539123</v>
      </c>
    </row>
    <row r="1185" spans="1:45" x14ac:dyDescent="0.25">
      <c r="A1185">
        <v>228</v>
      </c>
      <c r="B1185">
        <v>2004</v>
      </c>
      <c r="C1185" s="8">
        <v>0</v>
      </c>
      <c r="D1185">
        <v>1.5336600000000001E-2</v>
      </c>
      <c r="E1185">
        <v>6.5827700000000003E-2</v>
      </c>
      <c r="F1185">
        <v>6.0305600000000001E-2</v>
      </c>
      <c r="G1185">
        <v>1.1645049999999999</v>
      </c>
      <c r="H1185">
        <v>0.1115415</v>
      </c>
      <c r="Q1185" s="10">
        <f t="shared" si="56"/>
        <v>7.3779968850737768E-3</v>
      </c>
      <c r="AI1185">
        <v>3.7511599999999999E-2</v>
      </c>
      <c r="AJ1185">
        <f t="shared" si="55"/>
        <v>3.7511599999999999E-2</v>
      </c>
      <c r="AO1185">
        <v>3.7511599999999999E-2</v>
      </c>
      <c r="AR1185" s="8">
        <v>0</v>
      </c>
      <c r="AS1185">
        <v>1.3128820000000001</v>
      </c>
    </row>
    <row r="1186" spans="1:45" x14ac:dyDescent="0.25">
      <c r="A1186">
        <v>229</v>
      </c>
      <c r="B1186">
        <v>1999</v>
      </c>
      <c r="C1186" s="8">
        <v>0</v>
      </c>
      <c r="D1186">
        <v>-0.1052575</v>
      </c>
      <c r="E1186">
        <v>0.1126226</v>
      </c>
      <c r="F1186">
        <v>5.06828E-2</v>
      </c>
      <c r="G1186">
        <v>1.741544</v>
      </c>
      <c r="H1186">
        <v>0.16118650000000001</v>
      </c>
      <c r="Q1186" s="10">
        <f t="shared" si="56"/>
        <v>2.9245418692664393E-3</v>
      </c>
      <c r="AI1186">
        <v>4.92726E-2</v>
      </c>
      <c r="AJ1186">
        <f t="shared" si="55"/>
        <v>4.92726E-2</v>
      </c>
      <c r="AO1186">
        <v>4.92726E-2</v>
      </c>
      <c r="AR1186" s="8">
        <v>0</v>
      </c>
      <c r="AS1186">
        <v>1.0499769999999999</v>
      </c>
    </row>
    <row r="1187" spans="1:45" x14ac:dyDescent="0.25">
      <c r="A1187">
        <v>230</v>
      </c>
      <c r="B1187">
        <v>1999</v>
      </c>
      <c r="C1187" s="8">
        <v>0</v>
      </c>
      <c r="D1187">
        <v>3.7511599999999999E-2</v>
      </c>
      <c r="E1187">
        <v>0.64537109999999998</v>
      </c>
      <c r="F1187">
        <v>9.3454999999999996E-2</v>
      </c>
      <c r="G1187">
        <v>5.2254889999999996</v>
      </c>
      <c r="H1187">
        <v>0.18857199999999999</v>
      </c>
      <c r="Q1187" s="10">
        <f t="shared" si="56"/>
        <v>4.0196413996507351E-6</v>
      </c>
      <c r="AI1187">
        <v>4.0454900000000002E-2</v>
      </c>
      <c r="AJ1187">
        <f t="shared" si="55"/>
        <v>4.0454900000000002E-2</v>
      </c>
      <c r="AO1187">
        <v>4.0454900000000002E-2</v>
      </c>
      <c r="AR1187" s="8">
        <v>0</v>
      </c>
      <c r="AS1187">
        <v>1.1645049999999999</v>
      </c>
    </row>
    <row r="1188" spans="1:45" x14ac:dyDescent="0.25">
      <c r="A1188">
        <v>230</v>
      </c>
      <c r="B1188">
        <v>2000</v>
      </c>
      <c r="C1188" s="8">
        <v>0</v>
      </c>
      <c r="D1188">
        <v>4.92726E-2</v>
      </c>
      <c r="E1188">
        <v>0.56679710000000005</v>
      </c>
      <c r="F1188">
        <v>7.8808799999999998E-2</v>
      </c>
      <c r="G1188">
        <v>2.1404830000000001</v>
      </c>
      <c r="H1188">
        <v>0.18836230000000001</v>
      </c>
      <c r="Q1188" s="10">
        <f t="shared" si="56"/>
        <v>6.942954926435986E-4</v>
      </c>
      <c r="AI1188">
        <v>3.74957E-2</v>
      </c>
      <c r="AJ1188">
        <f t="shared" si="55"/>
        <v>3.74957E-2</v>
      </c>
      <c r="AO1188">
        <v>3.74957E-2</v>
      </c>
      <c r="AR1188" s="8">
        <v>0</v>
      </c>
      <c r="AS1188">
        <v>1.741544</v>
      </c>
    </row>
    <row r="1189" spans="1:45" x14ac:dyDescent="0.25">
      <c r="A1189">
        <v>230</v>
      </c>
      <c r="B1189">
        <v>2001</v>
      </c>
      <c r="C1189" s="8">
        <v>0</v>
      </c>
      <c r="D1189">
        <v>4.0454900000000002E-2</v>
      </c>
      <c r="E1189">
        <v>0.59443710000000005</v>
      </c>
      <c r="F1189">
        <v>5.5545799999999999E-2</v>
      </c>
      <c r="G1189">
        <v>2.4480719999999998</v>
      </c>
      <c r="H1189">
        <v>0.15302009999999999</v>
      </c>
      <c r="Q1189" s="10">
        <f t="shared" si="56"/>
        <v>4.7975567337990864E-4</v>
      </c>
      <c r="AI1189">
        <v>4.3627899999999997E-2</v>
      </c>
      <c r="AJ1189">
        <f t="shared" si="55"/>
        <v>4.3627899999999997E-2</v>
      </c>
      <c r="AO1189">
        <v>4.3627899999999997E-2</v>
      </c>
      <c r="AR1189" s="8">
        <v>0</v>
      </c>
      <c r="AS1189">
        <v>5.2254889999999996</v>
      </c>
    </row>
    <row r="1190" spans="1:45" x14ac:dyDescent="0.25">
      <c r="A1190">
        <v>230</v>
      </c>
      <c r="B1190">
        <v>2002</v>
      </c>
      <c r="C1190" s="8">
        <v>0</v>
      </c>
      <c r="D1190">
        <v>3.74957E-2</v>
      </c>
      <c r="E1190">
        <v>0.64534360000000002</v>
      </c>
      <c r="F1190">
        <v>7.4436299999999997E-2</v>
      </c>
      <c r="G1190">
        <v>2.850533</v>
      </c>
      <c r="H1190">
        <v>0.1507975</v>
      </c>
      <c r="Q1190" s="10">
        <f t="shared" si="56"/>
        <v>2.0123372761328043E-4</v>
      </c>
      <c r="AI1190">
        <v>4.8661700000000002E-2</v>
      </c>
      <c r="AJ1190">
        <f t="shared" si="55"/>
        <v>4.8661700000000002E-2</v>
      </c>
      <c r="AO1190">
        <v>4.8661700000000002E-2</v>
      </c>
      <c r="AR1190" s="8">
        <v>0</v>
      </c>
      <c r="AS1190">
        <v>2.1404830000000001</v>
      </c>
    </row>
    <row r="1191" spans="1:45" x14ac:dyDescent="0.25">
      <c r="A1191">
        <v>230</v>
      </c>
      <c r="B1191">
        <v>2003</v>
      </c>
      <c r="C1191" s="8">
        <v>0</v>
      </c>
      <c r="D1191">
        <v>4.3627899999999997E-2</v>
      </c>
      <c r="E1191">
        <v>0.68679140000000005</v>
      </c>
      <c r="F1191">
        <v>6.5791699999999995E-2</v>
      </c>
      <c r="G1191">
        <v>3.8872819999999999</v>
      </c>
      <c r="H1191">
        <v>0.14189189999999999</v>
      </c>
      <c r="Q1191" s="10">
        <f t="shared" si="56"/>
        <v>3.8798329181390612E-5</v>
      </c>
      <c r="AI1191">
        <v>0.1331135</v>
      </c>
      <c r="AJ1191">
        <f t="shared" si="55"/>
        <v>0.1331135</v>
      </c>
      <c r="AO1191">
        <v>0.1331135</v>
      </c>
      <c r="AR1191" s="8">
        <v>0</v>
      </c>
      <c r="AS1191">
        <v>2.4480719999999998</v>
      </c>
    </row>
    <row r="1192" spans="1:45" x14ac:dyDescent="0.25">
      <c r="A1192">
        <v>230</v>
      </c>
      <c r="B1192">
        <v>2004</v>
      </c>
      <c r="C1192" s="8">
        <v>0</v>
      </c>
      <c r="D1192">
        <v>4.8661700000000002E-2</v>
      </c>
      <c r="E1192">
        <v>0.74567349999999999</v>
      </c>
      <c r="F1192">
        <v>7.1960499999999997E-2</v>
      </c>
      <c r="G1192">
        <v>2.916207</v>
      </c>
      <c r="H1192">
        <v>0.17167460000000001</v>
      </c>
      <c r="Q1192" s="10">
        <f t="shared" si="56"/>
        <v>1.6260686333049624E-4</v>
      </c>
      <c r="AI1192">
        <v>8.1826999999999993E-3</v>
      </c>
      <c r="AJ1192">
        <f t="shared" si="55"/>
        <v>8.1826999999999993E-3</v>
      </c>
      <c r="AO1192">
        <v>8.1826999999999993E-3</v>
      </c>
      <c r="AR1192" s="8">
        <v>0</v>
      </c>
      <c r="AS1192">
        <v>2.850533</v>
      </c>
    </row>
    <row r="1193" spans="1:45" x14ac:dyDescent="0.25">
      <c r="A1193">
        <v>231</v>
      </c>
      <c r="B1193">
        <v>1999</v>
      </c>
      <c r="C1193" s="8">
        <v>0</v>
      </c>
      <c r="D1193">
        <v>0.1331135</v>
      </c>
      <c r="E1193">
        <v>0.82356320000000005</v>
      </c>
      <c r="F1193">
        <v>0.15677430000000001</v>
      </c>
      <c r="G1193">
        <v>12.89359</v>
      </c>
      <c r="H1193">
        <v>0.77723260000000005</v>
      </c>
      <c r="Q1193" s="10">
        <f t="shared" si="56"/>
        <v>1.3814215091454221E-11</v>
      </c>
      <c r="AI1193">
        <v>0.159413</v>
      </c>
      <c r="AJ1193">
        <f t="shared" si="55"/>
        <v>0.159413</v>
      </c>
      <c r="AO1193">
        <v>0.159413</v>
      </c>
      <c r="AR1193" s="8">
        <v>0</v>
      </c>
      <c r="AS1193">
        <v>3.8872819999999999</v>
      </c>
    </row>
    <row r="1194" spans="1:45" x14ac:dyDescent="0.25">
      <c r="A1194">
        <v>231</v>
      </c>
      <c r="B1194">
        <v>2000</v>
      </c>
      <c r="C1194" s="8">
        <v>0</v>
      </c>
      <c r="D1194">
        <v>8.1826999999999993E-3</v>
      </c>
      <c r="E1194">
        <v>0.74877419999999995</v>
      </c>
      <c r="F1194">
        <v>8.1694699999999995E-2</v>
      </c>
      <c r="G1194">
        <v>6.8036409999999998</v>
      </c>
      <c r="H1194">
        <v>0.66422000000000003</v>
      </c>
      <c r="Q1194" s="10">
        <f t="shared" si="56"/>
        <v>4.076275994796912E-7</v>
      </c>
      <c r="AI1194">
        <v>0.33142779999999999</v>
      </c>
      <c r="AJ1194">
        <f t="shared" si="55"/>
        <v>0.33142779999999999</v>
      </c>
      <c r="AO1194">
        <v>0.33142779999999999</v>
      </c>
      <c r="AR1194" s="8">
        <v>0</v>
      </c>
      <c r="AS1194">
        <v>2.916207</v>
      </c>
    </row>
    <row r="1195" spans="1:45" x14ac:dyDescent="0.25">
      <c r="A1195">
        <v>231</v>
      </c>
      <c r="B1195">
        <v>2001</v>
      </c>
      <c r="C1195" s="8">
        <v>0</v>
      </c>
      <c r="D1195">
        <v>0.159413</v>
      </c>
      <c r="E1195">
        <v>0.66484739999999998</v>
      </c>
      <c r="F1195">
        <v>3.0783999999999999E-2</v>
      </c>
      <c r="G1195">
        <v>2.6943860000000002</v>
      </c>
      <c r="H1195">
        <v>0.56856859999999998</v>
      </c>
      <c r="Q1195" s="10">
        <f t="shared" si="56"/>
        <v>4.8456919058020447E-4</v>
      </c>
      <c r="AI1195">
        <v>0.45235009999999998</v>
      </c>
      <c r="AJ1195">
        <f t="shared" si="55"/>
        <v>0.45235009999999998</v>
      </c>
      <c r="AO1195">
        <v>0.45235009999999998</v>
      </c>
      <c r="AR1195" s="8">
        <v>0</v>
      </c>
      <c r="AS1195">
        <v>12.89359</v>
      </c>
    </row>
    <row r="1196" spans="1:45" x14ac:dyDescent="0.25">
      <c r="A1196">
        <v>231</v>
      </c>
      <c r="B1196">
        <v>2002</v>
      </c>
      <c r="C1196" s="8">
        <v>0</v>
      </c>
      <c r="D1196">
        <v>0.33142779999999999</v>
      </c>
      <c r="E1196">
        <v>0.56211359999999999</v>
      </c>
      <c r="F1196">
        <v>7.9987799999999998E-2</v>
      </c>
      <c r="G1196">
        <v>2.0988820000000001</v>
      </c>
      <c r="H1196">
        <v>0.49551840000000003</v>
      </c>
      <c r="Q1196" s="10">
        <f t="shared" si="56"/>
        <v>1.0057959290677698E-3</v>
      </c>
      <c r="AI1196">
        <v>0.42739470000000002</v>
      </c>
      <c r="AJ1196">
        <f t="shared" si="55"/>
        <v>0.42739470000000002</v>
      </c>
      <c r="AO1196">
        <v>0.42739470000000002</v>
      </c>
      <c r="AR1196" s="8">
        <v>0</v>
      </c>
      <c r="AS1196">
        <v>6.8036409999999998</v>
      </c>
    </row>
    <row r="1197" spans="1:45" x14ac:dyDescent="0.25">
      <c r="A1197">
        <v>231</v>
      </c>
      <c r="B1197">
        <v>2003</v>
      </c>
      <c r="C1197" s="8">
        <v>0</v>
      </c>
      <c r="D1197">
        <v>0.45235009999999998</v>
      </c>
      <c r="E1197">
        <v>0.64053139999999997</v>
      </c>
      <c r="F1197">
        <v>9.0697899999999998E-2</v>
      </c>
      <c r="G1197">
        <v>3.0224169999999999</v>
      </c>
      <c r="H1197">
        <v>0.50805690000000003</v>
      </c>
      <c r="Q1197" s="10">
        <f t="shared" si="56"/>
        <v>2.0049479062794073E-4</v>
      </c>
      <c r="AI1197">
        <v>2.03857E-2</v>
      </c>
      <c r="AJ1197">
        <f t="shared" si="55"/>
        <v>2.03857E-2</v>
      </c>
      <c r="AO1197">
        <v>2.03857E-2</v>
      </c>
      <c r="AR1197" s="8">
        <v>0</v>
      </c>
      <c r="AS1197">
        <v>2.6943860000000002</v>
      </c>
    </row>
    <row r="1198" spans="1:45" x14ac:dyDescent="0.25">
      <c r="A1198">
        <v>231</v>
      </c>
      <c r="B1198">
        <v>2004</v>
      </c>
      <c r="C1198" s="8">
        <v>0</v>
      </c>
      <c r="D1198">
        <v>0.42739470000000002</v>
      </c>
      <c r="E1198">
        <v>0.7380757</v>
      </c>
      <c r="F1198">
        <v>8.6992299999999995E-2</v>
      </c>
      <c r="G1198">
        <v>3.7936550000000002</v>
      </c>
      <c r="H1198">
        <v>0.52355799999999997</v>
      </c>
      <c r="Q1198" s="10">
        <f t="shared" si="56"/>
        <v>5.2403366486598426E-5</v>
      </c>
      <c r="AI1198">
        <v>4.6830799999999999E-2</v>
      </c>
      <c r="AJ1198">
        <f t="shared" si="55"/>
        <v>4.6830799999999999E-2</v>
      </c>
      <c r="AO1198">
        <v>4.6830799999999999E-2</v>
      </c>
      <c r="AR1198" s="8">
        <v>0</v>
      </c>
      <c r="AS1198">
        <v>2.0988820000000001</v>
      </c>
    </row>
    <row r="1199" spans="1:45" x14ac:dyDescent="0.25">
      <c r="A1199">
        <v>232</v>
      </c>
      <c r="B1199">
        <v>1999</v>
      </c>
      <c r="C1199" s="8">
        <v>0</v>
      </c>
      <c r="D1199">
        <v>2.03857E-2</v>
      </c>
      <c r="E1199">
        <v>8.1238099999999994E-2</v>
      </c>
      <c r="F1199">
        <v>3.9634299999999997E-2</v>
      </c>
      <c r="G1199">
        <v>0.42531350000000001</v>
      </c>
      <c r="H1199">
        <v>0.24467559999999999</v>
      </c>
      <c r="Q1199" s="10">
        <f t="shared" si="56"/>
        <v>2.9416712365667532E-2</v>
      </c>
      <c r="AI1199">
        <v>1.35128E-2</v>
      </c>
      <c r="AJ1199">
        <f t="shared" si="55"/>
        <v>1.35128E-2</v>
      </c>
      <c r="AO1199">
        <v>1.35128E-2</v>
      </c>
      <c r="AR1199" s="8">
        <v>0</v>
      </c>
      <c r="AS1199">
        <v>3.0224169999999999</v>
      </c>
    </row>
    <row r="1200" spans="1:45" x14ac:dyDescent="0.25">
      <c r="A1200">
        <v>232</v>
      </c>
      <c r="B1200">
        <v>2000</v>
      </c>
      <c r="C1200" s="8">
        <v>0</v>
      </c>
      <c r="D1200">
        <v>4.6830799999999999E-2</v>
      </c>
      <c r="E1200">
        <v>0.18611069999999999</v>
      </c>
      <c r="F1200">
        <v>5.2357800000000003E-2</v>
      </c>
      <c r="G1200">
        <v>0.33026450000000002</v>
      </c>
      <c r="H1200">
        <v>0.2294592</v>
      </c>
      <c r="Q1200" s="10">
        <f t="shared" si="56"/>
        <v>2.6659227620768149E-2</v>
      </c>
      <c r="AI1200">
        <v>4.8947600000000001E-2</v>
      </c>
      <c r="AJ1200">
        <f t="shared" si="55"/>
        <v>4.8947600000000001E-2</v>
      </c>
      <c r="AO1200">
        <v>4.8947600000000001E-2</v>
      </c>
      <c r="AR1200" s="8">
        <v>0</v>
      </c>
      <c r="AS1200">
        <v>3.7936550000000002</v>
      </c>
    </row>
    <row r="1201" spans="1:45" x14ac:dyDescent="0.25">
      <c r="A1201">
        <v>232</v>
      </c>
      <c r="B1201">
        <v>2001</v>
      </c>
      <c r="C1201" s="8">
        <v>0</v>
      </c>
      <c r="D1201">
        <v>1.35128E-2</v>
      </c>
      <c r="E1201">
        <v>0.23279140000000001</v>
      </c>
      <c r="F1201">
        <v>6.8621100000000004E-2</v>
      </c>
      <c r="G1201">
        <v>0.51149699999999998</v>
      </c>
      <c r="H1201">
        <v>0.26799099999999998</v>
      </c>
      <c r="Q1201" s="10">
        <f t="shared" si="56"/>
        <v>1.6719748677217032E-2</v>
      </c>
      <c r="AI1201">
        <v>5.9157300000000003E-2</v>
      </c>
      <c r="AJ1201">
        <f t="shared" si="55"/>
        <v>5.9157300000000003E-2</v>
      </c>
      <c r="AO1201">
        <v>5.9157300000000003E-2</v>
      </c>
      <c r="AR1201" s="8">
        <v>0</v>
      </c>
      <c r="AS1201">
        <v>0.42531350000000001</v>
      </c>
    </row>
    <row r="1202" spans="1:45" x14ac:dyDescent="0.25">
      <c r="A1202">
        <v>232</v>
      </c>
      <c r="B1202">
        <v>2002</v>
      </c>
      <c r="C1202" s="8">
        <v>0</v>
      </c>
      <c r="D1202">
        <v>4.8947600000000001E-2</v>
      </c>
      <c r="E1202">
        <v>0.23914270000000001</v>
      </c>
      <c r="F1202">
        <v>4.8816499999999999E-2</v>
      </c>
      <c r="G1202">
        <v>0.30671530000000002</v>
      </c>
      <c r="H1202">
        <v>0.2130058</v>
      </c>
      <c r="Q1202" s="10">
        <f t="shared" si="56"/>
        <v>2.6130530052321185E-2</v>
      </c>
      <c r="AI1202">
        <v>0.12502840000000001</v>
      </c>
      <c r="AJ1202">
        <f t="shared" si="55"/>
        <v>0.12502840000000001</v>
      </c>
      <c r="AO1202">
        <v>0.12502840000000001</v>
      </c>
      <c r="AR1202" s="8">
        <v>0</v>
      </c>
      <c r="AS1202">
        <v>0.33026450000000002</v>
      </c>
    </row>
    <row r="1203" spans="1:45" x14ac:dyDescent="0.25">
      <c r="A1203">
        <v>232</v>
      </c>
      <c r="B1203">
        <v>2003</v>
      </c>
      <c r="C1203" s="8">
        <v>0</v>
      </c>
      <c r="D1203">
        <v>5.9157300000000003E-2</v>
      </c>
      <c r="E1203">
        <v>0.23273769999999999</v>
      </c>
      <c r="F1203">
        <v>3.2747400000000003E-2</v>
      </c>
      <c r="G1203">
        <v>0.34379939999999998</v>
      </c>
      <c r="H1203">
        <v>7.0168999999999995E-2</v>
      </c>
      <c r="Q1203" s="10">
        <f t="shared" si="56"/>
        <v>2.5990060684971547E-2</v>
      </c>
      <c r="AI1203">
        <v>0.1631078</v>
      </c>
      <c r="AJ1203">
        <f t="shared" si="55"/>
        <v>0.1631078</v>
      </c>
      <c r="AO1203">
        <v>0.1631078</v>
      </c>
      <c r="AR1203" s="8">
        <v>0</v>
      </c>
      <c r="AS1203">
        <v>0.51149699999999998</v>
      </c>
    </row>
    <row r="1204" spans="1:45" x14ac:dyDescent="0.25">
      <c r="A1204">
        <v>232</v>
      </c>
      <c r="B1204">
        <v>2004</v>
      </c>
      <c r="C1204" s="8">
        <v>0</v>
      </c>
      <c r="D1204">
        <v>0.12502840000000001</v>
      </c>
      <c r="E1204">
        <v>-3.8384999999999999E-3</v>
      </c>
      <c r="F1204">
        <v>3.92693E-2</v>
      </c>
      <c r="G1204">
        <v>0.68813040000000003</v>
      </c>
      <c r="H1204">
        <v>0.13332939999999999</v>
      </c>
      <c r="Q1204" s="10">
        <f t="shared" si="56"/>
        <v>2.1579933999428067E-2</v>
      </c>
      <c r="AI1204">
        <v>0.22156090000000001</v>
      </c>
      <c r="AJ1204">
        <f t="shared" si="55"/>
        <v>0.22156090000000001</v>
      </c>
      <c r="AO1204">
        <v>0.22156090000000001</v>
      </c>
      <c r="AR1204" s="8">
        <v>0</v>
      </c>
      <c r="AS1204">
        <v>0.30671530000000002</v>
      </c>
    </row>
    <row r="1205" spans="1:45" x14ac:dyDescent="0.25">
      <c r="A1205">
        <v>233</v>
      </c>
      <c r="B1205">
        <v>1999</v>
      </c>
      <c r="C1205" s="8">
        <v>0</v>
      </c>
      <c r="D1205">
        <v>0.1631078</v>
      </c>
      <c r="E1205">
        <v>-0.26179229999999998</v>
      </c>
      <c r="F1205">
        <v>1.1643199999999999E-2</v>
      </c>
      <c r="G1205">
        <v>27.20945</v>
      </c>
      <c r="H1205">
        <v>8.7439000000000003E-2</v>
      </c>
      <c r="Q1205" s="10">
        <f t="shared" si="56"/>
        <v>1.7449029661846368E-20</v>
      </c>
      <c r="AI1205">
        <v>0.25756220000000002</v>
      </c>
      <c r="AJ1205">
        <f t="shared" si="55"/>
        <v>0.25756220000000002</v>
      </c>
      <c r="AO1205">
        <v>0.25756220000000002</v>
      </c>
      <c r="AR1205" s="8">
        <v>0</v>
      </c>
      <c r="AS1205">
        <v>0.34379939999999998</v>
      </c>
    </row>
    <row r="1206" spans="1:45" x14ac:dyDescent="0.25">
      <c r="A1206">
        <v>233</v>
      </c>
      <c r="B1206">
        <v>2000</v>
      </c>
      <c r="C1206" s="8">
        <v>0</v>
      </c>
      <c r="D1206">
        <v>0.22156090000000001</v>
      </c>
      <c r="E1206">
        <v>-0.11395230000000001</v>
      </c>
      <c r="F1206">
        <v>4.2148900000000003E-2</v>
      </c>
      <c r="G1206">
        <v>41.262949999999996</v>
      </c>
      <c r="H1206">
        <v>9.8510200000000006E-2</v>
      </c>
      <c r="Q1206" s="10">
        <f t="shared" si="56"/>
        <v>2.1363056566659573E-30</v>
      </c>
      <c r="AI1206">
        <v>0.25613910000000001</v>
      </c>
      <c r="AJ1206">
        <f t="shared" si="55"/>
        <v>0.25613910000000001</v>
      </c>
      <c r="AO1206">
        <v>0.25613910000000001</v>
      </c>
      <c r="AR1206" s="8">
        <v>0</v>
      </c>
      <c r="AS1206">
        <v>0.68813040000000003</v>
      </c>
    </row>
    <row r="1207" spans="1:45" x14ac:dyDescent="0.25">
      <c r="A1207">
        <v>233</v>
      </c>
      <c r="B1207">
        <v>2001</v>
      </c>
      <c r="C1207" s="8">
        <v>0</v>
      </c>
      <c r="D1207">
        <v>0.25756220000000002</v>
      </c>
      <c r="E1207">
        <v>-9.5935800000000002E-2</v>
      </c>
      <c r="F1207">
        <v>5.8187500000000003E-2</v>
      </c>
      <c r="G1207">
        <v>23.578600000000002</v>
      </c>
      <c r="H1207">
        <v>0.1070181</v>
      </c>
      <c r="Q1207" s="10">
        <f t="shared" si="56"/>
        <v>3.2395544871564581E-18</v>
      </c>
      <c r="AI1207">
        <v>0.2351336</v>
      </c>
      <c r="AJ1207">
        <f t="shared" si="55"/>
        <v>0.2351336</v>
      </c>
      <c r="AO1207">
        <v>0.2351336</v>
      </c>
      <c r="AR1207" s="8">
        <v>0</v>
      </c>
      <c r="AS1207">
        <v>27.20945</v>
      </c>
    </row>
    <row r="1208" spans="1:45" x14ac:dyDescent="0.25">
      <c r="A1208">
        <v>234</v>
      </c>
      <c r="B1208">
        <v>1999</v>
      </c>
      <c r="C1208" s="8">
        <v>0</v>
      </c>
      <c r="D1208">
        <v>0.25613910000000001</v>
      </c>
      <c r="E1208">
        <v>0.2204382</v>
      </c>
      <c r="F1208">
        <v>4.2022200000000003E-2</v>
      </c>
      <c r="G1208">
        <v>0.25613419999999998</v>
      </c>
      <c r="H1208">
        <v>0.32284299999999999</v>
      </c>
      <c r="Q1208" s="10">
        <f t="shared" si="56"/>
        <v>3.5499384921381584E-2</v>
      </c>
      <c r="AI1208">
        <v>0.26044879999999998</v>
      </c>
      <c r="AJ1208">
        <f t="shared" si="55"/>
        <v>0.26044879999999998</v>
      </c>
      <c r="AO1208">
        <v>0.26044879999999998</v>
      </c>
      <c r="AR1208" s="8">
        <v>0</v>
      </c>
      <c r="AS1208">
        <v>41.262949999999996</v>
      </c>
    </row>
    <row r="1209" spans="1:45" x14ac:dyDescent="0.25">
      <c r="A1209">
        <v>234</v>
      </c>
      <c r="B1209">
        <v>2000</v>
      </c>
      <c r="C1209" s="8">
        <v>0</v>
      </c>
      <c r="D1209">
        <v>0.2351336</v>
      </c>
      <c r="E1209">
        <v>0.22539219999999999</v>
      </c>
      <c r="F1209">
        <v>6.0853900000000002E-2</v>
      </c>
      <c r="G1209">
        <v>0.18692629999999999</v>
      </c>
      <c r="H1209">
        <v>0.30690600000000001</v>
      </c>
      <c r="Q1209" s="10">
        <f t="shared" si="56"/>
        <v>3.3303376026466013E-2</v>
      </c>
      <c r="AI1209">
        <v>0.21716450000000001</v>
      </c>
      <c r="AJ1209">
        <f t="shared" si="55"/>
        <v>0.21716450000000001</v>
      </c>
      <c r="AO1209">
        <v>0.21716450000000001</v>
      </c>
      <c r="AR1209" s="8">
        <v>0</v>
      </c>
      <c r="AS1209">
        <v>23.578600000000002</v>
      </c>
    </row>
    <row r="1210" spans="1:45" x14ac:dyDescent="0.25">
      <c r="A1210">
        <v>234</v>
      </c>
      <c r="B1210">
        <v>2001</v>
      </c>
      <c r="C1210" s="8">
        <v>0</v>
      </c>
      <c r="D1210">
        <v>0.26044879999999998</v>
      </c>
      <c r="E1210">
        <v>0.2167386</v>
      </c>
      <c r="F1210">
        <v>3.6716100000000002E-2</v>
      </c>
      <c r="G1210">
        <v>0.31857000000000002</v>
      </c>
      <c r="H1210">
        <v>0.24846499999999999</v>
      </c>
      <c r="Q1210" s="10">
        <f t="shared" si="56"/>
        <v>3.2355617232259555E-2</v>
      </c>
      <c r="AI1210">
        <v>0.2216677</v>
      </c>
      <c r="AJ1210">
        <f t="shared" si="55"/>
        <v>0.2216677</v>
      </c>
      <c r="AO1210">
        <v>0.2216677</v>
      </c>
      <c r="AR1210" s="8">
        <v>0</v>
      </c>
      <c r="AS1210">
        <v>0.25613419999999998</v>
      </c>
    </row>
    <row r="1211" spans="1:45" x14ac:dyDescent="0.25">
      <c r="A1211">
        <v>234</v>
      </c>
      <c r="B1211">
        <v>2002</v>
      </c>
      <c r="C1211" s="8">
        <v>0</v>
      </c>
      <c r="D1211">
        <v>0.21716450000000001</v>
      </c>
      <c r="E1211">
        <v>9.1620499999999994E-2</v>
      </c>
      <c r="F1211">
        <v>5.8559600000000003E-2</v>
      </c>
      <c r="G1211">
        <v>0.26810699999999998</v>
      </c>
      <c r="H1211">
        <v>0.3432558</v>
      </c>
      <c r="Q1211" s="10">
        <f t="shared" si="56"/>
        <v>3.6626980637015555E-2</v>
      </c>
      <c r="AI1211">
        <v>0.21433350000000001</v>
      </c>
      <c r="AJ1211">
        <f t="shared" si="55"/>
        <v>0.21433350000000001</v>
      </c>
      <c r="AO1211">
        <v>0.21433350000000001</v>
      </c>
      <c r="AR1211" s="8">
        <v>0</v>
      </c>
      <c r="AS1211">
        <v>0.18692629999999999</v>
      </c>
    </row>
    <row r="1212" spans="1:45" x14ac:dyDescent="0.25">
      <c r="A1212">
        <v>234</v>
      </c>
      <c r="B1212">
        <v>2003</v>
      </c>
      <c r="C1212" s="8">
        <v>0</v>
      </c>
      <c r="D1212">
        <v>0.2216677</v>
      </c>
      <c r="E1212">
        <v>0.12651709999999999</v>
      </c>
      <c r="F1212">
        <v>8.1399799999999994E-2</v>
      </c>
      <c r="G1212">
        <v>0.53791800000000001</v>
      </c>
      <c r="H1212">
        <v>0.35919380000000001</v>
      </c>
      <c r="Q1212" s="10">
        <f t="shared" si="56"/>
        <v>1.942987986893626E-2</v>
      </c>
      <c r="AI1212">
        <v>7.1944400000000006E-2</v>
      </c>
      <c r="AJ1212">
        <f t="shared" si="55"/>
        <v>7.1944400000000006E-2</v>
      </c>
      <c r="AO1212">
        <v>7.1944400000000006E-2</v>
      </c>
      <c r="AR1212" s="8">
        <v>0</v>
      </c>
      <c r="AS1212">
        <v>0.31857000000000002</v>
      </c>
    </row>
    <row r="1213" spans="1:45" x14ac:dyDescent="0.25">
      <c r="A1213">
        <v>234</v>
      </c>
      <c r="B1213">
        <v>2004</v>
      </c>
      <c r="C1213" s="8">
        <v>0</v>
      </c>
      <c r="D1213">
        <v>0.21433350000000001</v>
      </c>
      <c r="E1213">
        <v>0.15176210000000001</v>
      </c>
      <c r="F1213">
        <v>4.8166599999999997E-2</v>
      </c>
      <c r="G1213">
        <v>0.41152100000000003</v>
      </c>
      <c r="H1213">
        <v>0.380963</v>
      </c>
      <c r="Q1213" s="10">
        <f t="shared" si="56"/>
        <v>2.987747918717543E-2</v>
      </c>
      <c r="AI1213">
        <v>5.2302700000000001E-2</v>
      </c>
      <c r="AJ1213">
        <f t="shared" si="55"/>
        <v>5.2302700000000001E-2</v>
      </c>
      <c r="AO1213">
        <v>5.2302700000000001E-2</v>
      </c>
      <c r="AR1213" s="8">
        <v>0</v>
      </c>
      <c r="AS1213">
        <v>0.26810699999999998</v>
      </c>
    </row>
    <row r="1214" spans="1:45" x14ac:dyDescent="0.25">
      <c r="A1214">
        <v>235</v>
      </c>
      <c r="B1214">
        <v>1999</v>
      </c>
      <c r="C1214" s="8">
        <v>0</v>
      </c>
      <c r="D1214">
        <v>7.1944400000000006E-2</v>
      </c>
      <c r="E1214">
        <v>0.1212516</v>
      </c>
      <c r="F1214">
        <v>8.1022700000000003E-2</v>
      </c>
      <c r="G1214">
        <v>0.88153539999999997</v>
      </c>
      <c r="H1214">
        <v>0.26391569999999998</v>
      </c>
      <c r="Q1214" s="10">
        <f t="shared" si="56"/>
        <v>1.015757075028031E-2</v>
      </c>
      <c r="AI1214">
        <v>3.4649300000000001E-2</v>
      </c>
      <c r="AJ1214">
        <f t="shared" si="55"/>
        <v>3.4649300000000001E-2</v>
      </c>
      <c r="AO1214">
        <v>3.4649300000000001E-2</v>
      </c>
      <c r="AR1214" s="8">
        <v>0</v>
      </c>
      <c r="AS1214">
        <v>0.53791800000000001</v>
      </c>
    </row>
    <row r="1215" spans="1:45" x14ac:dyDescent="0.25">
      <c r="A1215">
        <v>235</v>
      </c>
      <c r="B1215">
        <v>2000</v>
      </c>
      <c r="C1215" s="8">
        <v>0</v>
      </c>
      <c r="D1215">
        <v>5.2302700000000001E-2</v>
      </c>
      <c r="E1215">
        <v>0.132048</v>
      </c>
      <c r="F1215">
        <v>7.0011299999999999E-2</v>
      </c>
      <c r="G1215">
        <v>1.310964</v>
      </c>
      <c r="H1215">
        <v>0.27587820000000002</v>
      </c>
      <c r="Q1215" s="10">
        <f t="shared" si="56"/>
        <v>5.5300956485072458E-3</v>
      </c>
      <c r="AI1215">
        <v>0.10313460000000001</v>
      </c>
      <c r="AJ1215">
        <f t="shared" si="55"/>
        <v>0.10313460000000001</v>
      </c>
      <c r="AO1215">
        <v>0.10313460000000001</v>
      </c>
      <c r="AR1215" s="8">
        <v>0</v>
      </c>
      <c r="AS1215">
        <v>0.41152100000000003</v>
      </c>
    </row>
    <row r="1216" spans="1:45" x14ac:dyDescent="0.25">
      <c r="A1216">
        <v>236</v>
      </c>
      <c r="B1216">
        <v>1999</v>
      </c>
      <c r="C1216" s="8">
        <v>0</v>
      </c>
      <c r="D1216">
        <v>3.4649300000000001E-2</v>
      </c>
      <c r="E1216">
        <v>0.44997779999999998</v>
      </c>
      <c r="F1216">
        <v>5.7924799999999999E-2</v>
      </c>
      <c r="G1216">
        <v>2.3392819999999999</v>
      </c>
      <c r="H1216">
        <v>0.36537839999999999</v>
      </c>
      <c r="Q1216" s="10">
        <f t="shared" si="56"/>
        <v>7.8568192766269047E-4</v>
      </c>
      <c r="AI1216">
        <v>5.6012300000000001E-2</v>
      </c>
      <c r="AJ1216">
        <f t="shared" si="55"/>
        <v>5.6012300000000001E-2</v>
      </c>
      <c r="AO1216">
        <v>5.6012300000000001E-2</v>
      </c>
      <c r="AR1216" s="8">
        <v>0</v>
      </c>
      <c r="AS1216">
        <v>0.88153539999999997</v>
      </c>
    </row>
    <row r="1217" spans="1:45" x14ac:dyDescent="0.25">
      <c r="A1217">
        <v>236</v>
      </c>
      <c r="B1217">
        <v>2000</v>
      </c>
      <c r="C1217" s="8">
        <v>0</v>
      </c>
      <c r="D1217">
        <v>0.10313460000000001</v>
      </c>
      <c r="E1217">
        <v>0.53574659999999996</v>
      </c>
      <c r="F1217">
        <v>6.5970899999999999E-2</v>
      </c>
      <c r="G1217">
        <v>3.714121</v>
      </c>
      <c r="H1217">
        <v>0.3803897</v>
      </c>
      <c r="Q1217" s="10">
        <f t="shared" si="56"/>
        <v>7.5560894139073656E-5</v>
      </c>
      <c r="AI1217">
        <v>6.8197599999999997E-2</v>
      </c>
      <c r="AJ1217">
        <f t="shared" si="55"/>
        <v>6.8197599999999997E-2</v>
      </c>
      <c r="AO1217">
        <v>6.8197599999999997E-2</v>
      </c>
      <c r="AR1217" s="8">
        <v>0</v>
      </c>
      <c r="AS1217">
        <v>1.310964</v>
      </c>
    </row>
    <row r="1218" spans="1:45" x14ac:dyDescent="0.25">
      <c r="A1218">
        <v>236</v>
      </c>
      <c r="B1218">
        <v>2001</v>
      </c>
      <c r="C1218" s="8">
        <v>0</v>
      </c>
      <c r="D1218">
        <v>5.6012300000000001E-2</v>
      </c>
      <c r="E1218">
        <v>0.46700629999999999</v>
      </c>
      <c r="F1218">
        <v>7.3999099999999998E-2</v>
      </c>
      <c r="G1218">
        <v>2.4926550000000001</v>
      </c>
      <c r="H1218">
        <v>0.35441539999999999</v>
      </c>
      <c r="Q1218" s="10">
        <f t="shared" si="56"/>
        <v>5.290664973643007E-4</v>
      </c>
      <c r="AI1218">
        <v>7.5029700000000005E-2</v>
      </c>
      <c r="AJ1218">
        <f t="shared" si="55"/>
        <v>7.5029700000000005E-2</v>
      </c>
      <c r="AO1218">
        <v>7.5029700000000005E-2</v>
      </c>
      <c r="AR1218" s="8">
        <v>0</v>
      </c>
      <c r="AS1218">
        <v>2.3392819999999999</v>
      </c>
    </row>
    <row r="1219" spans="1:45" x14ac:dyDescent="0.25">
      <c r="A1219">
        <v>236</v>
      </c>
      <c r="B1219">
        <v>2002</v>
      </c>
      <c r="C1219" s="8">
        <v>0</v>
      </c>
      <c r="D1219">
        <v>6.8197599999999997E-2</v>
      </c>
      <c r="E1219">
        <v>0.48565269999999999</v>
      </c>
      <c r="F1219">
        <v>5.5197799999999998E-2</v>
      </c>
      <c r="G1219">
        <v>2.4661749999999998</v>
      </c>
      <c r="H1219">
        <v>0.36971680000000001</v>
      </c>
      <c r="Q1219" s="10">
        <f t="shared" si="56"/>
        <v>6.3334844586785386E-4</v>
      </c>
      <c r="AI1219">
        <v>0.13587879999999999</v>
      </c>
      <c r="AJ1219">
        <f t="shared" si="55"/>
        <v>0.13587879999999999</v>
      </c>
      <c r="AO1219">
        <v>0.13587879999999999</v>
      </c>
      <c r="AR1219" s="8">
        <v>0</v>
      </c>
      <c r="AS1219">
        <v>3.714121</v>
      </c>
    </row>
    <row r="1220" spans="1:45" x14ac:dyDescent="0.25">
      <c r="A1220">
        <v>236</v>
      </c>
      <c r="B1220">
        <v>2003</v>
      </c>
      <c r="C1220" s="8">
        <v>0</v>
      </c>
      <c r="D1220">
        <v>7.5029700000000005E-2</v>
      </c>
      <c r="E1220">
        <v>0.41753980000000002</v>
      </c>
      <c r="F1220">
        <v>5.9749200000000002E-2</v>
      </c>
      <c r="G1220">
        <v>1.7553399999999999</v>
      </c>
      <c r="H1220">
        <v>0.33177620000000002</v>
      </c>
      <c r="Q1220" s="10">
        <f t="shared" si="56"/>
        <v>2.047421661897681E-3</v>
      </c>
      <c r="AI1220">
        <v>-0.27470610000000001</v>
      </c>
      <c r="AJ1220">
        <f t="shared" si="55"/>
        <v>-0.113345184</v>
      </c>
      <c r="AO1220">
        <v>-0.113345184</v>
      </c>
      <c r="AR1220" s="8">
        <v>0</v>
      </c>
      <c r="AS1220">
        <v>2.4926550000000001</v>
      </c>
    </row>
    <row r="1221" spans="1:45" x14ac:dyDescent="0.25">
      <c r="A1221">
        <v>236</v>
      </c>
      <c r="B1221">
        <v>2004</v>
      </c>
      <c r="C1221" s="8">
        <v>0</v>
      </c>
      <c r="D1221">
        <v>0.13587879999999999</v>
      </c>
      <c r="E1221">
        <v>0.45296160000000002</v>
      </c>
      <c r="F1221">
        <v>5.8938200000000003E-2</v>
      </c>
      <c r="G1221">
        <v>2.0449320000000002</v>
      </c>
      <c r="H1221">
        <v>0.32425809999999999</v>
      </c>
      <c r="Q1221" s="10">
        <f t="shared" si="56"/>
        <v>1.2603848063155018E-3</v>
      </c>
      <c r="AI1221">
        <v>-0.1122568</v>
      </c>
      <c r="AJ1221">
        <f t="shared" ref="AJ1221:AJ1284" si="57">MAX(MIN(AI1221,AM$5),AM$4)</f>
        <v>-0.1122568</v>
      </c>
      <c r="AO1221">
        <v>-0.1122568</v>
      </c>
      <c r="AR1221" s="8">
        <v>0</v>
      </c>
      <c r="AS1221">
        <v>2.4661749999999998</v>
      </c>
    </row>
    <row r="1222" spans="1:45" x14ac:dyDescent="0.25">
      <c r="A1222">
        <v>237</v>
      </c>
      <c r="B1222">
        <v>1999</v>
      </c>
      <c r="C1222" s="8">
        <v>0</v>
      </c>
      <c r="D1222">
        <v>-0.27470610000000001</v>
      </c>
      <c r="E1222">
        <v>0.4593042</v>
      </c>
      <c r="F1222">
        <v>9.2919799999999997E-2</v>
      </c>
      <c r="G1222">
        <v>2.405087</v>
      </c>
      <c r="H1222">
        <v>0.39650760000000002</v>
      </c>
      <c r="Q1222" s="10">
        <f t="shared" si="56"/>
        <v>4.7324191306117366E-4</v>
      </c>
      <c r="AI1222">
        <v>2.6006100000000001E-2</v>
      </c>
      <c r="AJ1222">
        <f t="shared" si="57"/>
        <v>2.6006100000000001E-2</v>
      </c>
      <c r="AO1222">
        <v>2.6006100000000001E-2</v>
      </c>
      <c r="AR1222" s="8">
        <v>0</v>
      </c>
      <c r="AS1222">
        <v>1.7553399999999999</v>
      </c>
    </row>
    <row r="1223" spans="1:45" x14ac:dyDescent="0.25">
      <c r="A1223">
        <v>237</v>
      </c>
      <c r="B1223">
        <v>2001</v>
      </c>
      <c r="C1223" s="8">
        <v>0</v>
      </c>
      <c r="D1223">
        <v>-0.1122568</v>
      </c>
      <c r="E1223">
        <v>0.16258</v>
      </c>
      <c r="F1223">
        <v>5.0491399999999999E-2</v>
      </c>
      <c r="G1223">
        <v>1.317221</v>
      </c>
      <c r="H1223">
        <v>0.16913059999999999</v>
      </c>
      <c r="Q1223" s="10">
        <f t="shared" ref="Q1223:Q1286" si="58">1/(1+EXP(-(J$6+SUMPRODUCT(K$6:O$6,D1223:H1223))))</f>
        <v>5.3538274595665092E-3</v>
      </c>
      <c r="AI1223">
        <v>4.9736599999999999E-2</v>
      </c>
      <c r="AJ1223">
        <f t="shared" si="57"/>
        <v>4.9736599999999999E-2</v>
      </c>
      <c r="AO1223">
        <v>4.9736599999999999E-2</v>
      </c>
      <c r="AR1223" s="8">
        <v>0</v>
      </c>
      <c r="AS1223">
        <v>2.0449320000000002</v>
      </c>
    </row>
    <row r="1224" spans="1:45" x14ac:dyDescent="0.25">
      <c r="A1224">
        <v>237</v>
      </c>
      <c r="B1224">
        <v>2002</v>
      </c>
      <c r="C1224" s="8">
        <v>0</v>
      </c>
      <c r="D1224">
        <v>2.6006100000000001E-2</v>
      </c>
      <c r="E1224">
        <v>0.18474389999999999</v>
      </c>
      <c r="F1224">
        <v>5.9770700000000003E-2</v>
      </c>
      <c r="G1224">
        <v>1.2578819999999999</v>
      </c>
      <c r="H1224">
        <v>0.17006669999999999</v>
      </c>
      <c r="Q1224" s="10">
        <f t="shared" si="58"/>
        <v>5.6043613134190194E-3</v>
      </c>
      <c r="AI1224">
        <v>3.9971300000000001E-2</v>
      </c>
      <c r="AJ1224">
        <f t="shared" si="57"/>
        <v>3.9971300000000001E-2</v>
      </c>
      <c r="AO1224">
        <v>3.9971300000000001E-2</v>
      </c>
      <c r="AR1224" s="8">
        <v>0</v>
      </c>
      <c r="AS1224">
        <v>2.405087</v>
      </c>
    </row>
    <row r="1225" spans="1:45" x14ac:dyDescent="0.25">
      <c r="A1225">
        <v>237</v>
      </c>
      <c r="B1225">
        <v>2003</v>
      </c>
      <c r="C1225" s="8">
        <v>0</v>
      </c>
      <c r="D1225">
        <v>4.9736599999999999E-2</v>
      </c>
      <c r="E1225">
        <v>0.21943480000000001</v>
      </c>
      <c r="F1225">
        <v>5.29156E-2</v>
      </c>
      <c r="G1225">
        <v>1.3423069999999999</v>
      </c>
      <c r="H1225">
        <v>0.18716360000000001</v>
      </c>
      <c r="Q1225" s="10">
        <f t="shared" si="58"/>
        <v>5.0249253205778364E-3</v>
      </c>
      <c r="AI1225">
        <v>8.4594699999999995E-2</v>
      </c>
      <c r="AJ1225">
        <f t="shared" si="57"/>
        <v>8.4594699999999995E-2</v>
      </c>
      <c r="AO1225">
        <v>8.4594699999999995E-2</v>
      </c>
      <c r="AR1225" s="8">
        <v>0</v>
      </c>
      <c r="AS1225">
        <v>1.317221</v>
      </c>
    </row>
    <row r="1226" spans="1:45" x14ac:dyDescent="0.25">
      <c r="A1226">
        <v>237</v>
      </c>
      <c r="B1226">
        <v>2004</v>
      </c>
      <c r="C1226" s="8">
        <v>0</v>
      </c>
      <c r="D1226">
        <v>3.9971300000000001E-2</v>
      </c>
      <c r="E1226">
        <v>0.28687220000000002</v>
      </c>
      <c r="F1226">
        <v>6.4155299999999998E-2</v>
      </c>
      <c r="G1226">
        <v>1.508059</v>
      </c>
      <c r="H1226">
        <v>0.16872980000000001</v>
      </c>
      <c r="Q1226" s="10">
        <f t="shared" si="58"/>
        <v>3.15413643068173E-3</v>
      </c>
      <c r="AI1226">
        <v>0.18335190000000001</v>
      </c>
      <c r="AJ1226">
        <f t="shared" si="57"/>
        <v>0.18335190000000001</v>
      </c>
      <c r="AO1226">
        <v>0.18335190000000001</v>
      </c>
      <c r="AR1226" s="8">
        <v>0</v>
      </c>
      <c r="AS1226">
        <v>1.2578819999999999</v>
      </c>
    </row>
    <row r="1227" spans="1:45" x14ac:dyDescent="0.25">
      <c r="A1227">
        <v>238</v>
      </c>
      <c r="B1227">
        <v>1999</v>
      </c>
      <c r="C1227" s="8">
        <v>0</v>
      </c>
      <c r="D1227">
        <v>8.4594699999999995E-2</v>
      </c>
      <c r="E1227">
        <v>0.4369326</v>
      </c>
      <c r="F1227">
        <v>6.4833600000000005E-2</v>
      </c>
      <c r="G1227">
        <v>3.9882960000000001</v>
      </c>
      <c r="H1227">
        <v>0.41491749999999999</v>
      </c>
      <c r="Q1227" s="10">
        <f t="shared" si="58"/>
        <v>5.7657641303077503E-5</v>
      </c>
      <c r="AI1227">
        <v>0.21682399999999999</v>
      </c>
      <c r="AJ1227">
        <f t="shared" si="57"/>
        <v>0.21682399999999999</v>
      </c>
      <c r="AO1227">
        <v>0.21682399999999999</v>
      </c>
      <c r="AR1227" s="8">
        <v>0</v>
      </c>
      <c r="AS1227">
        <v>1.3423069999999999</v>
      </c>
    </row>
    <row r="1228" spans="1:45" x14ac:dyDescent="0.25">
      <c r="A1228">
        <v>238</v>
      </c>
      <c r="B1228">
        <v>2000</v>
      </c>
      <c r="C1228" s="8">
        <v>0</v>
      </c>
      <c r="D1228">
        <v>0.18335190000000001</v>
      </c>
      <c r="E1228">
        <v>0.4844097</v>
      </c>
      <c r="F1228">
        <v>7.6011899999999993E-2</v>
      </c>
      <c r="G1228">
        <v>3.5975820000000001</v>
      </c>
      <c r="H1228">
        <v>0.44490780000000002</v>
      </c>
      <c r="Q1228" s="10">
        <f t="shared" si="58"/>
        <v>9.7337479621559584E-5</v>
      </c>
      <c r="AI1228">
        <v>0.20231250000000001</v>
      </c>
      <c r="AJ1228">
        <f t="shared" si="57"/>
        <v>0.20231250000000001</v>
      </c>
      <c r="AO1228">
        <v>0.20231250000000001</v>
      </c>
      <c r="AR1228" s="8">
        <v>0</v>
      </c>
      <c r="AS1228">
        <v>1.508059</v>
      </c>
    </row>
    <row r="1229" spans="1:45" x14ac:dyDescent="0.25">
      <c r="A1229">
        <v>238</v>
      </c>
      <c r="B1229">
        <v>2001</v>
      </c>
      <c r="C1229" s="8">
        <v>0</v>
      </c>
      <c r="D1229">
        <v>0.21682399999999999</v>
      </c>
      <c r="E1229">
        <v>0.42611559999999998</v>
      </c>
      <c r="F1229">
        <v>5.8544400000000003E-2</v>
      </c>
      <c r="G1229">
        <v>3.3040940000000001</v>
      </c>
      <c r="H1229">
        <v>0.38298500000000002</v>
      </c>
      <c r="Q1229" s="10">
        <f t="shared" si="58"/>
        <v>1.8976237726170116E-4</v>
      </c>
      <c r="AI1229">
        <v>-1.0142699999999999E-2</v>
      </c>
      <c r="AJ1229">
        <f t="shared" si="57"/>
        <v>-1.0142699999999999E-2</v>
      </c>
      <c r="AO1229">
        <v>-1.0142699999999999E-2</v>
      </c>
      <c r="AR1229" s="8">
        <v>0</v>
      </c>
      <c r="AS1229">
        <v>3.9882960000000001</v>
      </c>
    </row>
    <row r="1230" spans="1:45" x14ac:dyDescent="0.25">
      <c r="A1230">
        <v>238</v>
      </c>
      <c r="B1230">
        <v>2002</v>
      </c>
      <c r="C1230" s="8">
        <v>0</v>
      </c>
      <c r="D1230">
        <v>0.20231250000000001</v>
      </c>
      <c r="E1230">
        <v>0.40743740000000001</v>
      </c>
      <c r="F1230">
        <v>5.2349399999999997E-2</v>
      </c>
      <c r="G1230">
        <v>0.76903220000000005</v>
      </c>
      <c r="H1230">
        <v>0.3266714</v>
      </c>
      <c r="Q1230" s="10">
        <f t="shared" si="58"/>
        <v>1.1053557504769785E-2</v>
      </c>
      <c r="AI1230">
        <v>0.21922639999999999</v>
      </c>
      <c r="AJ1230">
        <f t="shared" si="57"/>
        <v>0.21922639999999999</v>
      </c>
      <c r="AO1230">
        <v>0.21922639999999999</v>
      </c>
      <c r="AR1230" s="8">
        <v>0</v>
      </c>
      <c r="AS1230">
        <v>3.5975820000000001</v>
      </c>
    </row>
    <row r="1231" spans="1:45" x14ac:dyDescent="0.25">
      <c r="A1231">
        <v>238</v>
      </c>
      <c r="B1231">
        <v>2003</v>
      </c>
      <c r="C1231" s="8">
        <v>0</v>
      </c>
      <c r="D1231">
        <v>-1.0142699999999999E-2</v>
      </c>
      <c r="E1231">
        <v>0.34227200000000002</v>
      </c>
      <c r="F1231">
        <v>4.8628200000000003E-2</v>
      </c>
      <c r="G1231">
        <v>1.0130300000000001</v>
      </c>
      <c r="H1231">
        <v>0.33146949999999997</v>
      </c>
      <c r="Q1231" s="10">
        <f t="shared" si="58"/>
        <v>7.819611213864E-3</v>
      </c>
      <c r="AI1231">
        <v>-5.9088599999999998E-2</v>
      </c>
      <c r="AJ1231">
        <f t="shared" si="57"/>
        <v>-5.9088599999999998E-2</v>
      </c>
      <c r="AO1231">
        <v>-5.9088599999999998E-2</v>
      </c>
      <c r="AR1231" s="8">
        <v>0</v>
      </c>
      <c r="AS1231">
        <v>3.3040940000000001</v>
      </c>
    </row>
    <row r="1232" spans="1:45" x14ac:dyDescent="0.25">
      <c r="A1232">
        <v>238</v>
      </c>
      <c r="B1232">
        <v>2004</v>
      </c>
      <c r="C1232" s="8">
        <v>0</v>
      </c>
      <c r="D1232">
        <v>0.21922639999999999</v>
      </c>
      <c r="E1232">
        <v>0.32846029999999998</v>
      </c>
      <c r="F1232">
        <v>5.1636599999999998E-2</v>
      </c>
      <c r="G1232">
        <v>1.174315</v>
      </c>
      <c r="H1232">
        <v>0.33405210000000002</v>
      </c>
      <c r="Q1232" s="10">
        <f t="shared" si="58"/>
        <v>6.6423489001680826E-3</v>
      </c>
      <c r="AI1232">
        <v>-8.2410499999999998E-2</v>
      </c>
      <c r="AJ1232">
        <f t="shared" si="57"/>
        <v>-8.2410499999999998E-2</v>
      </c>
      <c r="AO1232">
        <v>-8.2410499999999998E-2</v>
      </c>
      <c r="AR1232" s="8">
        <v>0</v>
      </c>
      <c r="AS1232">
        <v>0.76903220000000005</v>
      </c>
    </row>
    <row r="1233" spans="1:45" x14ac:dyDescent="0.25">
      <c r="A1233">
        <v>239</v>
      </c>
      <c r="B1233">
        <v>1999</v>
      </c>
      <c r="C1233" s="8">
        <v>0</v>
      </c>
      <c r="D1233">
        <v>-5.9088599999999998E-2</v>
      </c>
      <c r="E1233">
        <v>0.153359</v>
      </c>
      <c r="F1233">
        <v>5.23828E-2</v>
      </c>
      <c r="G1233">
        <v>0.2347727</v>
      </c>
      <c r="H1233">
        <v>9.3606499999999995E-2</v>
      </c>
      <c r="Q1233" s="10">
        <f t="shared" si="58"/>
        <v>2.8579072096747159E-2</v>
      </c>
      <c r="AI1233">
        <v>0.220051</v>
      </c>
      <c r="AJ1233">
        <f t="shared" si="57"/>
        <v>0.220051</v>
      </c>
      <c r="AO1233">
        <v>0.220051</v>
      </c>
      <c r="AR1233" s="8">
        <v>0</v>
      </c>
      <c r="AS1233">
        <v>1.0130300000000001</v>
      </c>
    </row>
    <row r="1234" spans="1:45" x14ac:dyDescent="0.25">
      <c r="A1234">
        <v>239</v>
      </c>
      <c r="B1234">
        <v>2000</v>
      </c>
      <c r="C1234" s="8">
        <v>0</v>
      </c>
      <c r="D1234">
        <v>-8.2410499999999998E-2</v>
      </c>
      <c r="E1234">
        <v>0.14479980000000001</v>
      </c>
      <c r="F1234">
        <v>3.7982200000000001E-2</v>
      </c>
      <c r="G1234">
        <v>0.31191190000000002</v>
      </c>
      <c r="H1234">
        <v>9.0222300000000005E-2</v>
      </c>
      <c r="Q1234" s="10">
        <f t="shared" si="58"/>
        <v>2.8383892452432002E-2</v>
      </c>
      <c r="AI1234">
        <v>0.19048909999999999</v>
      </c>
      <c r="AJ1234">
        <f t="shared" si="57"/>
        <v>0.19048909999999999</v>
      </c>
      <c r="AO1234">
        <v>0.19048909999999999</v>
      </c>
      <c r="AR1234" s="8">
        <v>0</v>
      </c>
      <c r="AS1234">
        <v>1.174315</v>
      </c>
    </row>
    <row r="1235" spans="1:45" x14ac:dyDescent="0.25">
      <c r="A1235">
        <v>240</v>
      </c>
      <c r="B1235">
        <v>1995</v>
      </c>
      <c r="C1235" s="8">
        <v>0</v>
      </c>
      <c r="D1235">
        <v>0.220051</v>
      </c>
      <c r="E1235">
        <v>0.38367259999999997</v>
      </c>
      <c r="F1235">
        <v>6.1980199999999999E-2</v>
      </c>
      <c r="G1235">
        <v>1.575709</v>
      </c>
      <c r="H1235">
        <v>0.33147840000000001</v>
      </c>
      <c r="Q1235" s="10">
        <f t="shared" si="58"/>
        <v>2.9838384539190486E-3</v>
      </c>
      <c r="AI1235">
        <v>0.16657079999999999</v>
      </c>
      <c r="AJ1235">
        <f t="shared" si="57"/>
        <v>0.16657079999999999</v>
      </c>
      <c r="AO1235">
        <v>0.16657079999999999</v>
      </c>
      <c r="AR1235" s="8">
        <v>0</v>
      </c>
      <c r="AS1235">
        <v>0.2347727</v>
      </c>
    </row>
    <row r="1236" spans="1:45" x14ac:dyDescent="0.25">
      <c r="A1236">
        <v>240</v>
      </c>
      <c r="B1236">
        <v>1996</v>
      </c>
      <c r="C1236" s="8">
        <v>0</v>
      </c>
      <c r="D1236">
        <v>0.19048909999999999</v>
      </c>
      <c r="E1236">
        <v>0.4615127</v>
      </c>
      <c r="F1236">
        <v>5.8780899999999997E-2</v>
      </c>
      <c r="G1236">
        <v>2.7456909999999999</v>
      </c>
      <c r="H1236">
        <v>0.38819609999999999</v>
      </c>
      <c r="Q1236" s="10">
        <f t="shared" si="58"/>
        <v>4.3456783585919009E-4</v>
      </c>
      <c r="AI1236">
        <v>0.1175697</v>
      </c>
      <c r="AJ1236">
        <f t="shared" si="57"/>
        <v>0.1175697</v>
      </c>
      <c r="AO1236">
        <v>0.1175697</v>
      </c>
      <c r="AR1236" s="8">
        <v>0</v>
      </c>
      <c r="AS1236">
        <v>0.31191190000000002</v>
      </c>
    </row>
    <row r="1237" spans="1:45" x14ac:dyDescent="0.25">
      <c r="A1237">
        <v>240</v>
      </c>
      <c r="B1237">
        <v>1997</v>
      </c>
      <c r="C1237" s="8">
        <v>0</v>
      </c>
      <c r="D1237">
        <v>0.16657079999999999</v>
      </c>
      <c r="E1237">
        <v>0.54678930000000003</v>
      </c>
      <c r="F1237">
        <v>0.1270771</v>
      </c>
      <c r="G1237">
        <v>2.6523439999999998</v>
      </c>
      <c r="H1237">
        <v>0.9370444</v>
      </c>
      <c r="Q1237" s="10">
        <f t="shared" si="58"/>
        <v>3.5892259426429713E-4</v>
      </c>
      <c r="AI1237">
        <v>0.11052090000000001</v>
      </c>
      <c r="AJ1237">
        <f t="shared" si="57"/>
        <v>0.11052090000000001</v>
      </c>
      <c r="AO1237">
        <v>0.11052090000000001</v>
      </c>
      <c r="AR1237" s="8">
        <v>0</v>
      </c>
      <c r="AS1237">
        <v>1.575709</v>
      </c>
    </row>
    <row r="1238" spans="1:45" x14ac:dyDescent="0.25">
      <c r="A1238">
        <v>240</v>
      </c>
      <c r="B1238">
        <v>1998</v>
      </c>
      <c r="C1238" s="8">
        <v>0</v>
      </c>
      <c r="D1238">
        <v>0.1175697</v>
      </c>
      <c r="E1238">
        <v>-1.3228500000000001E-2</v>
      </c>
      <c r="F1238">
        <v>5.30804E-2</v>
      </c>
      <c r="G1238">
        <v>0.82717759999999996</v>
      </c>
      <c r="H1238">
        <v>0.24709329999999999</v>
      </c>
      <c r="Q1238" s="10">
        <f t="shared" si="58"/>
        <v>1.6870545858426299E-2</v>
      </c>
      <c r="AI1238">
        <v>0.15442429999999999</v>
      </c>
      <c r="AJ1238">
        <f t="shared" si="57"/>
        <v>0.15442429999999999</v>
      </c>
      <c r="AO1238">
        <v>0.15442429999999999</v>
      </c>
      <c r="AR1238" s="8">
        <v>0</v>
      </c>
      <c r="AS1238">
        <v>2.7456909999999999</v>
      </c>
    </row>
    <row r="1239" spans="1:45" x14ac:dyDescent="0.25">
      <c r="A1239">
        <v>240</v>
      </c>
      <c r="B1239">
        <v>1999</v>
      </c>
      <c r="C1239" s="8">
        <v>0</v>
      </c>
      <c r="D1239">
        <v>0.11052090000000001</v>
      </c>
      <c r="E1239">
        <v>2.3076900000000001E-2</v>
      </c>
      <c r="F1239">
        <v>5.6757299999999997E-2</v>
      </c>
      <c r="G1239">
        <v>1.1346849999999999</v>
      </c>
      <c r="H1239">
        <v>0.27755259999999998</v>
      </c>
      <c r="Q1239" s="10">
        <f t="shared" si="58"/>
        <v>9.7425812797806138E-3</v>
      </c>
      <c r="AI1239">
        <v>0.15150720000000001</v>
      </c>
      <c r="AJ1239">
        <f t="shared" si="57"/>
        <v>0.15150720000000001</v>
      </c>
      <c r="AO1239">
        <v>0.15150720000000001</v>
      </c>
      <c r="AR1239" s="8">
        <v>0</v>
      </c>
      <c r="AS1239">
        <v>2.6523439999999998</v>
      </c>
    </row>
    <row r="1240" spans="1:45" x14ac:dyDescent="0.25">
      <c r="A1240">
        <v>240</v>
      </c>
      <c r="B1240">
        <v>2000</v>
      </c>
      <c r="C1240" s="8">
        <v>0</v>
      </c>
      <c r="D1240">
        <v>0.15442429999999999</v>
      </c>
      <c r="E1240">
        <v>8.3301100000000003E-2</v>
      </c>
      <c r="F1240">
        <v>6.2348899999999999E-2</v>
      </c>
      <c r="G1240">
        <v>1.372689</v>
      </c>
      <c r="H1240">
        <v>0.2602642</v>
      </c>
      <c r="Q1240" s="10">
        <f t="shared" si="58"/>
        <v>5.9078022428751637E-3</v>
      </c>
      <c r="AI1240">
        <v>0.15916540000000001</v>
      </c>
      <c r="AJ1240">
        <f t="shared" si="57"/>
        <v>0.15916540000000001</v>
      </c>
      <c r="AO1240">
        <v>0.15916540000000001</v>
      </c>
      <c r="AR1240" s="8">
        <v>0</v>
      </c>
      <c r="AS1240">
        <v>0.82717759999999996</v>
      </c>
    </row>
    <row r="1241" spans="1:45" x14ac:dyDescent="0.25">
      <c r="A1241">
        <v>240</v>
      </c>
      <c r="B1241">
        <v>2001</v>
      </c>
      <c r="C1241" s="8">
        <v>0</v>
      </c>
      <c r="D1241">
        <v>0.15150720000000001</v>
      </c>
      <c r="E1241">
        <v>6.9666699999999998E-2</v>
      </c>
      <c r="F1241">
        <v>6.16149E-2</v>
      </c>
      <c r="G1241">
        <v>1.054246</v>
      </c>
      <c r="H1241">
        <v>0.20855409999999999</v>
      </c>
      <c r="Q1241" s="10">
        <f t="shared" si="58"/>
        <v>9.7022697045586453E-3</v>
      </c>
      <c r="AI1241">
        <v>0.1819596</v>
      </c>
      <c r="AJ1241">
        <f t="shared" si="57"/>
        <v>0.1819596</v>
      </c>
      <c r="AO1241">
        <v>0.1819596</v>
      </c>
      <c r="AR1241" s="8">
        <v>0</v>
      </c>
      <c r="AS1241">
        <v>1.1346849999999999</v>
      </c>
    </row>
    <row r="1242" spans="1:45" x14ac:dyDescent="0.25">
      <c r="A1242">
        <v>240</v>
      </c>
      <c r="B1242">
        <v>2002</v>
      </c>
      <c r="C1242" s="8">
        <v>0</v>
      </c>
      <c r="D1242">
        <v>0.15916540000000001</v>
      </c>
      <c r="E1242">
        <v>6.6463099999999997E-2</v>
      </c>
      <c r="F1242">
        <v>6.4002199999999995E-2</v>
      </c>
      <c r="G1242">
        <v>0.58466600000000002</v>
      </c>
      <c r="H1242">
        <v>0.20744850000000001</v>
      </c>
      <c r="Q1242" s="10">
        <f t="shared" si="58"/>
        <v>2.0049938563744533E-2</v>
      </c>
      <c r="AI1242">
        <v>0.3028129</v>
      </c>
      <c r="AJ1242">
        <f t="shared" si="57"/>
        <v>0.3028129</v>
      </c>
      <c r="AO1242">
        <v>0.3028129</v>
      </c>
      <c r="AR1242" s="8">
        <v>0</v>
      </c>
      <c r="AS1242">
        <v>1.372689</v>
      </c>
    </row>
    <row r="1243" spans="1:45" x14ac:dyDescent="0.25">
      <c r="A1243">
        <v>240</v>
      </c>
      <c r="B1243">
        <v>2003</v>
      </c>
      <c r="C1243" s="8">
        <v>0</v>
      </c>
      <c r="D1243">
        <v>0.1819596</v>
      </c>
      <c r="E1243">
        <v>0.1450506</v>
      </c>
      <c r="F1243">
        <v>5.0417900000000002E-2</v>
      </c>
      <c r="G1243">
        <v>0.81528259999999997</v>
      </c>
      <c r="H1243">
        <v>0.19121879999999999</v>
      </c>
      <c r="Q1243" s="10">
        <f t="shared" si="58"/>
        <v>1.3884462378354105E-2</v>
      </c>
      <c r="AI1243">
        <v>0.49074410000000002</v>
      </c>
      <c r="AJ1243">
        <f t="shared" si="57"/>
        <v>0.49074410000000002</v>
      </c>
      <c r="AO1243">
        <v>0.49074410000000002</v>
      </c>
      <c r="AR1243" s="8">
        <v>0</v>
      </c>
      <c r="AS1243">
        <v>1.054246</v>
      </c>
    </row>
    <row r="1244" spans="1:45" x14ac:dyDescent="0.25">
      <c r="A1244">
        <v>240</v>
      </c>
      <c r="B1244">
        <v>2004</v>
      </c>
      <c r="C1244" s="8">
        <v>0</v>
      </c>
      <c r="D1244">
        <v>0.3028129</v>
      </c>
      <c r="E1244">
        <v>0.1696386</v>
      </c>
      <c r="F1244">
        <v>3.5587800000000003E-2</v>
      </c>
      <c r="G1244">
        <v>0.5766038</v>
      </c>
      <c r="H1244">
        <v>0.1856344</v>
      </c>
      <c r="Q1244" s="10">
        <f t="shared" si="58"/>
        <v>2.290675027393025E-2</v>
      </c>
      <c r="AI1244">
        <v>0.42657650000000003</v>
      </c>
      <c r="AJ1244">
        <f t="shared" si="57"/>
        <v>0.42657650000000003</v>
      </c>
      <c r="AO1244">
        <v>0.42657650000000003</v>
      </c>
      <c r="AR1244" s="8">
        <v>0</v>
      </c>
      <c r="AS1244">
        <v>0.58466600000000002</v>
      </c>
    </row>
    <row r="1245" spans="1:45" x14ac:dyDescent="0.25">
      <c r="A1245">
        <v>241</v>
      </c>
      <c r="B1245">
        <v>1999</v>
      </c>
      <c r="C1245" s="8">
        <v>0</v>
      </c>
      <c r="D1245">
        <v>0.49074410000000002</v>
      </c>
      <c r="E1245">
        <v>4.3261399999999998E-2</v>
      </c>
      <c r="F1245">
        <v>9.5677600000000002E-2</v>
      </c>
      <c r="G1245">
        <v>1.0359830000000001</v>
      </c>
      <c r="H1245">
        <v>0.6112438</v>
      </c>
      <c r="Q1245" s="10">
        <f t="shared" si="58"/>
        <v>1.165283233912252E-2</v>
      </c>
      <c r="AI1245">
        <v>0.47510530000000001</v>
      </c>
      <c r="AJ1245">
        <f t="shared" si="57"/>
        <v>0.47510530000000001</v>
      </c>
      <c r="AO1245">
        <v>0.47510530000000001</v>
      </c>
      <c r="AR1245" s="8">
        <v>0</v>
      </c>
      <c r="AS1245">
        <v>0.81528259999999997</v>
      </c>
    </row>
    <row r="1246" spans="1:45" x14ac:dyDescent="0.25">
      <c r="A1246">
        <v>241</v>
      </c>
      <c r="B1246">
        <v>2000</v>
      </c>
      <c r="C1246" s="8">
        <v>0</v>
      </c>
      <c r="D1246">
        <v>0.42657650000000003</v>
      </c>
      <c r="E1246">
        <v>0.12782959999999999</v>
      </c>
      <c r="F1246">
        <v>0.1068282</v>
      </c>
      <c r="G1246">
        <v>2.5391710000000001</v>
      </c>
      <c r="H1246">
        <v>0.64456769999999997</v>
      </c>
      <c r="Q1246" s="10">
        <f t="shared" si="58"/>
        <v>8.6315407064620436E-4</v>
      </c>
      <c r="AI1246">
        <v>0.46469450000000001</v>
      </c>
      <c r="AJ1246">
        <f t="shared" si="57"/>
        <v>0.46469450000000001</v>
      </c>
      <c r="AO1246">
        <v>0.46469450000000001</v>
      </c>
      <c r="AR1246" s="8">
        <v>0</v>
      </c>
      <c r="AS1246">
        <v>0.5766038</v>
      </c>
    </row>
    <row r="1247" spans="1:45" x14ac:dyDescent="0.25">
      <c r="A1247">
        <v>241</v>
      </c>
      <c r="B1247">
        <v>2001</v>
      </c>
      <c r="C1247" s="8">
        <v>0</v>
      </c>
      <c r="D1247">
        <v>0.47510530000000001</v>
      </c>
      <c r="E1247">
        <v>0.1688875</v>
      </c>
      <c r="F1247">
        <v>0.1087846</v>
      </c>
      <c r="G1247">
        <v>2.7738830000000001</v>
      </c>
      <c r="H1247">
        <v>0.64708699999999997</v>
      </c>
      <c r="Q1247" s="10">
        <f t="shared" si="58"/>
        <v>5.6294439667144678E-4</v>
      </c>
      <c r="AI1247">
        <v>0.46106649999999999</v>
      </c>
      <c r="AJ1247">
        <f t="shared" si="57"/>
        <v>0.46106649999999999</v>
      </c>
      <c r="AO1247">
        <v>0.46106649999999999</v>
      </c>
      <c r="AR1247" s="8">
        <v>0</v>
      </c>
      <c r="AS1247">
        <v>1.0359830000000001</v>
      </c>
    </row>
    <row r="1248" spans="1:45" x14ac:dyDescent="0.25">
      <c r="A1248">
        <v>241</v>
      </c>
      <c r="B1248">
        <v>2002</v>
      </c>
      <c r="C1248" s="8">
        <v>0</v>
      </c>
      <c r="D1248">
        <v>0.46469450000000001</v>
      </c>
      <c r="E1248">
        <v>0.19433049999999999</v>
      </c>
      <c r="F1248">
        <v>8.96208E-2</v>
      </c>
      <c r="G1248">
        <v>1.5740510000000001</v>
      </c>
      <c r="H1248">
        <v>0.62601119999999999</v>
      </c>
      <c r="Q1248" s="10">
        <f t="shared" si="58"/>
        <v>4.1902374985197137E-3</v>
      </c>
      <c r="AI1248">
        <v>0.38037480000000001</v>
      </c>
      <c r="AJ1248">
        <f t="shared" si="57"/>
        <v>0.38037480000000001</v>
      </c>
      <c r="AO1248">
        <v>0.38037480000000001</v>
      </c>
      <c r="AR1248" s="8">
        <v>0</v>
      </c>
      <c r="AS1248">
        <v>2.5391710000000001</v>
      </c>
    </row>
    <row r="1249" spans="1:45" x14ac:dyDescent="0.25">
      <c r="A1249">
        <v>241</v>
      </c>
      <c r="B1249">
        <v>2003</v>
      </c>
      <c r="C1249" s="8">
        <v>0</v>
      </c>
      <c r="D1249">
        <v>0.46106649999999999</v>
      </c>
      <c r="E1249">
        <v>0.28159459999999997</v>
      </c>
      <c r="F1249">
        <v>8.7165400000000004E-2</v>
      </c>
      <c r="G1249">
        <v>1.7821499999999999</v>
      </c>
      <c r="H1249">
        <v>0.61241590000000001</v>
      </c>
      <c r="Q1249" s="10">
        <f t="shared" si="58"/>
        <v>2.6790889320919991E-3</v>
      </c>
      <c r="AI1249">
        <v>1.61754E-2</v>
      </c>
      <c r="AJ1249">
        <f t="shared" si="57"/>
        <v>1.61754E-2</v>
      </c>
      <c r="AO1249">
        <v>1.61754E-2</v>
      </c>
      <c r="AR1249" s="8">
        <v>0</v>
      </c>
      <c r="AS1249">
        <v>2.7738830000000001</v>
      </c>
    </row>
    <row r="1250" spans="1:45" x14ac:dyDescent="0.25">
      <c r="A1250">
        <v>242</v>
      </c>
      <c r="B1250">
        <v>1995</v>
      </c>
      <c r="C1250" s="8">
        <v>0</v>
      </c>
      <c r="D1250">
        <v>0.38037480000000001</v>
      </c>
      <c r="E1250">
        <v>-1.740432</v>
      </c>
      <c r="F1250">
        <v>7.4835299999999993E-2</v>
      </c>
      <c r="G1250">
        <v>1.831558</v>
      </c>
      <c r="H1250">
        <v>0.52866360000000001</v>
      </c>
      <c r="Q1250" s="10">
        <f t="shared" si="58"/>
        <v>4.5434884032340916E-2</v>
      </c>
      <c r="AI1250">
        <v>5.1317700000000001E-2</v>
      </c>
      <c r="AJ1250">
        <f t="shared" si="57"/>
        <v>5.1317700000000001E-2</v>
      </c>
      <c r="AO1250">
        <v>5.1317700000000001E-2</v>
      </c>
      <c r="AR1250" s="8">
        <v>0</v>
      </c>
      <c r="AS1250">
        <v>1.5740510000000001</v>
      </c>
    </row>
    <row r="1251" spans="1:45" x14ac:dyDescent="0.25">
      <c r="A1251">
        <v>243</v>
      </c>
      <c r="B1251">
        <v>2001</v>
      </c>
      <c r="C1251" s="8">
        <v>0</v>
      </c>
      <c r="D1251">
        <v>1.61754E-2</v>
      </c>
      <c r="E1251">
        <v>0.1066416</v>
      </c>
      <c r="F1251">
        <v>2.77126E-2</v>
      </c>
      <c r="G1251">
        <v>0.32626870000000002</v>
      </c>
      <c r="H1251">
        <v>0.24951280000000001</v>
      </c>
      <c r="Q1251" s="10">
        <f t="shared" si="58"/>
        <v>3.63050177559682E-2</v>
      </c>
      <c r="AI1251">
        <v>4.3164800000000003E-2</v>
      </c>
      <c r="AJ1251">
        <f t="shared" si="57"/>
        <v>4.3164800000000003E-2</v>
      </c>
      <c r="AO1251">
        <v>4.3164800000000003E-2</v>
      </c>
      <c r="AR1251" s="8">
        <v>0</v>
      </c>
      <c r="AS1251">
        <v>1.7821499999999999</v>
      </c>
    </row>
    <row r="1252" spans="1:45" x14ac:dyDescent="0.25">
      <c r="A1252">
        <v>243</v>
      </c>
      <c r="B1252">
        <v>2002</v>
      </c>
      <c r="C1252" s="8">
        <v>0</v>
      </c>
      <c r="D1252">
        <v>5.1317700000000001E-2</v>
      </c>
      <c r="E1252">
        <v>7.2268499999999999E-2</v>
      </c>
      <c r="F1252">
        <v>4.2289899999999998E-2</v>
      </c>
      <c r="G1252">
        <v>0.2205799</v>
      </c>
      <c r="H1252">
        <v>0.2360293</v>
      </c>
      <c r="Q1252" s="10">
        <f t="shared" si="58"/>
        <v>4.027899326148153E-2</v>
      </c>
      <c r="AI1252">
        <v>3.8685200000000003E-2</v>
      </c>
      <c r="AJ1252">
        <f t="shared" si="57"/>
        <v>3.8685200000000003E-2</v>
      </c>
      <c r="AO1252">
        <v>3.8685200000000003E-2</v>
      </c>
      <c r="AR1252" s="8">
        <v>0</v>
      </c>
      <c r="AS1252">
        <v>1.831558</v>
      </c>
    </row>
    <row r="1253" spans="1:45" x14ac:dyDescent="0.25">
      <c r="A1253">
        <v>243</v>
      </c>
      <c r="B1253">
        <v>2003</v>
      </c>
      <c r="C1253" s="8">
        <v>0</v>
      </c>
      <c r="D1253">
        <v>4.3164800000000003E-2</v>
      </c>
      <c r="E1253">
        <v>0.1114207</v>
      </c>
      <c r="F1253">
        <v>3.06991E-2</v>
      </c>
      <c r="G1253">
        <v>0.45923720000000001</v>
      </c>
      <c r="H1253">
        <v>0.23642879999999999</v>
      </c>
      <c r="Q1253" s="10">
        <f t="shared" si="58"/>
        <v>2.879099618416639E-2</v>
      </c>
      <c r="AI1253">
        <v>0.1050987</v>
      </c>
      <c r="AJ1253">
        <f t="shared" si="57"/>
        <v>0.1050987</v>
      </c>
      <c r="AO1253">
        <v>0.1050987</v>
      </c>
      <c r="AR1253" s="8">
        <v>0</v>
      </c>
      <c r="AS1253">
        <v>0.32626870000000002</v>
      </c>
    </row>
    <row r="1254" spans="1:45" x14ac:dyDescent="0.25">
      <c r="A1254">
        <v>243</v>
      </c>
      <c r="B1254">
        <v>2004</v>
      </c>
      <c r="C1254" s="8">
        <v>0</v>
      </c>
      <c r="D1254">
        <v>3.8685200000000003E-2</v>
      </c>
      <c r="E1254">
        <v>0.12844369999999999</v>
      </c>
      <c r="F1254">
        <v>4.39376E-2</v>
      </c>
      <c r="G1254">
        <v>0.60977110000000001</v>
      </c>
      <c r="H1254">
        <v>0.22244330000000001</v>
      </c>
      <c r="Q1254" s="10">
        <f t="shared" si="58"/>
        <v>1.9849258941959765E-2</v>
      </c>
      <c r="AI1254">
        <v>-3.8003799999999997E-2</v>
      </c>
      <c r="AJ1254">
        <f t="shared" si="57"/>
        <v>-3.8003799999999997E-2</v>
      </c>
      <c r="AO1254">
        <v>-3.8003799999999997E-2</v>
      </c>
      <c r="AR1254" s="8">
        <v>0</v>
      </c>
      <c r="AS1254">
        <v>0.2205799</v>
      </c>
    </row>
    <row r="1255" spans="1:45" x14ac:dyDescent="0.25">
      <c r="A1255">
        <v>244</v>
      </c>
      <c r="B1255">
        <v>1999</v>
      </c>
      <c r="C1255" s="8">
        <v>0</v>
      </c>
      <c r="D1255">
        <v>0.1050987</v>
      </c>
      <c r="E1255">
        <v>0.45391930000000003</v>
      </c>
      <c r="F1255">
        <v>8.5056199999999998E-2</v>
      </c>
      <c r="G1255">
        <v>5.3145850000000001</v>
      </c>
      <c r="H1255">
        <v>0.2686692</v>
      </c>
      <c r="Q1255" s="10">
        <f t="shared" si="58"/>
        <v>5.3249934653365611E-6</v>
      </c>
      <c r="AI1255">
        <v>-1.7103799999999999E-2</v>
      </c>
      <c r="AJ1255">
        <f t="shared" si="57"/>
        <v>-1.7103799999999999E-2</v>
      </c>
      <c r="AO1255">
        <v>-1.7103799999999999E-2</v>
      </c>
      <c r="AR1255" s="8">
        <v>0</v>
      </c>
      <c r="AS1255">
        <v>0.45923720000000001</v>
      </c>
    </row>
    <row r="1256" spans="1:45" x14ac:dyDescent="0.25">
      <c r="A1256">
        <v>244</v>
      </c>
      <c r="B1256">
        <v>2000</v>
      </c>
      <c r="C1256" s="8">
        <v>0</v>
      </c>
      <c r="D1256">
        <v>-3.8003799999999997E-2</v>
      </c>
      <c r="E1256">
        <v>0.46076739999999999</v>
      </c>
      <c r="F1256">
        <v>7.1708400000000005E-2</v>
      </c>
      <c r="G1256">
        <v>4.5789479999999996</v>
      </c>
      <c r="H1256">
        <v>0.30583339999999998</v>
      </c>
      <c r="Q1256" s="10">
        <f t="shared" si="58"/>
        <v>1.8269784309554484E-5</v>
      </c>
      <c r="AI1256">
        <v>5.5285599999999997E-2</v>
      </c>
      <c r="AJ1256">
        <f t="shared" si="57"/>
        <v>5.5285599999999997E-2</v>
      </c>
      <c r="AO1256">
        <v>5.5285599999999997E-2</v>
      </c>
      <c r="AR1256" s="8">
        <v>0</v>
      </c>
      <c r="AS1256">
        <v>0.60977110000000001</v>
      </c>
    </row>
    <row r="1257" spans="1:45" x14ac:dyDescent="0.25">
      <c r="A1257">
        <v>244</v>
      </c>
      <c r="B1257">
        <v>2001</v>
      </c>
      <c r="C1257" s="8">
        <v>0</v>
      </c>
      <c r="D1257">
        <v>-1.7103799999999999E-2</v>
      </c>
      <c r="E1257">
        <v>0.50303600000000004</v>
      </c>
      <c r="F1257">
        <v>7.9860500000000001E-2</v>
      </c>
      <c r="G1257">
        <v>4.5408989999999996</v>
      </c>
      <c r="H1257">
        <v>0.2773427</v>
      </c>
      <c r="Q1257" s="10">
        <f t="shared" si="58"/>
        <v>1.6949198720881784E-5</v>
      </c>
      <c r="AI1257">
        <v>3.7098199999999998E-2</v>
      </c>
      <c r="AJ1257">
        <f t="shared" si="57"/>
        <v>3.7098199999999998E-2</v>
      </c>
      <c r="AO1257">
        <v>3.7098199999999998E-2</v>
      </c>
      <c r="AR1257" s="8">
        <v>0</v>
      </c>
      <c r="AS1257">
        <v>5.3145850000000001</v>
      </c>
    </row>
    <row r="1258" spans="1:45" x14ac:dyDescent="0.25">
      <c r="A1258">
        <v>244</v>
      </c>
      <c r="B1258">
        <v>2002</v>
      </c>
      <c r="C1258" s="8">
        <v>0</v>
      </c>
      <c r="D1258">
        <v>5.5285599999999997E-2</v>
      </c>
      <c r="E1258">
        <v>0.54155770000000003</v>
      </c>
      <c r="F1258">
        <v>8.35674E-2</v>
      </c>
      <c r="G1258">
        <v>4.2529490000000001</v>
      </c>
      <c r="H1258">
        <v>0.28360469999999999</v>
      </c>
      <c r="Q1258" s="10">
        <f t="shared" si="58"/>
        <v>2.5464946695488765E-5</v>
      </c>
      <c r="AI1258">
        <v>9.6048000000000001E-3</v>
      </c>
      <c r="AJ1258">
        <f t="shared" si="57"/>
        <v>9.6048000000000001E-3</v>
      </c>
      <c r="AO1258">
        <v>9.6048000000000001E-3</v>
      </c>
      <c r="AR1258" s="8">
        <v>0</v>
      </c>
      <c r="AS1258">
        <v>4.5789479999999996</v>
      </c>
    </row>
    <row r="1259" spans="1:45" x14ac:dyDescent="0.25">
      <c r="A1259">
        <v>244</v>
      </c>
      <c r="B1259">
        <v>2003</v>
      </c>
      <c r="C1259" s="8">
        <v>0</v>
      </c>
      <c r="D1259">
        <v>3.7098199999999998E-2</v>
      </c>
      <c r="E1259">
        <v>0.6716763</v>
      </c>
      <c r="F1259">
        <v>9.5316799999999993E-2</v>
      </c>
      <c r="G1259">
        <v>4.8457499999999998</v>
      </c>
      <c r="H1259">
        <v>0.29237960000000002</v>
      </c>
      <c r="Q1259" s="10">
        <f t="shared" si="58"/>
        <v>7.4436297790850412E-6</v>
      </c>
      <c r="AI1259">
        <v>0.13546820000000001</v>
      </c>
      <c r="AJ1259">
        <f t="shared" si="57"/>
        <v>0.13546820000000001</v>
      </c>
      <c r="AO1259">
        <v>0.13546820000000001</v>
      </c>
      <c r="AR1259" s="8">
        <v>0</v>
      </c>
      <c r="AS1259">
        <v>4.5408989999999996</v>
      </c>
    </row>
    <row r="1260" spans="1:45" x14ac:dyDescent="0.25">
      <c r="A1260">
        <v>244</v>
      </c>
      <c r="B1260">
        <v>2004</v>
      </c>
      <c r="C1260" s="8">
        <v>0</v>
      </c>
      <c r="D1260">
        <v>9.6048000000000001E-3</v>
      </c>
      <c r="E1260">
        <v>0.74257550000000005</v>
      </c>
      <c r="F1260">
        <v>8.5172899999999996E-2</v>
      </c>
      <c r="G1260">
        <v>5.6619400000000004</v>
      </c>
      <c r="H1260">
        <v>0.3196061</v>
      </c>
      <c r="Q1260" s="10">
        <f t="shared" si="58"/>
        <v>1.9941559506836199E-6</v>
      </c>
      <c r="AI1260">
        <v>0.16174730000000001</v>
      </c>
      <c r="AJ1260">
        <f t="shared" si="57"/>
        <v>0.16174730000000001</v>
      </c>
      <c r="AO1260">
        <v>0.16174730000000001</v>
      </c>
      <c r="AR1260" s="8">
        <v>0</v>
      </c>
      <c r="AS1260">
        <v>4.2529490000000001</v>
      </c>
    </row>
    <row r="1261" spans="1:45" x14ac:dyDescent="0.25">
      <c r="A1261">
        <v>245</v>
      </c>
      <c r="B1261">
        <v>1995</v>
      </c>
      <c r="C1261" s="8">
        <v>0</v>
      </c>
      <c r="D1261">
        <v>0.13546820000000001</v>
      </c>
      <c r="E1261">
        <v>0.66784149999999998</v>
      </c>
      <c r="F1261">
        <v>8.0510799999999993E-2</v>
      </c>
      <c r="G1261">
        <v>2.116412</v>
      </c>
      <c r="H1261">
        <v>0.2446111</v>
      </c>
      <c r="Q1261" s="10">
        <f t="shared" si="58"/>
        <v>6.5940270203424575E-4</v>
      </c>
      <c r="AI1261">
        <v>0.13136700000000001</v>
      </c>
      <c r="AJ1261">
        <f t="shared" si="57"/>
        <v>0.13136700000000001</v>
      </c>
      <c r="AO1261">
        <v>0.13136700000000001</v>
      </c>
      <c r="AR1261" s="8">
        <v>0</v>
      </c>
      <c r="AS1261">
        <v>4.8457499999999998</v>
      </c>
    </row>
    <row r="1262" spans="1:45" x14ac:dyDescent="0.25">
      <c r="A1262">
        <v>245</v>
      </c>
      <c r="B1262">
        <v>1996</v>
      </c>
      <c r="C1262" s="8">
        <v>0</v>
      </c>
      <c r="D1262">
        <v>0.16174730000000001</v>
      </c>
      <c r="E1262">
        <v>0.6959497</v>
      </c>
      <c r="F1262">
        <v>7.9944200000000007E-2</v>
      </c>
      <c r="G1262">
        <v>2.0153729999999999</v>
      </c>
      <c r="H1262">
        <v>0.22664329999999999</v>
      </c>
      <c r="Q1262" s="10">
        <f t="shared" si="58"/>
        <v>7.4671192799486146E-4</v>
      </c>
      <c r="AI1262">
        <v>0.14525150000000001</v>
      </c>
      <c r="AJ1262">
        <f t="shared" si="57"/>
        <v>0.14525150000000001</v>
      </c>
      <c r="AO1262">
        <v>0.14525150000000001</v>
      </c>
      <c r="AR1262" s="8">
        <v>0</v>
      </c>
      <c r="AS1262">
        <v>5.6619400000000004</v>
      </c>
    </row>
    <row r="1263" spans="1:45" x14ac:dyDescent="0.25">
      <c r="A1263">
        <v>245</v>
      </c>
      <c r="B1263">
        <v>1997</v>
      </c>
      <c r="C1263" s="8">
        <v>0</v>
      </c>
      <c r="D1263">
        <v>0.13136700000000001</v>
      </c>
      <c r="E1263">
        <v>0.55045630000000001</v>
      </c>
      <c r="F1263">
        <v>4.4670099999999997E-2</v>
      </c>
      <c r="G1263">
        <v>1.336616</v>
      </c>
      <c r="H1263">
        <v>0.16236129999999999</v>
      </c>
      <c r="Q1263" s="10">
        <f t="shared" si="58"/>
        <v>3.4150673748398037E-3</v>
      </c>
      <c r="AI1263">
        <v>0.1537192</v>
      </c>
      <c r="AJ1263">
        <f t="shared" si="57"/>
        <v>0.1537192</v>
      </c>
      <c r="AO1263">
        <v>0.1537192</v>
      </c>
      <c r="AR1263" s="8">
        <v>0</v>
      </c>
      <c r="AS1263">
        <v>2.116412</v>
      </c>
    </row>
    <row r="1264" spans="1:45" x14ac:dyDescent="0.25">
      <c r="A1264">
        <v>245</v>
      </c>
      <c r="B1264">
        <v>1998</v>
      </c>
      <c r="C1264" s="8">
        <v>0</v>
      </c>
      <c r="D1264">
        <v>0.14525150000000001</v>
      </c>
      <c r="E1264">
        <v>0.52723050000000005</v>
      </c>
      <c r="F1264">
        <v>4.4930600000000001E-2</v>
      </c>
      <c r="G1264">
        <v>0.82768640000000004</v>
      </c>
      <c r="H1264">
        <v>0.1757649</v>
      </c>
      <c r="Q1264" s="10">
        <f t="shared" si="58"/>
        <v>8.0072954177272324E-3</v>
      </c>
      <c r="AI1264">
        <v>0.20557429999999999</v>
      </c>
      <c r="AJ1264">
        <f t="shared" si="57"/>
        <v>0.20557429999999999</v>
      </c>
      <c r="AO1264">
        <v>0.20557429999999999</v>
      </c>
      <c r="AR1264" s="8">
        <v>0</v>
      </c>
      <c r="AS1264">
        <v>2.0153729999999999</v>
      </c>
    </row>
    <row r="1265" spans="1:45" x14ac:dyDescent="0.25">
      <c r="A1265">
        <v>245</v>
      </c>
      <c r="B1265">
        <v>1999</v>
      </c>
      <c r="C1265" s="8">
        <v>0</v>
      </c>
      <c r="D1265">
        <v>0.1537192</v>
      </c>
      <c r="E1265">
        <v>0.53443189999999996</v>
      </c>
      <c r="F1265">
        <v>5.3822700000000001E-2</v>
      </c>
      <c r="G1265">
        <v>0.97038230000000003</v>
      </c>
      <c r="H1265">
        <v>0.1994814</v>
      </c>
      <c r="Q1265" s="10">
        <f t="shared" si="58"/>
        <v>5.9989434448847077E-3</v>
      </c>
      <c r="AI1265">
        <v>7.1812200000000007E-2</v>
      </c>
      <c r="AJ1265">
        <f t="shared" si="57"/>
        <v>7.1812200000000007E-2</v>
      </c>
      <c r="AO1265">
        <v>7.1812200000000007E-2</v>
      </c>
      <c r="AR1265" s="8">
        <v>0</v>
      </c>
      <c r="AS1265">
        <v>1.336616</v>
      </c>
    </row>
    <row r="1266" spans="1:45" x14ac:dyDescent="0.25">
      <c r="A1266">
        <v>245</v>
      </c>
      <c r="B1266">
        <v>2000</v>
      </c>
      <c r="C1266" s="8">
        <v>0</v>
      </c>
      <c r="D1266">
        <v>0.20557429999999999</v>
      </c>
      <c r="E1266">
        <v>0.52481319999999998</v>
      </c>
      <c r="F1266">
        <v>3.9574999999999999E-2</v>
      </c>
      <c r="G1266">
        <v>0.85083339999999996</v>
      </c>
      <c r="H1266">
        <v>0.1965073</v>
      </c>
      <c r="Q1266" s="10">
        <f t="shared" si="58"/>
        <v>8.3920486605104979E-3</v>
      </c>
      <c r="AI1266">
        <v>0.1075065</v>
      </c>
      <c r="AJ1266">
        <f t="shared" si="57"/>
        <v>0.1075065</v>
      </c>
      <c r="AO1266">
        <v>0.1075065</v>
      </c>
      <c r="AR1266" s="8">
        <v>0</v>
      </c>
      <c r="AS1266">
        <v>0.82768640000000004</v>
      </c>
    </row>
    <row r="1267" spans="1:45" x14ac:dyDescent="0.25">
      <c r="A1267">
        <v>245</v>
      </c>
      <c r="B1267">
        <v>2001</v>
      </c>
      <c r="C1267" s="8">
        <v>0</v>
      </c>
      <c r="D1267">
        <v>7.1812200000000007E-2</v>
      </c>
      <c r="E1267">
        <v>0.52243010000000001</v>
      </c>
      <c r="F1267">
        <v>3.3362099999999999E-2</v>
      </c>
      <c r="G1267">
        <v>1.1388370000000001</v>
      </c>
      <c r="H1267">
        <v>0.16156809999999999</v>
      </c>
      <c r="Q1267" s="10">
        <f t="shared" si="58"/>
        <v>5.1946163174166121E-3</v>
      </c>
      <c r="AI1267">
        <v>8.9226E-2</v>
      </c>
      <c r="AJ1267">
        <f t="shared" si="57"/>
        <v>8.9226E-2</v>
      </c>
      <c r="AO1267">
        <v>8.9226E-2</v>
      </c>
      <c r="AR1267" s="8">
        <v>0</v>
      </c>
      <c r="AS1267">
        <v>0.97038230000000003</v>
      </c>
    </row>
    <row r="1268" spans="1:45" x14ac:dyDescent="0.25">
      <c r="A1268">
        <v>245</v>
      </c>
      <c r="B1268">
        <v>2002</v>
      </c>
      <c r="C1268" s="8">
        <v>0</v>
      </c>
      <c r="D1268">
        <v>0.1075065</v>
      </c>
      <c r="E1268">
        <v>0.53714720000000005</v>
      </c>
      <c r="F1268">
        <v>5.7467299999999999E-2</v>
      </c>
      <c r="G1268">
        <v>1.0074939999999999</v>
      </c>
      <c r="H1268">
        <v>0.18482299999999999</v>
      </c>
      <c r="Q1268" s="10">
        <f t="shared" si="58"/>
        <v>5.3216725218662103E-3</v>
      </c>
      <c r="AI1268">
        <v>0.1274795</v>
      </c>
      <c r="AJ1268">
        <f t="shared" si="57"/>
        <v>0.1274795</v>
      </c>
      <c r="AO1268">
        <v>0.1274795</v>
      </c>
      <c r="AR1268" s="8">
        <v>0</v>
      </c>
      <c r="AS1268">
        <v>0.85083339999999996</v>
      </c>
    </row>
    <row r="1269" spans="1:45" x14ac:dyDescent="0.25">
      <c r="A1269">
        <v>245</v>
      </c>
      <c r="B1269">
        <v>2003</v>
      </c>
      <c r="C1269" s="8">
        <v>0</v>
      </c>
      <c r="D1269">
        <v>8.9226E-2</v>
      </c>
      <c r="E1269">
        <v>0.51456800000000003</v>
      </c>
      <c r="F1269">
        <v>3.8437699999999998E-2</v>
      </c>
      <c r="G1269">
        <v>0.85097389999999995</v>
      </c>
      <c r="H1269">
        <v>0.15417139999999999</v>
      </c>
      <c r="Q1269" s="10">
        <f t="shared" si="58"/>
        <v>7.9806442950212907E-3</v>
      </c>
      <c r="AI1269">
        <v>0.1220806</v>
      </c>
      <c r="AJ1269">
        <f t="shared" si="57"/>
        <v>0.1220806</v>
      </c>
      <c r="AO1269">
        <v>0.1220806</v>
      </c>
      <c r="AR1269" s="8">
        <v>0</v>
      </c>
      <c r="AS1269">
        <v>1.1388370000000001</v>
      </c>
    </row>
    <row r="1270" spans="1:45" x14ac:dyDescent="0.25">
      <c r="A1270">
        <v>245</v>
      </c>
      <c r="B1270">
        <v>2004</v>
      </c>
      <c r="C1270" s="8">
        <v>0</v>
      </c>
      <c r="D1270">
        <v>0.1274795</v>
      </c>
      <c r="E1270">
        <v>0.51860850000000003</v>
      </c>
      <c r="F1270">
        <v>2.6050400000000001E-2</v>
      </c>
      <c r="G1270">
        <v>1.076702</v>
      </c>
      <c r="H1270">
        <v>0.15680730000000001</v>
      </c>
      <c r="Q1270" s="10">
        <f t="shared" si="58"/>
        <v>6.2323798462468752E-3</v>
      </c>
      <c r="AI1270">
        <v>0.1897259</v>
      </c>
      <c r="AJ1270">
        <f t="shared" si="57"/>
        <v>0.1897259</v>
      </c>
      <c r="AO1270">
        <v>0.1897259</v>
      </c>
      <c r="AR1270" s="8">
        <v>0</v>
      </c>
      <c r="AS1270">
        <v>1.0074939999999999</v>
      </c>
    </row>
    <row r="1271" spans="1:45" x14ac:dyDescent="0.25">
      <c r="A1271">
        <v>246</v>
      </c>
      <c r="B1271">
        <v>2002</v>
      </c>
      <c r="C1271" s="8">
        <v>0</v>
      </c>
      <c r="D1271">
        <v>0.1220806</v>
      </c>
      <c r="E1271">
        <v>0.2539225</v>
      </c>
      <c r="F1271">
        <v>0.1185607</v>
      </c>
      <c r="G1271">
        <v>4.5143409999999999</v>
      </c>
      <c r="H1271">
        <v>0.33890809999999999</v>
      </c>
      <c r="Q1271" s="10">
        <f t="shared" si="58"/>
        <v>2.0512227951078535E-5</v>
      </c>
      <c r="AI1271">
        <v>0.25351560000000001</v>
      </c>
      <c r="AJ1271">
        <f t="shared" si="57"/>
        <v>0.25351560000000001</v>
      </c>
      <c r="AO1271">
        <v>0.25351560000000001</v>
      </c>
      <c r="AR1271" s="8">
        <v>0</v>
      </c>
      <c r="AS1271">
        <v>0.85097389999999995</v>
      </c>
    </row>
    <row r="1272" spans="1:45" x14ac:dyDescent="0.25">
      <c r="A1272">
        <v>246</v>
      </c>
      <c r="B1272">
        <v>2003</v>
      </c>
      <c r="C1272" s="8">
        <v>0</v>
      </c>
      <c r="D1272">
        <v>0.1897259</v>
      </c>
      <c r="E1272">
        <v>0.28030670000000002</v>
      </c>
      <c r="F1272">
        <v>0.1045683</v>
      </c>
      <c r="G1272">
        <v>4.8211760000000004</v>
      </c>
      <c r="H1272">
        <v>0.29612260000000001</v>
      </c>
      <c r="Q1272" s="10">
        <f t="shared" si="58"/>
        <v>1.3560176324506923E-5</v>
      </c>
      <c r="AI1272">
        <v>6.2376899999999999E-2</v>
      </c>
      <c r="AJ1272">
        <f t="shared" si="57"/>
        <v>6.2376899999999999E-2</v>
      </c>
      <c r="AO1272">
        <v>6.2376899999999999E-2</v>
      </c>
      <c r="AR1272" s="8">
        <v>0</v>
      </c>
      <c r="AS1272">
        <v>1.076702</v>
      </c>
    </row>
    <row r="1273" spans="1:45" x14ac:dyDescent="0.25">
      <c r="A1273">
        <v>246</v>
      </c>
      <c r="B1273">
        <v>2004</v>
      </c>
      <c r="C1273" s="8">
        <v>0</v>
      </c>
      <c r="D1273">
        <v>0.25351560000000001</v>
      </c>
      <c r="E1273">
        <v>0.34623350000000003</v>
      </c>
      <c r="F1273">
        <v>0.1038138</v>
      </c>
      <c r="G1273">
        <v>4.3814979999999997</v>
      </c>
      <c r="H1273">
        <v>0.2949291</v>
      </c>
      <c r="Q1273" s="10">
        <f t="shared" si="58"/>
        <v>2.5627457450368953E-5</v>
      </c>
      <c r="AI1273">
        <v>0.1245778</v>
      </c>
      <c r="AJ1273">
        <f t="shared" si="57"/>
        <v>0.1245778</v>
      </c>
      <c r="AO1273">
        <v>0.1245778</v>
      </c>
      <c r="AR1273" s="8">
        <v>0</v>
      </c>
      <c r="AS1273">
        <v>4.5143409999999999</v>
      </c>
    </row>
    <row r="1274" spans="1:45" x14ac:dyDescent="0.25">
      <c r="A1274">
        <v>247</v>
      </c>
      <c r="B1274">
        <v>1999</v>
      </c>
      <c r="C1274" s="8">
        <v>0</v>
      </c>
      <c r="D1274">
        <v>6.2376899999999999E-2</v>
      </c>
      <c r="E1274">
        <v>0.38887270000000002</v>
      </c>
      <c r="F1274">
        <v>3.1868399999999998E-2</v>
      </c>
      <c r="G1274">
        <v>2.5934560000000002</v>
      </c>
      <c r="H1274">
        <v>0.1219105</v>
      </c>
      <c r="Q1274" s="10">
        <f t="shared" si="58"/>
        <v>6.1373099148890806E-4</v>
      </c>
      <c r="AI1274">
        <v>0.15783</v>
      </c>
      <c r="AJ1274">
        <f t="shared" si="57"/>
        <v>0.15783</v>
      </c>
      <c r="AO1274">
        <v>0.15783</v>
      </c>
      <c r="AR1274" s="8">
        <v>0</v>
      </c>
      <c r="AS1274">
        <v>4.8211760000000004</v>
      </c>
    </row>
    <row r="1275" spans="1:45" x14ac:dyDescent="0.25">
      <c r="A1275">
        <v>247</v>
      </c>
      <c r="B1275">
        <v>2000</v>
      </c>
      <c r="C1275" s="8">
        <v>0</v>
      </c>
      <c r="D1275">
        <v>0.1245778</v>
      </c>
      <c r="E1275">
        <v>0.42473939999999999</v>
      </c>
      <c r="F1275">
        <v>4.9581600000000003E-2</v>
      </c>
      <c r="G1275">
        <v>4.4507630000000002</v>
      </c>
      <c r="H1275">
        <v>0.18688109999999999</v>
      </c>
      <c r="Q1275" s="10">
        <f t="shared" si="58"/>
        <v>2.8009630284606762E-5</v>
      </c>
      <c r="AI1275">
        <v>0.1363248</v>
      </c>
      <c r="AJ1275">
        <f t="shared" si="57"/>
        <v>0.1363248</v>
      </c>
      <c r="AO1275">
        <v>0.1363248</v>
      </c>
      <c r="AR1275" s="8">
        <v>0</v>
      </c>
      <c r="AS1275">
        <v>4.3814979999999997</v>
      </c>
    </row>
    <row r="1276" spans="1:45" x14ac:dyDescent="0.25">
      <c r="A1276">
        <v>247</v>
      </c>
      <c r="B1276">
        <v>2001</v>
      </c>
      <c r="C1276" s="8">
        <v>0</v>
      </c>
      <c r="D1276">
        <v>0.15783</v>
      </c>
      <c r="E1276">
        <v>0.2368065</v>
      </c>
      <c r="F1276">
        <v>4.8743000000000002E-2</v>
      </c>
      <c r="G1276">
        <v>4.4800060000000004</v>
      </c>
      <c r="H1276">
        <v>0.101365</v>
      </c>
      <c r="Q1276" s="10">
        <f t="shared" si="58"/>
        <v>3.4011226259495437E-5</v>
      </c>
      <c r="AI1276">
        <v>0.1638927</v>
      </c>
      <c r="AJ1276">
        <f t="shared" si="57"/>
        <v>0.1638927</v>
      </c>
      <c r="AO1276">
        <v>0.1638927</v>
      </c>
      <c r="AR1276" s="8">
        <v>0</v>
      </c>
      <c r="AS1276">
        <v>2.5934560000000002</v>
      </c>
    </row>
    <row r="1277" spans="1:45" x14ac:dyDescent="0.25">
      <c r="A1277">
        <v>247</v>
      </c>
      <c r="B1277">
        <v>2002</v>
      </c>
      <c r="C1277" s="8">
        <v>0</v>
      </c>
      <c r="D1277">
        <v>0.1363248</v>
      </c>
      <c r="E1277">
        <v>0.25128499999999998</v>
      </c>
      <c r="F1277">
        <v>4.3603099999999999E-2</v>
      </c>
      <c r="G1277">
        <v>3.635894</v>
      </c>
      <c r="H1277">
        <v>0.12753210000000001</v>
      </c>
      <c r="Q1277" s="10">
        <f t="shared" si="58"/>
        <v>1.3417292783531428E-4</v>
      </c>
      <c r="AI1277">
        <v>0.10484350000000001</v>
      </c>
      <c r="AJ1277">
        <f t="shared" si="57"/>
        <v>0.10484350000000001</v>
      </c>
      <c r="AO1277">
        <v>0.10484350000000001</v>
      </c>
      <c r="AR1277" s="8">
        <v>0</v>
      </c>
      <c r="AS1277">
        <v>4.4507630000000002</v>
      </c>
    </row>
    <row r="1278" spans="1:45" x14ac:dyDescent="0.25">
      <c r="A1278">
        <v>247</v>
      </c>
      <c r="B1278">
        <v>2003</v>
      </c>
      <c r="C1278" s="8">
        <v>0</v>
      </c>
      <c r="D1278">
        <v>0.1638927</v>
      </c>
      <c r="E1278">
        <v>0.25561099999999998</v>
      </c>
      <c r="F1278">
        <v>2.9458999999999999E-2</v>
      </c>
      <c r="G1278">
        <v>3.2122090000000001</v>
      </c>
      <c r="H1278">
        <v>0.11149100000000001</v>
      </c>
      <c r="Q1278" s="10">
        <f t="shared" si="58"/>
        <v>2.9367810125531193E-4</v>
      </c>
      <c r="AI1278">
        <v>3.36032E-2</v>
      </c>
      <c r="AJ1278">
        <f t="shared" si="57"/>
        <v>3.36032E-2</v>
      </c>
      <c r="AO1278">
        <v>3.36032E-2</v>
      </c>
      <c r="AR1278" s="8">
        <v>0</v>
      </c>
      <c r="AS1278">
        <v>4.4800060000000004</v>
      </c>
    </row>
    <row r="1279" spans="1:45" x14ac:dyDescent="0.25">
      <c r="A1279">
        <v>247</v>
      </c>
      <c r="B1279">
        <v>2004</v>
      </c>
      <c r="C1279" s="8">
        <v>0</v>
      </c>
      <c r="D1279">
        <v>0.10484350000000001</v>
      </c>
      <c r="E1279">
        <v>0.2748351</v>
      </c>
      <c r="F1279">
        <v>3.9923699999999999E-2</v>
      </c>
      <c r="G1279">
        <v>5.0968960000000001</v>
      </c>
      <c r="H1279">
        <v>0.10106710000000001</v>
      </c>
      <c r="Q1279" s="10">
        <f t="shared" si="58"/>
        <v>1.2638522909560743E-5</v>
      </c>
      <c r="AI1279">
        <v>2.9459300000000001E-2</v>
      </c>
      <c r="AJ1279">
        <f t="shared" si="57"/>
        <v>2.9459300000000001E-2</v>
      </c>
      <c r="AO1279">
        <v>2.9459300000000001E-2</v>
      </c>
      <c r="AR1279" s="8">
        <v>0</v>
      </c>
      <c r="AS1279">
        <v>3.635894</v>
      </c>
    </row>
    <row r="1280" spans="1:45" x14ac:dyDescent="0.25">
      <c r="A1280">
        <v>248</v>
      </c>
      <c r="B1280">
        <v>1996</v>
      </c>
      <c r="C1280" s="8">
        <v>0</v>
      </c>
      <c r="D1280">
        <v>3.36032E-2</v>
      </c>
      <c r="E1280">
        <v>0.42537520000000001</v>
      </c>
      <c r="F1280">
        <v>6.5442E-2</v>
      </c>
      <c r="G1280">
        <v>4.5387300000000002</v>
      </c>
      <c r="H1280">
        <v>0.19321759999999999</v>
      </c>
      <c r="Q1280" s="10">
        <f t="shared" si="58"/>
        <v>2.0713936972938618E-5</v>
      </c>
      <c r="AI1280">
        <v>5.8721700000000002E-2</v>
      </c>
      <c r="AJ1280">
        <f t="shared" si="57"/>
        <v>5.8721700000000002E-2</v>
      </c>
      <c r="AO1280">
        <v>5.8721700000000002E-2</v>
      </c>
      <c r="AR1280" s="8">
        <v>0</v>
      </c>
      <c r="AS1280">
        <v>3.2122090000000001</v>
      </c>
    </row>
    <row r="1281" spans="1:45" x14ac:dyDescent="0.25">
      <c r="A1281">
        <v>248</v>
      </c>
      <c r="B1281">
        <v>1997</v>
      </c>
      <c r="C1281" s="8">
        <v>0</v>
      </c>
      <c r="D1281">
        <v>2.9459300000000001E-2</v>
      </c>
      <c r="E1281">
        <v>0.34872039999999999</v>
      </c>
      <c r="F1281">
        <v>5.8884699999999998E-2</v>
      </c>
      <c r="G1281">
        <v>2.2522150000000001</v>
      </c>
      <c r="H1281">
        <v>0.12816069999999999</v>
      </c>
      <c r="Q1281" s="10">
        <f t="shared" si="58"/>
        <v>8.938927646608305E-4</v>
      </c>
      <c r="AI1281">
        <v>6.1797100000000001E-2</v>
      </c>
      <c r="AJ1281">
        <f t="shared" si="57"/>
        <v>6.1797100000000001E-2</v>
      </c>
      <c r="AO1281">
        <v>6.1797100000000001E-2</v>
      </c>
      <c r="AR1281" s="8">
        <v>0</v>
      </c>
      <c r="AS1281">
        <v>5.0968960000000001</v>
      </c>
    </row>
    <row r="1282" spans="1:45" x14ac:dyDescent="0.25">
      <c r="A1282">
        <v>248</v>
      </c>
      <c r="B1282">
        <v>1998</v>
      </c>
      <c r="C1282" s="8">
        <v>0</v>
      </c>
      <c r="D1282">
        <v>5.8721700000000002E-2</v>
      </c>
      <c r="E1282">
        <v>0.28391230000000001</v>
      </c>
      <c r="F1282">
        <v>2.21663E-2</v>
      </c>
      <c r="G1282">
        <v>0.93936390000000003</v>
      </c>
      <c r="H1282">
        <v>0.14144760000000001</v>
      </c>
      <c r="Q1282" s="10">
        <f t="shared" si="58"/>
        <v>1.0786943983543911E-2</v>
      </c>
      <c r="AI1282">
        <v>0.13949230000000001</v>
      </c>
      <c r="AJ1282">
        <f t="shared" si="57"/>
        <v>0.13949230000000001</v>
      </c>
      <c r="AO1282">
        <v>0.13949230000000001</v>
      </c>
      <c r="AR1282" s="8">
        <v>0</v>
      </c>
      <c r="AS1282">
        <v>4.5387300000000002</v>
      </c>
    </row>
    <row r="1283" spans="1:45" x14ac:dyDescent="0.25">
      <c r="A1283">
        <v>248</v>
      </c>
      <c r="B1283">
        <v>1999</v>
      </c>
      <c r="C1283" s="8">
        <v>0</v>
      </c>
      <c r="D1283">
        <v>6.1797100000000001E-2</v>
      </c>
      <c r="E1283">
        <v>0.2986664</v>
      </c>
      <c r="F1283">
        <v>4.4262900000000001E-2</v>
      </c>
      <c r="G1283">
        <v>1.0792569999999999</v>
      </c>
      <c r="H1283">
        <v>0.1606032</v>
      </c>
      <c r="Q1283" s="10">
        <f t="shared" si="58"/>
        <v>7.1991631331825108E-3</v>
      </c>
      <c r="AI1283">
        <v>0.19142329999999999</v>
      </c>
      <c r="AJ1283">
        <f t="shared" si="57"/>
        <v>0.19142329999999999</v>
      </c>
      <c r="AO1283">
        <v>0.19142329999999999</v>
      </c>
      <c r="AR1283" s="8">
        <v>0</v>
      </c>
      <c r="AS1283">
        <v>2.2522150000000001</v>
      </c>
    </row>
    <row r="1284" spans="1:45" x14ac:dyDescent="0.25">
      <c r="A1284">
        <v>249</v>
      </c>
      <c r="B1284">
        <v>1999</v>
      </c>
      <c r="C1284" s="8">
        <v>0</v>
      </c>
      <c r="D1284">
        <v>0.13949230000000001</v>
      </c>
      <c r="E1284">
        <v>1.2552900000000001E-2</v>
      </c>
      <c r="F1284">
        <v>5.2058199999999999E-2</v>
      </c>
      <c r="G1284">
        <v>0.75883529999999999</v>
      </c>
      <c r="H1284">
        <v>0.26894119999999999</v>
      </c>
      <c r="Q1284" s="10">
        <f t="shared" si="58"/>
        <v>1.8652480372533729E-2</v>
      </c>
      <c r="AI1284">
        <v>0.19059999999999999</v>
      </c>
      <c r="AJ1284">
        <f t="shared" si="57"/>
        <v>0.19059999999999999</v>
      </c>
      <c r="AO1284">
        <v>0.19059999999999999</v>
      </c>
      <c r="AR1284" s="8">
        <v>0</v>
      </c>
      <c r="AS1284">
        <v>0.93936390000000003</v>
      </c>
    </row>
    <row r="1285" spans="1:45" x14ac:dyDescent="0.25">
      <c r="A1285">
        <v>249</v>
      </c>
      <c r="B1285">
        <v>2000</v>
      </c>
      <c r="C1285" s="8">
        <v>0</v>
      </c>
      <c r="D1285">
        <v>0.19142329999999999</v>
      </c>
      <c r="E1285">
        <v>5.1523199999999998E-2</v>
      </c>
      <c r="F1285">
        <v>5.39339E-2</v>
      </c>
      <c r="G1285">
        <v>0.85134279999999996</v>
      </c>
      <c r="H1285">
        <v>0.196766</v>
      </c>
      <c r="Q1285" s="10">
        <f t="shared" si="58"/>
        <v>1.4697910298708546E-2</v>
      </c>
      <c r="AI1285">
        <v>0.1072306</v>
      </c>
      <c r="AJ1285">
        <f t="shared" ref="AJ1285:AJ1348" si="59">MAX(MIN(AI1285,AM$5),AM$4)</f>
        <v>0.1072306</v>
      </c>
      <c r="AO1285">
        <v>0.1072306</v>
      </c>
      <c r="AR1285" s="8">
        <v>0</v>
      </c>
      <c r="AS1285">
        <v>1.0792569999999999</v>
      </c>
    </row>
    <row r="1286" spans="1:45" x14ac:dyDescent="0.25">
      <c r="A1286">
        <v>249</v>
      </c>
      <c r="B1286">
        <v>2001</v>
      </c>
      <c r="C1286" s="8">
        <v>0</v>
      </c>
      <c r="D1286">
        <v>0.19059999999999999</v>
      </c>
      <c r="E1286">
        <v>8.5446099999999997E-2</v>
      </c>
      <c r="F1286">
        <v>7.0703199999999994E-2</v>
      </c>
      <c r="G1286">
        <v>0.85775089999999998</v>
      </c>
      <c r="H1286">
        <v>0.2650922</v>
      </c>
      <c r="Q1286" s="10">
        <f t="shared" si="58"/>
        <v>1.2655637615086373E-2</v>
      </c>
      <c r="AI1286">
        <v>0.15090509999999999</v>
      </c>
      <c r="AJ1286">
        <f t="shared" si="59"/>
        <v>0.15090509999999999</v>
      </c>
      <c r="AO1286">
        <v>0.15090509999999999</v>
      </c>
      <c r="AR1286" s="8">
        <v>0</v>
      </c>
      <c r="AS1286">
        <v>0.75883529999999999</v>
      </c>
    </row>
    <row r="1287" spans="1:45" x14ac:dyDescent="0.25">
      <c r="A1287">
        <v>249</v>
      </c>
      <c r="B1287">
        <v>2002</v>
      </c>
      <c r="C1287" s="8">
        <v>0</v>
      </c>
      <c r="D1287">
        <v>0.1072306</v>
      </c>
      <c r="E1287">
        <v>-2.45328E-2</v>
      </c>
      <c r="F1287">
        <v>5.1083200000000002E-2</v>
      </c>
      <c r="G1287">
        <v>0.45246459999999999</v>
      </c>
      <c r="H1287">
        <v>0.22473180000000001</v>
      </c>
      <c r="Q1287" s="10">
        <f t="shared" ref="Q1287:Q1350" si="60">1/(1+EXP(-(J$6+SUMPRODUCT(K$6:O$6,D1287:H1287))))</f>
        <v>3.0656895271595191E-2</v>
      </c>
      <c r="AI1287">
        <v>0.14952950000000001</v>
      </c>
      <c r="AJ1287">
        <f t="shared" si="59"/>
        <v>0.14952950000000001</v>
      </c>
      <c r="AO1287">
        <v>0.14952950000000001</v>
      </c>
      <c r="AR1287" s="8">
        <v>0</v>
      </c>
      <c r="AS1287">
        <v>0.85134279999999996</v>
      </c>
    </row>
    <row r="1288" spans="1:45" x14ac:dyDescent="0.25">
      <c r="A1288">
        <v>249</v>
      </c>
      <c r="B1288">
        <v>2003</v>
      </c>
      <c r="C1288" s="8">
        <v>0</v>
      </c>
      <c r="D1288">
        <v>0.15090509999999999</v>
      </c>
      <c r="E1288">
        <v>2.0695600000000001E-2</v>
      </c>
      <c r="F1288">
        <v>3.94119E-2</v>
      </c>
      <c r="G1288">
        <v>0.75934330000000005</v>
      </c>
      <c r="H1288">
        <v>0.21815200000000001</v>
      </c>
      <c r="Q1288" s="10">
        <f t="shared" si="60"/>
        <v>1.9817295272735666E-2</v>
      </c>
      <c r="AI1288">
        <v>0.1318512</v>
      </c>
      <c r="AJ1288">
        <f t="shared" si="59"/>
        <v>0.1318512</v>
      </c>
      <c r="AO1288">
        <v>0.1318512</v>
      </c>
      <c r="AR1288" s="8">
        <v>0</v>
      </c>
      <c r="AS1288">
        <v>0.85775089999999998</v>
      </c>
    </row>
    <row r="1289" spans="1:45" x14ac:dyDescent="0.25">
      <c r="A1289">
        <v>249</v>
      </c>
      <c r="B1289">
        <v>2004</v>
      </c>
      <c r="C1289" s="8">
        <v>0</v>
      </c>
      <c r="D1289">
        <v>0.14952950000000001</v>
      </c>
      <c r="E1289">
        <v>3.82592E-2</v>
      </c>
      <c r="F1289">
        <v>5.7008499999999997E-2</v>
      </c>
      <c r="G1289">
        <v>0.8381248</v>
      </c>
      <c r="H1289">
        <v>0.2274612</v>
      </c>
      <c r="Q1289" s="10">
        <f t="shared" si="60"/>
        <v>1.4952303448571218E-2</v>
      </c>
      <c r="AI1289">
        <v>0.11738460000000001</v>
      </c>
      <c r="AJ1289">
        <f t="shared" si="59"/>
        <v>0.11738460000000001</v>
      </c>
      <c r="AO1289">
        <v>0.11738460000000001</v>
      </c>
      <c r="AR1289" s="8">
        <v>0</v>
      </c>
      <c r="AS1289">
        <v>0.45246459999999999</v>
      </c>
    </row>
    <row r="1290" spans="1:45" x14ac:dyDescent="0.25">
      <c r="A1290">
        <v>250</v>
      </c>
      <c r="B1290">
        <v>1999</v>
      </c>
      <c r="C1290" s="8">
        <v>0</v>
      </c>
      <c r="D1290">
        <v>0.1318512</v>
      </c>
      <c r="E1290">
        <v>0.22403190000000001</v>
      </c>
      <c r="F1290">
        <v>3.9438300000000003E-2</v>
      </c>
      <c r="G1290">
        <v>0.49239149999999998</v>
      </c>
      <c r="H1290">
        <v>0.30845610000000001</v>
      </c>
      <c r="Q1290" s="10">
        <f t="shared" si="60"/>
        <v>2.357824987475738E-2</v>
      </c>
      <c r="AI1290">
        <v>0.1701908</v>
      </c>
      <c r="AJ1290">
        <f t="shared" si="59"/>
        <v>0.1701908</v>
      </c>
      <c r="AO1290">
        <v>0.1701908</v>
      </c>
      <c r="AR1290" s="8">
        <v>0</v>
      </c>
      <c r="AS1290">
        <v>0.75934330000000005</v>
      </c>
    </row>
    <row r="1291" spans="1:45" x14ac:dyDescent="0.25">
      <c r="A1291">
        <v>250</v>
      </c>
      <c r="B1291">
        <v>2000</v>
      </c>
      <c r="C1291" s="8">
        <v>0</v>
      </c>
      <c r="D1291">
        <v>0.11738460000000001</v>
      </c>
      <c r="E1291">
        <v>0.20633570000000001</v>
      </c>
      <c r="F1291">
        <v>3.1417899999999999E-2</v>
      </c>
      <c r="G1291">
        <v>0.37978679999999998</v>
      </c>
      <c r="H1291">
        <v>0.28555570000000002</v>
      </c>
      <c r="Q1291" s="10">
        <f t="shared" si="60"/>
        <v>3.0048766758395431E-2</v>
      </c>
      <c r="AI1291">
        <v>9.8435400000000006E-2</v>
      </c>
      <c r="AJ1291">
        <f t="shared" si="59"/>
        <v>9.8435400000000006E-2</v>
      </c>
      <c r="AO1291">
        <v>9.8435400000000006E-2</v>
      </c>
      <c r="AR1291" s="8">
        <v>0</v>
      </c>
      <c r="AS1291">
        <v>0.8381248</v>
      </c>
    </row>
    <row r="1292" spans="1:45" x14ac:dyDescent="0.25">
      <c r="A1292">
        <v>250</v>
      </c>
      <c r="B1292">
        <v>2001</v>
      </c>
      <c r="C1292" s="8">
        <v>0</v>
      </c>
      <c r="D1292">
        <v>0.1701908</v>
      </c>
      <c r="E1292">
        <v>0.13855419999999999</v>
      </c>
      <c r="F1292">
        <v>4.2979200000000002E-2</v>
      </c>
      <c r="G1292">
        <v>0.39250980000000002</v>
      </c>
      <c r="H1292">
        <v>0.27657340000000002</v>
      </c>
      <c r="Q1292" s="10">
        <f t="shared" si="60"/>
        <v>3.011052802822374E-2</v>
      </c>
      <c r="AI1292">
        <v>0.25377159999999999</v>
      </c>
      <c r="AJ1292">
        <f t="shared" si="59"/>
        <v>0.25377159999999999</v>
      </c>
      <c r="AO1292">
        <v>0.25377159999999999</v>
      </c>
      <c r="AR1292" s="8">
        <v>0</v>
      </c>
      <c r="AS1292">
        <v>0.49239149999999998</v>
      </c>
    </row>
    <row r="1293" spans="1:45" x14ac:dyDescent="0.25">
      <c r="A1293">
        <v>250</v>
      </c>
      <c r="B1293">
        <v>2002</v>
      </c>
      <c r="C1293" s="8">
        <v>0</v>
      </c>
      <c r="D1293">
        <v>9.8435400000000006E-2</v>
      </c>
      <c r="E1293">
        <v>-4.1049299999999997E-2</v>
      </c>
      <c r="F1293">
        <v>2.23497E-2</v>
      </c>
      <c r="G1293">
        <v>0.12336270000000001</v>
      </c>
      <c r="H1293">
        <v>0.29316419999999999</v>
      </c>
      <c r="Q1293" s="10">
        <f t="shared" si="60"/>
        <v>6.681439673936683E-2</v>
      </c>
      <c r="AI1293">
        <v>0.2429163</v>
      </c>
      <c r="AJ1293">
        <f t="shared" si="59"/>
        <v>0.2429163</v>
      </c>
      <c r="AO1293">
        <v>0.2429163</v>
      </c>
      <c r="AR1293" s="8">
        <v>0</v>
      </c>
      <c r="AS1293">
        <v>0.37978679999999998</v>
      </c>
    </row>
    <row r="1294" spans="1:45" x14ac:dyDescent="0.25">
      <c r="A1294">
        <v>250</v>
      </c>
      <c r="B1294">
        <v>2003</v>
      </c>
      <c r="C1294" s="8">
        <v>0</v>
      </c>
      <c r="D1294">
        <v>0.25377159999999999</v>
      </c>
      <c r="E1294">
        <v>-8.3185899999999993E-2</v>
      </c>
      <c r="F1294">
        <v>3.3851300000000001E-2</v>
      </c>
      <c r="G1294">
        <v>0.11881559999999999</v>
      </c>
      <c r="H1294">
        <v>0.29546869999999997</v>
      </c>
      <c r="Q1294" s="10">
        <f t="shared" si="60"/>
        <v>6.9501298307939288E-2</v>
      </c>
      <c r="AI1294">
        <v>2.9912600000000001E-2</v>
      </c>
      <c r="AJ1294">
        <f t="shared" si="59"/>
        <v>2.9912600000000001E-2</v>
      </c>
      <c r="AO1294">
        <v>2.9912600000000001E-2</v>
      </c>
      <c r="AR1294" s="8">
        <v>0</v>
      </c>
      <c r="AS1294">
        <v>0.39250980000000002</v>
      </c>
    </row>
    <row r="1295" spans="1:45" x14ac:dyDescent="0.25">
      <c r="A1295">
        <v>250</v>
      </c>
      <c r="B1295">
        <v>2004</v>
      </c>
      <c r="C1295" s="8">
        <v>0</v>
      </c>
      <c r="D1295">
        <v>0.2429163</v>
      </c>
      <c r="E1295">
        <v>-4.5252399999999998E-2</v>
      </c>
      <c r="F1295">
        <v>4.2305599999999999E-2</v>
      </c>
      <c r="G1295">
        <v>0.19287670000000001</v>
      </c>
      <c r="H1295">
        <v>0.31554270000000001</v>
      </c>
      <c r="Q1295" s="10">
        <f t="shared" si="60"/>
        <v>5.5869845899326018E-2</v>
      </c>
      <c r="AI1295">
        <v>6.9254200000000002E-2</v>
      </c>
      <c r="AJ1295">
        <f t="shared" si="59"/>
        <v>6.9254200000000002E-2</v>
      </c>
      <c r="AO1295">
        <v>6.9254200000000002E-2</v>
      </c>
      <c r="AR1295" s="8">
        <v>0</v>
      </c>
      <c r="AS1295">
        <v>0.12336270000000001</v>
      </c>
    </row>
    <row r="1296" spans="1:45" x14ac:dyDescent="0.25">
      <c r="A1296">
        <v>251</v>
      </c>
      <c r="B1296">
        <v>1996</v>
      </c>
      <c r="C1296" s="8">
        <v>0</v>
      </c>
      <c r="D1296">
        <v>2.9912600000000001E-2</v>
      </c>
      <c r="E1296">
        <v>6.3730800000000004E-2</v>
      </c>
      <c r="F1296">
        <v>3.2711499999999998E-2</v>
      </c>
      <c r="G1296">
        <v>0.74321619999999999</v>
      </c>
      <c r="H1296">
        <v>0.11831460000000001</v>
      </c>
      <c r="Q1296" s="10">
        <f t="shared" si="60"/>
        <v>1.8048648884079876E-2</v>
      </c>
      <c r="AI1296">
        <v>6.3509899999999994E-2</v>
      </c>
      <c r="AJ1296">
        <f t="shared" si="59"/>
        <v>6.3509899999999994E-2</v>
      </c>
      <c r="AO1296">
        <v>6.3509899999999994E-2</v>
      </c>
      <c r="AR1296" s="8">
        <v>0</v>
      </c>
      <c r="AS1296">
        <v>0.11881559999999999</v>
      </c>
    </row>
    <row r="1297" spans="1:45" x14ac:dyDescent="0.25">
      <c r="A1297">
        <v>251</v>
      </c>
      <c r="B1297">
        <v>1997</v>
      </c>
      <c r="C1297" s="8">
        <v>0</v>
      </c>
      <c r="D1297">
        <v>6.9254200000000002E-2</v>
      </c>
      <c r="E1297">
        <v>5.1639400000000002E-2</v>
      </c>
      <c r="F1297">
        <v>4.7792500000000002E-2</v>
      </c>
      <c r="G1297">
        <v>0.84393269999999998</v>
      </c>
      <c r="H1297">
        <v>0.10909199999999999</v>
      </c>
      <c r="Q1297" s="10">
        <f t="shared" si="60"/>
        <v>1.4071430787937253E-2</v>
      </c>
      <c r="AI1297">
        <v>5.9239899999999998E-2</v>
      </c>
      <c r="AJ1297">
        <f t="shared" si="59"/>
        <v>5.9239899999999998E-2</v>
      </c>
      <c r="AO1297">
        <v>5.9239899999999998E-2</v>
      </c>
      <c r="AR1297" s="8">
        <v>0</v>
      </c>
      <c r="AS1297">
        <v>0.19287670000000001</v>
      </c>
    </row>
    <row r="1298" spans="1:45" x14ac:dyDescent="0.25">
      <c r="A1298">
        <v>251</v>
      </c>
      <c r="B1298">
        <v>1998</v>
      </c>
      <c r="C1298" s="8">
        <v>0</v>
      </c>
      <c r="D1298">
        <v>6.3509899999999994E-2</v>
      </c>
      <c r="E1298">
        <v>0.12951199999999999</v>
      </c>
      <c r="F1298">
        <v>4.36058E-2</v>
      </c>
      <c r="G1298">
        <v>0.60465279999999999</v>
      </c>
      <c r="H1298">
        <v>0.109795</v>
      </c>
      <c r="Q1298" s="10">
        <f t="shared" si="60"/>
        <v>1.8894562821964046E-2</v>
      </c>
      <c r="AI1298">
        <v>5.5694599999999997E-2</v>
      </c>
      <c r="AJ1298">
        <f t="shared" si="59"/>
        <v>5.5694599999999997E-2</v>
      </c>
      <c r="AO1298">
        <v>5.5694599999999997E-2</v>
      </c>
      <c r="AR1298" s="8">
        <v>0</v>
      </c>
      <c r="AS1298">
        <v>0.74321619999999999</v>
      </c>
    </row>
    <row r="1299" spans="1:45" x14ac:dyDescent="0.25">
      <c r="A1299">
        <v>251</v>
      </c>
      <c r="B1299">
        <v>1999</v>
      </c>
      <c r="C1299" s="8">
        <v>0</v>
      </c>
      <c r="D1299">
        <v>5.9239899999999998E-2</v>
      </c>
      <c r="E1299">
        <v>9.3021599999999996E-2</v>
      </c>
      <c r="F1299">
        <v>4.0741800000000002E-2</v>
      </c>
      <c r="G1299">
        <v>0.52846590000000004</v>
      </c>
      <c r="H1299">
        <v>0.1039596</v>
      </c>
      <c r="Q1299" s="10">
        <f t="shared" si="60"/>
        <v>2.2802615669505432E-2</v>
      </c>
      <c r="AI1299">
        <v>4.3811099999999999E-2</v>
      </c>
      <c r="AJ1299">
        <f t="shared" si="59"/>
        <v>4.3811099999999999E-2</v>
      </c>
      <c r="AO1299">
        <v>4.3811099999999999E-2</v>
      </c>
      <c r="AR1299" s="8">
        <v>0</v>
      </c>
      <c r="AS1299">
        <v>0.84393269999999998</v>
      </c>
    </row>
    <row r="1300" spans="1:45" x14ac:dyDescent="0.25">
      <c r="A1300">
        <v>251</v>
      </c>
      <c r="B1300">
        <v>2000</v>
      </c>
      <c r="C1300" s="8">
        <v>0</v>
      </c>
      <c r="D1300">
        <v>5.5694599999999997E-2</v>
      </c>
      <c r="E1300">
        <v>6.6891000000000006E-2</v>
      </c>
      <c r="F1300">
        <v>4.8673300000000003E-2</v>
      </c>
      <c r="G1300">
        <v>0.51695720000000001</v>
      </c>
      <c r="H1300">
        <v>9.1725699999999993E-2</v>
      </c>
      <c r="Q1300" s="10">
        <f t="shared" si="60"/>
        <v>2.2445276663027751E-2</v>
      </c>
      <c r="AI1300">
        <v>5.6903500000000003E-2</v>
      </c>
      <c r="AJ1300">
        <f t="shared" si="59"/>
        <v>5.6903500000000003E-2</v>
      </c>
      <c r="AO1300">
        <v>5.6903500000000003E-2</v>
      </c>
      <c r="AR1300" s="8">
        <v>0</v>
      </c>
      <c r="AS1300">
        <v>0.60465279999999999</v>
      </c>
    </row>
    <row r="1301" spans="1:45" x14ac:dyDescent="0.25">
      <c r="A1301">
        <v>251</v>
      </c>
      <c r="B1301">
        <v>2001</v>
      </c>
      <c r="C1301" s="8">
        <v>0</v>
      </c>
      <c r="D1301">
        <v>4.3811099999999999E-2</v>
      </c>
      <c r="E1301">
        <v>3.49888E-2</v>
      </c>
      <c r="F1301">
        <v>3.43392E-2</v>
      </c>
      <c r="G1301">
        <v>0.31205729999999998</v>
      </c>
      <c r="H1301">
        <v>7.2764099999999998E-2</v>
      </c>
      <c r="Q1301" s="10">
        <f t="shared" si="60"/>
        <v>3.5465802894787499E-2</v>
      </c>
      <c r="AI1301">
        <v>7.0826899999999998E-2</v>
      </c>
      <c r="AJ1301">
        <f t="shared" si="59"/>
        <v>7.0826899999999998E-2</v>
      </c>
      <c r="AO1301">
        <v>7.0826899999999998E-2</v>
      </c>
      <c r="AR1301" s="8">
        <v>0</v>
      </c>
      <c r="AS1301">
        <v>0.52846590000000004</v>
      </c>
    </row>
    <row r="1302" spans="1:45" x14ac:dyDescent="0.25">
      <c r="A1302">
        <v>251</v>
      </c>
      <c r="B1302">
        <v>2002</v>
      </c>
      <c r="C1302" s="8">
        <v>0</v>
      </c>
      <c r="D1302">
        <v>5.6903500000000003E-2</v>
      </c>
      <c r="E1302">
        <v>1.21104E-2</v>
      </c>
      <c r="F1302">
        <v>5.2809799999999997E-2</v>
      </c>
      <c r="G1302">
        <v>0.55502479999999998</v>
      </c>
      <c r="H1302">
        <v>8.8245500000000004E-2</v>
      </c>
      <c r="Q1302" s="10">
        <f t="shared" si="60"/>
        <v>2.2102153653310818E-2</v>
      </c>
      <c r="AI1302">
        <v>8.0450800000000003E-2</v>
      </c>
      <c r="AJ1302">
        <f t="shared" si="59"/>
        <v>8.0450800000000003E-2</v>
      </c>
      <c r="AO1302">
        <v>8.0450800000000003E-2</v>
      </c>
      <c r="AR1302" s="8">
        <v>0</v>
      </c>
      <c r="AS1302">
        <v>0.51695720000000001</v>
      </c>
    </row>
    <row r="1303" spans="1:45" x14ac:dyDescent="0.25">
      <c r="A1303">
        <v>251</v>
      </c>
      <c r="B1303">
        <v>2003</v>
      </c>
      <c r="C1303" s="8">
        <v>0</v>
      </c>
      <c r="D1303">
        <v>7.0826899999999998E-2</v>
      </c>
      <c r="E1303">
        <v>2.1399899999999999E-2</v>
      </c>
      <c r="F1303">
        <v>5.6881500000000002E-2</v>
      </c>
      <c r="G1303">
        <v>0.83970120000000004</v>
      </c>
      <c r="H1303">
        <v>8.8365399999999997E-2</v>
      </c>
      <c r="Q1303" s="10">
        <f t="shared" si="60"/>
        <v>1.3604971459830792E-2</v>
      </c>
      <c r="AI1303">
        <v>6.5770200000000001E-2</v>
      </c>
      <c r="AJ1303">
        <f t="shared" si="59"/>
        <v>6.5770200000000001E-2</v>
      </c>
      <c r="AO1303">
        <v>6.5770200000000001E-2</v>
      </c>
      <c r="AR1303" s="8">
        <v>0</v>
      </c>
      <c r="AS1303">
        <v>0.31205729999999998</v>
      </c>
    </row>
    <row r="1304" spans="1:45" x14ac:dyDescent="0.25">
      <c r="A1304">
        <v>251</v>
      </c>
      <c r="B1304">
        <v>2004</v>
      </c>
      <c r="C1304" s="8">
        <v>0</v>
      </c>
      <c r="D1304">
        <v>8.0450800000000003E-2</v>
      </c>
      <c r="E1304">
        <v>3.7041299999999999E-2</v>
      </c>
      <c r="F1304">
        <v>4.5239500000000002E-2</v>
      </c>
      <c r="G1304">
        <v>0.81062440000000002</v>
      </c>
      <c r="H1304">
        <v>9.3948199999999996E-2</v>
      </c>
      <c r="Q1304" s="10">
        <f t="shared" si="60"/>
        <v>1.537595411673663E-2</v>
      </c>
      <c r="AI1304">
        <v>5.2470099999999999E-2</v>
      </c>
      <c r="AJ1304">
        <f t="shared" si="59"/>
        <v>5.2470099999999999E-2</v>
      </c>
      <c r="AO1304">
        <v>5.2470099999999999E-2</v>
      </c>
      <c r="AR1304" s="8">
        <v>0</v>
      </c>
      <c r="AS1304">
        <v>0.55502479999999998</v>
      </c>
    </row>
    <row r="1305" spans="1:45" x14ac:dyDescent="0.25">
      <c r="A1305">
        <v>252</v>
      </c>
      <c r="B1305">
        <v>1999</v>
      </c>
      <c r="C1305" s="8">
        <v>0</v>
      </c>
      <c r="D1305">
        <v>6.5770200000000001E-2</v>
      </c>
      <c r="E1305">
        <v>0.13906669999999999</v>
      </c>
      <c r="F1305">
        <v>3.1504499999999998E-2</v>
      </c>
      <c r="G1305">
        <v>0.39391080000000001</v>
      </c>
      <c r="H1305">
        <v>0.76554739999999999</v>
      </c>
      <c r="Q1305" s="10">
        <f t="shared" si="60"/>
        <v>4.2138467687121046E-2</v>
      </c>
      <c r="AI1305">
        <v>3.9691799999999999E-2</v>
      </c>
      <c r="AJ1305">
        <f t="shared" si="59"/>
        <v>3.9691799999999999E-2</v>
      </c>
      <c r="AO1305">
        <v>3.9691799999999999E-2</v>
      </c>
      <c r="AR1305" s="8">
        <v>0</v>
      </c>
      <c r="AS1305">
        <v>0.83970120000000004</v>
      </c>
    </row>
    <row r="1306" spans="1:45" x14ac:dyDescent="0.25">
      <c r="A1306">
        <v>252</v>
      </c>
      <c r="B1306">
        <v>2000</v>
      </c>
      <c r="C1306" s="8">
        <v>0</v>
      </c>
      <c r="D1306">
        <v>5.2470099999999999E-2</v>
      </c>
      <c r="E1306">
        <v>0.12117410000000001</v>
      </c>
      <c r="F1306">
        <v>4.9108800000000001E-2</v>
      </c>
      <c r="G1306">
        <v>0.17129559999999999</v>
      </c>
      <c r="H1306">
        <v>0.80108480000000004</v>
      </c>
      <c r="Q1306" s="10">
        <f t="shared" si="60"/>
        <v>5.3795253470324142E-2</v>
      </c>
      <c r="AI1306">
        <v>1.3810100000000001E-2</v>
      </c>
      <c r="AJ1306">
        <f t="shared" si="59"/>
        <v>1.3810100000000001E-2</v>
      </c>
      <c r="AO1306">
        <v>1.3810100000000001E-2</v>
      </c>
      <c r="AR1306" s="8">
        <v>0</v>
      </c>
      <c r="AS1306">
        <v>0.81062440000000002</v>
      </c>
    </row>
    <row r="1307" spans="1:45" x14ac:dyDescent="0.25">
      <c r="A1307">
        <v>252</v>
      </c>
      <c r="B1307">
        <v>2001</v>
      </c>
      <c r="C1307" s="8">
        <v>0</v>
      </c>
      <c r="D1307">
        <v>3.9691799999999999E-2</v>
      </c>
      <c r="E1307">
        <v>9.1295100000000004E-2</v>
      </c>
      <c r="F1307">
        <v>4.2068000000000001E-2</v>
      </c>
      <c r="G1307">
        <v>0.44629619999999998</v>
      </c>
      <c r="H1307">
        <v>0.83502140000000002</v>
      </c>
      <c r="Q1307" s="10">
        <f t="shared" si="60"/>
        <v>3.9543297929070569E-2</v>
      </c>
      <c r="AI1307">
        <v>6.0974399999999998E-2</v>
      </c>
      <c r="AJ1307">
        <f t="shared" si="59"/>
        <v>6.0974399999999998E-2</v>
      </c>
      <c r="AO1307">
        <v>6.0974399999999998E-2</v>
      </c>
      <c r="AR1307" s="8">
        <v>0</v>
      </c>
      <c r="AS1307">
        <v>0.39391080000000001</v>
      </c>
    </row>
    <row r="1308" spans="1:45" x14ac:dyDescent="0.25">
      <c r="A1308">
        <v>252</v>
      </c>
      <c r="B1308">
        <v>2002</v>
      </c>
      <c r="C1308" s="8">
        <v>0</v>
      </c>
      <c r="D1308">
        <v>1.3810100000000001E-2</v>
      </c>
      <c r="E1308">
        <v>3.0203500000000001E-2</v>
      </c>
      <c r="F1308">
        <v>1.1497500000000001E-2</v>
      </c>
      <c r="G1308">
        <v>0.1245288</v>
      </c>
      <c r="H1308">
        <v>0.84057420000000005</v>
      </c>
      <c r="Q1308" s="10">
        <f t="shared" si="60"/>
        <v>8.6973108736304039E-2</v>
      </c>
      <c r="AI1308">
        <v>6.0887499999999997E-2</v>
      </c>
      <c r="AJ1308">
        <f t="shared" si="59"/>
        <v>6.0887499999999997E-2</v>
      </c>
      <c r="AO1308">
        <v>6.0887499999999997E-2</v>
      </c>
      <c r="AR1308" s="8">
        <v>0</v>
      </c>
      <c r="AS1308">
        <v>0.17129559999999999</v>
      </c>
    </row>
    <row r="1309" spans="1:45" x14ac:dyDescent="0.25">
      <c r="A1309">
        <v>252</v>
      </c>
      <c r="B1309">
        <v>2003</v>
      </c>
      <c r="C1309" s="8">
        <v>0</v>
      </c>
      <c r="D1309">
        <v>6.0974399999999998E-2</v>
      </c>
      <c r="E1309">
        <v>-1.6109600000000002E-2</v>
      </c>
      <c r="F1309">
        <v>3.6360000000000003E-2</v>
      </c>
      <c r="G1309">
        <v>0.15584529999999999</v>
      </c>
      <c r="H1309">
        <v>1.016535</v>
      </c>
      <c r="Q1309" s="10">
        <f t="shared" si="60"/>
        <v>8.2866862580916398E-2</v>
      </c>
      <c r="AI1309">
        <v>0.4225256</v>
      </c>
      <c r="AJ1309">
        <f t="shared" si="59"/>
        <v>0.4225256</v>
      </c>
      <c r="AO1309">
        <v>0.4225256</v>
      </c>
      <c r="AR1309" s="8">
        <v>0</v>
      </c>
      <c r="AS1309">
        <v>0.44629619999999998</v>
      </c>
    </row>
    <row r="1310" spans="1:45" x14ac:dyDescent="0.25">
      <c r="A1310">
        <v>252</v>
      </c>
      <c r="B1310">
        <v>2004</v>
      </c>
      <c r="C1310" s="8">
        <v>0</v>
      </c>
      <c r="D1310">
        <v>6.0887499999999997E-2</v>
      </c>
      <c r="E1310">
        <v>-5.6935300000000001E-2</v>
      </c>
      <c r="F1310">
        <v>3.6688600000000002E-2</v>
      </c>
      <c r="G1310">
        <v>0.21623300000000001</v>
      </c>
      <c r="H1310">
        <v>0.9303399</v>
      </c>
      <c r="Q1310" s="10">
        <f t="shared" si="60"/>
        <v>7.6070806442655292E-2</v>
      </c>
      <c r="AI1310">
        <v>0.31571110000000002</v>
      </c>
      <c r="AJ1310">
        <f t="shared" si="59"/>
        <v>0.31571110000000002</v>
      </c>
      <c r="AO1310">
        <v>0.31571110000000002</v>
      </c>
      <c r="AR1310" s="8">
        <v>0</v>
      </c>
      <c r="AS1310">
        <v>0.1245288</v>
      </c>
    </row>
    <row r="1311" spans="1:45" x14ac:dyDescent="0.25">
      <c r="A1311">
        <v>253</v>
      </c>
      <c r="B1311">
        <v>1999</v>
      </c>
      <c r="C1311" s="8">
        <v>0</v>
      </c>
      <c r="D1311">
        <v>0.4225256</v>
      </c>
      <c r="E1311">
        <v>0.79434490000000002</v>
      </c>
      <c r="F1311">
        <v>4.6594200000000002E-2</v>
      </c>
      <c r="G1311">
        <v>1.762175</v>
      </c>
      <c r="H1311">
        <v>0.1909517</v>
      </c>
      <c r="Q1311" s="10">
        <f t="shared" si="60"/>
        <v>1.3777249072122863E-3</v>
      </c>
      <c r="AI1311">
        <v>0.16073399999999999</v>
      </c>
      <c r="AJ1311">
        <f t="shared" si="59"/>
        <v>0.16073399999999999</v>
      </c>
      <c r="AO1311">
        <v>0.16073399999999999</v>
      </c>
      <c r="AR1311" s="8">
        <v>0</v>
      </c>
      <c r="AS1311">
        <v>0.15584529999999999</v>
      </c>
    </row>
    <row r="1312" spans="1:45" x14ac:dyDescent="0.25">
      <c r="A1312">
        <v>253</v>
      </c>
      <c r="B1312">
        <v>2000</v>
      </c>
      <c r="C1312" s="8">
        <v>0</v>
      </c>
      <c r="D1312">
        <v>0.31571110000000002</v>
      </c>
      <c r="E1312">
        <v>0.86210229999999999</v>
      </c>
      <c r="F1312">
        <v>4.8239799999999999E-2</v>
      </c>
      <c r="G1312">
        <v>1.738958</v>
      </c>
      <c r="H1312">
        <v>0.21790470000000001</v>
      </c>
      <c r="Q1312" s="10">
        <f t="shared" si="60"/>
        <v>1.2439876096568187E-3</v>
      </c>
      <c r="AI1312">
        <v>0.28096349999999998</v>
      </c>
      <c r="AJ1312">
        <f t="shared" si="59"/>
        <v>0.28096349999999998</v>
      </c>
      <c r="AO1312">
        <v>0.28096349999999998</v>
      </c>
      <c r="AR1312" s="8">
        <v>0</v>
      </c>
      <c r="AS1312">
        <v>0.21623300000000001</v>
      </c>
    </row>
    <row r="1313" spans="1:45" x14ac:dyDescent="0.25">
      <c r="A1313">
        <v>253</v>
      </c>
      <c r="B1313">
        <v>2001</v>
      </c>
      <c r="C1313" s="8">
        <v>0</v>
      </c>
      <c r="D1313">
        <v>0.16073399999999999</v>
      </c>
      <c r="E1313">
        <v>0.89617820000000004</v>
      </c>
      <c r="F1313">
        <v>1.3469699999999999E-2</v>
      </c>
      <c r="G1313">
        <v>1.1683840000000001</v>
      </c>
      <c r="H1313">
        <v>0.20227899999999999</v>
      </c>
      <c r="Q1313" s="10">
        <f t="shared" si="60"/>
        <v>3.5962919959446286E-3</v>
      </c>
      <c r="AI1313">
        <v>0.2417086</v>
      </c>
      <c r="AJ1313">
        <f t="shared" si="59"/>
        <v>0.2417086</v>
      </c>
      <c r="AO1313">
        <v>0.2417086</v>
      </c>
      <c r="AR1313" s="8">
        <v>0</v>
      </c>
      <c r="AS1313">
        <v>1.762175</v>
      </c>
    </row>
    <row r="1314" spans="1:45" x14ac:dyDescent="0.25">
      <c r="A1314">
        <v>253</v>
      </c>
      <c r="B1314">
        <v>2002</v>
      </c>
      <c r="C1314" s="8">
        <v>0</v>
      </c>
      <c r="D1314">
        <v>0.28096349999999998</v>
      </c>
      <c r="E1314">
        <v>0.95599100000000004</v>
      </c>
      <c r="F1314">
        <v>3.3983899999999997E-2</v>
      </c>
      <c r="G1314">
        <v>1.259495</v>
      </c>
      <c r="H1314">
        <v>0.220968</v>
      </c>
      <c r="Q1314" s="10">
        <f t="shared" si="60"/>
        <v>2.575578654339241E-3</v>
      </c>
      <c r="AI1314">
        <v>0.3285497</v>
      </c>
      <c r="AJ1314">
        <f t="shared" si="59"/>
        <v>0.3285497</v>
      </c>
      <c r="AO1314">
        <v>0.3285497</v>
      </c>
      <c r="AR1314" s="8">
        <v>0</v>
      </c>
      <c r="AS1314">
        <v>1.738958</v>
      </c>
    </row>
    <row r="1315" spans="1:45" x14ac:dyDescent="0.25">
      <c r="A1315">
        <v>253</v>
      </c>
      <c r="B1315">
        <v>2003</v>
      </c>
      <c r="C1315" s="8">
        <v>0</v>
      </c>
      <c r="D1315">
        <v>0.2417086</v>
      </c>
      <c r="E1315">
        <v>0.95891269999999995</v>
      </c>
      <c r="F1315">
        <v>2.13069E-2</v>
      </c>
      <c r="G1315">
        <v>1.4671449999999999</v>
      </c>
      <c r="H1315">
        <v>0.23356440000000001</v>
      </c>
      <c r="Q1315" s="10">
        <f t="shared" si="60"/>
        <v>2.0226604521944428E-3</v>
      </c>
      <c r="AI1315">
        <v>1.7991699999999999E-2</v>
      </c>
      <c r="AJ1315">
        <f t="shared" si="59"/>
        <v>1.7991699999999999E-2</v>
      </c>
      <c r="AO1315">
        <v>1.7991699999999999E-2</v>
      </c>
      <c r="AR1315" s="8">
        <v>0</v>
      </c>
      <c r="AS1315">
        <v>1.1683840000000001</v>
      </c>
    </row>
    <row r="1316" spans="1:45" x14ac:dyDescent="0.25">
      <c r="A1316">
        <v>253</v>
      </c>
      <c r="B1316">
        <v>2004</v>
      </c>
      <c r="C1316" s="8">
        <v>0</v>
      </c>
      <c r="D1316">
        <v>0.3285497</v>
      </c>
      <c r="E1316">
        <v>0.97631109999999999</v>
      </c>
      <c r="F1316">
        <v>4.0381100000000003E-2</v>
      </c>
      <c r="G1316">
        <v>1.6068739999999999</v>
      </c>
      <c r="H1316">
        <v>0.25880069999999999</v>
      </c>
      <c r="Q1316" s="10">
        <f t="shared" si="60"/>
        <v>1.4277373689076207E-3</v>
      </c>
      <c r="AI1316">
        <v>-1.5662300000000001E-2</v>
      </c>
      <c r="AJ1316">
        <f t="shared" si="59"/>
        <v>-1.5662300000000001E-2</v>
      </c>
      <c r="AO1316">
        <v>-1.5662300000000001E-2</v>
      </c>
      <c r="AR1316" s="8">
        <v>0</v>
      </c>
      <c r="AS1316">
        <v>1.259495</v>
      </c>
    </row>
    <row r="1317" spans="1:45" x14ac:dyDescent="0.25">
      <c r="A1317">
        <v>254</v>
      </c>
      <c r="B1317">
        <v>1999</v>
      </c>
      <c r="C1317" s="8">
        <v>0</v>
      </c>
      <c r="D1317">
        <v>1.7991699999999999E-2</v>
      </c>
      <c r="E1317">
        <v>6.7702799999999994E-2</v>
      </c>
      <c r="F1317">
        <v>3.9471699999999998E-2</v>
      </c>
      <c r="G1317">
        <v>0.2467019</v>
      </c>
      <c r="H1317">
        <v>0.2393729</v>
      </c>
      <c r="Q1317" s="10">
        <f t="shared" si="60"/>
        <v>3.9354435034301402E-2</v>
      </c>
      <c r="AI1317">
        <v>1.8013899999999999E-2</v>
      </c>
      <c r="AJ1317">
        <f t="shared" si="59"/>
        <v>1.8013899999999999E-2</v>
      </c>
      <c r="AO1317">
        <v>1.8013899999999999E-2</v>
      </c>
      <c r="AR1317" s="8">
        <v>0</v>
      </c>
      <c r="AS1317">
        <v>1.4671449999999999</v>
      </c>
    </row>
    <row r="1318" spans="1:45" x14ac:dyDescent="0.25">
      <c r="A1318">
        <v>254</v>
      </c>
      <c r="B1318">
        <v>2000</v>
      </c>
      <c r="C1318" s="8">
        <v>0</v>
      </c>
      <c r="D1318">
        <v>-1.5662300000000001E-2</v>
      </c>
      <c r="E1318">
        <v>3.8109299999999999E-2</v>
      </c>
      <c r="F1318">
        <v>2.1263199999999999E-2</v>
      </c>
      <c r="G1318">
        <v>0.3706874</v>
      </c>
      <c r="H1318">
        <v>0.25460480000000002</v>
      </c>
      <c r="Q1318" s="10">
        <f t="shared" si="60"/>
        <v>3.885063206352346E-2</v>
      </c>
      <c r="AI1318">
        <v>1.0513399999999999E-2</v>
      </c>
      <c r="AJ1318">
        <f t="shared" si="59"/>
        <v>1.0513399999999999E-2</v>
      </c>
      <c r="AO1318">
        <v>1.0513399999999999E-2</v>
      </c>
      <c r="AR1318" s="8">
        <v>0</v>
      </c>
      <c r="AS1318">
        <v>1.6068739999999999</v>
      </c>
    </row>
    <row r="1319" spans="1:45" x14ac:dyDescent="0.25">
      <c r="A1319">
        <v>254</v>
      </c>
      <c r="B1319">
        <v>2001</v>
      </c>
      <c r="C1319" s="8">
        <v>0</v>
      </c>
      <c r="D1319">
        <v>1.8013899999999999E-2</v>
      </c>
      <c r="E1319">
        <v>4.3776700000000002E-2</v>
      </c>
      <c r="F1319">
        <v>4.1992500000000002E-2</v>
      </c>
      <c r="G1319">
        <v>0.52482709999999999</v>
      </c>
      <c r="H1319">
        <v>0.23933570000000001</v>
      </c>
      <c r="Q1319" s="10">
        <f t="shared" si="60"/>
        <v>2.5992666457906186E-2</v>
      </c>
      <c r="AI1319">
        <v>6.5559199999999998E-2</v>
      </c>
      <c r="AJ1319">
        <f t="shared" si="59"/>
        <v>6.5559199999999998E-2</v>
      </c>
      <c r="AO1319">
        <v>6.5559199999999998E-2</v>
      </c>
      <c r="AR1319" s="8">
        <v>0</v>
      </c>
      <c r="AS1319">
        <v>0.2467019</v>
      </c>
    </row>
    <row r="1320" spans="1:45" x14ac:dyDescent="0.25">
      <c r="A1320">
        <v>254</v>
      </c>
      <c r="B1320">
        <v>2002</v>
      </c>
      <c r="C1320" s="8">
        <v>0</v>
      </c>
      <c r="D1320">
        <v>1.0513399999999999E-2</v>
      </c>
      <c r="E1320">
        <v>6.4569799999999997E-2</v>
      </c>
      <c r="F1320">
        <v>4.6954000000000003E-2</v>
      </c>
      <c r="G1320">
        <v>0.49432379999999998</v>
      </c>
      <c r="H1320">
        <v>0.26334800000000003</v>
      </c>
      <c r="Q1320" s="10">
        <f t="shared" si="60"/>
        <v>2.5752273797406161E-2</v>
      </c>
      <c r="AI1320">
        <v>6.3663999999999998E-2</v>
      </c>
      <c r="AJ1320">
        <f t="shared" si="59"/>
        <v>6.3663999999999998E-2</v>
      </c>
      <c r="AO1320">
        <v>6.3663999999999998E-2</v>
      </c>
      <c r="AR1320" s="8">
        <v>0</v>
      </c>
      <c r="AS1320">
        <v>0.3706874</v>
      </c>
    </row>
    <row r="1321" spans="1:45" x14ac:dyDescent="0.25">
      <c r="A1321">
        <v>254</v>
      </c>
      <c r="B1321">
        <v>2003</v>
      </c>
      <c r="C1321" s="8">
        <v>0</v>
      </c>
      <c r="D1321">
        <v>6.5559199999999998E-2</v>
      </c>
      <c r="E1321">
        <v>8.7300299999999997E-2</v>
      </c>
      <c r="F1321">
        <v>3.89001E-2</v>
      </c>
      <c r="G1321">
        <v>0.54182149999999996</v>
      </c>
      <c r="H1321">
        <v>0.2277074</v>
      </c>
      <c r="Q1321" s="10">
        <f t="shared" si="60"/>
        <v>2.4680821387857613E-2</v>
      </c>
      <c r="AI1321">
        <v>0.15391779999999999</v>
      </c>
      <c r="AJ1321">
        <f t="shared" si="59"/>
        <v>0.15391779999999999</v>
      </c>
      <c r="AO1321">
        <v>0.15391779999999999</v>
      </c>
      <c r="AR1321" s="8">
        <v>0</v>
      </c>
      <c r="AS1321">
        <v>0.52482709999999999</v>
      </c>
    </row>
    <row r="1322" spans="1:45" x14ac:dyDescent="0.25">
      <c r="A1322">
        <v>254</v>
      </c>
      <c r="B1322">
        <v>2004</v>
      </c>
      <c r="C1322" s="8">
        <v>0</v>
      </c>
      <c r="D1322">
        <v>6.3663999999999998E-2</v>
      </c>
      <c r="E1322">
        <v>0.1231124</v>
      </c>
      <c r="F1322">
        <v>3.8111800000000001E-2</v>
      </c>
      <c r="G1322">
        <v>0.66566159999999996</v>
      </c>
      <c r="H1322">
        <v>0.18379190000000001</v>
      </c>
      <c r="Q1322" s="10">
        <f t="shared" si="60"/>
        <v>1.893074473953741E-2</v>
      </c>
      <c r="AI1322">
        <v>0.15711549999999999</v>
      </c>
      <c r="AJ1322">
        <f t="shared" si="59"/>
        <v>0.15711549999999999</v>
      </c>
      <c r="AO1322">
        <v>0.15711549999999999</v>
      </c>
      <c r="AR1322" s="8">
        <v>0</v>
      </c>
      <c r="AS1322">
        <v>0.49432379999999998</v>
      </c>
    </row>
    <row r="1323" spans="1:45" x14ac:dyDescent="0.25">
      <c r="A1323">
        <v>255</v>
      </c>
      <c r="B1323">
        <v>2001</v>
      </c>
      <c r="C1323" s="8">
        <v>0</v>
      </c>
      <c r="D1323">
        <v>0.15391779999999999</v>
      </c>
      <c r="E1323">
        <v>0.38219619999999999</v>
      </c>
      <c r="F1323">
        <v>5.6248699999999999E-2</v>
      </c>
      <c r="G1323">
        <v>0.49303839999999999</v>
      </c>
      <c r="H1323">
        <v>0.2768854</v>
      </c>
      <c r="Q1323" s="10">
        <f t="shared" si="60"/>
        <v>1.6311111151355508E-2</v>
      </c>
      <c r="AI1323">
        <v>0.17446880000000001</v>
      </c>
      <c r="AJ1323">
        <f t="shared" si="59"/>
        <v>0.17446880000000001</v>
      </c>
      <c r="AO1323">
        <v>0.17446880000000001</v>
      </c>
      <c r="AR1323" s="8">
        <v>0</v>
      </c>
      <c r="AS1323">
        <v>0.54182149999999996</v>
      </c>
    </row>
    <row r="1324" spans="1:45" x14ac:dyDescent="0.25">
      <c r="A1324">
        <v>255</v>
      </c>
      <c r="B1324">
        <v>2002</v>
      </c>
      <c r="C1324" s="8">
        <v>0</v>
      </c>
      <c r="D1324">
        <v>0.15711549999999999</v>
      </c>
      <c r="E1324">
        <v>0.38417390000000001</v>
      </c>
      <c r="F1324">
        <v>5.5421600000000001E-2</v>
      </c>
      <c r="G1324">
        <v>0.51784269999999999</v>
      </c>
      <c r="H1324">
        <v>0.2836051</v>
      </c>
      <c r="Q1324" s="10">
        <f t="shared" si="60"/>
        <v>1.5832033223241296E-2</v>
      </c>
      <c r="AI1324">
        <v>0.1193483</v>
      </c>
      <c r="AJ1324">
        <f t="shared" si="59"/>
        <v>0.1193483</v>
      </c>
      <c r="AO1324">
        <v>0.1193483</v>
      </c>
      <c r="AR1324" s="8">
        <v>0</v>
      </c>
      <c r="AS1324">
        <v>0.66566159999999996</v>
      </c>
    </row>
    <row r="1325" spans="1:45" x14ac:dyDescent="0.25">
      <c r="A1325">
        <v>255</v>
      </c>
      <c r="B1325">
        <v>2003</v>
      </c>
      <c r="C1325" s="8">
        <v>0</v>
      </c>
      <c r="D1325">
        <v>0.17446880000000001</v>
      </c>
      <c r="E1325">
        <v>0.36886360000000001</v>
      </c>
      <c r="F1325">
        <v>5.3207999999999998E-2</v>
      </c>
      <c r="G1325">
        <v>0.62113799999999997</v>
      </c>
      <c r="H1325">
        <v>0.30644270000000001</v>
      </c>
      <c r="Q1325" s="10">
        <f t="shared" si="60"/>
        <v>1.430046087833272E-2</v>
      </c>
      <c r="AI1325">
        <v>-0.53570680000000004</v>
      </c>
      <c r="AJ1325">
        <f t="shared" si="59"/>
        <v>-0.113345184</v>
      </c>
      <c r="AO1325">
        <v>-0.113345184</v>
      </c>
      <c r="AR1325" s="8">
        <v>0</v>
      </c>
      <c r="AS1325">
        <v>0.49303839999999999</v>
      </c>
    </row>
    <row r="1326" spans="1:45" x14ac:dyDescent="0.25">
      <c r="A1326">
        <v>255</v>
      </c>
      <c r="B1326">
        <v>2004</v>
      </c>
      <c r="C1326" s="8">
        <v>0</v>
      </c>
      <c r="D1326">
        <v>0.1193483</v>
      </c>
      <c r="E1326">
        <v>0.3981248</v>
      </c>
      <c r="F1326">
        <v>6.8943000000000004E-2</v>
      </c>
      <c r="G1326">
        <v>0.82161580000000001</v>
      </c>
      <c r="H1326">
        <v>0.37158190000000002</v>
      </c>
      <c r="Q1326" s="10">
        <f t="shared" si="60"/>
        <v>8.9827562986151063E-3</v>
      </c>
      <c r="AI1326">
        <v>-0.51329210000000003</v>
      </c>
      <c r="AJ1326">
        <f t="shared" si="59"/>
        <v>-0.113345184</v>
      </c>
      <c r="AO1326">
        <v>-0.113345184</v>
      </c>
      <c r="AR1326" s="8">
        <v>0</v>
      </c>
      <c r="AS1326">
        <v>0.51784269999999999</v>
      </c>
    </row>
    <row r="1327" spans="1:45" x14ac:dyDescent="0.25">
      <c r="A1327">
        <v>256</v>
      </c>
      <c r="B1327">
        <v>1999</v>
      </c>
      <c r="C1327" s="8">
        <v>0</v>
      </c>
      <c r="D1327">
        <v>-0.53570680000000004</v>
      </c>
      <c r="E1327">
        <v>0.15151619999999999</v>
      </c>
      <c r="F1327">
        <v>3.8289400000000001E-2</v>
      </c>
      <c r="G1327">
        <v>0.61330589999999996</v>
      </c>
      <c r="H1327">
        <v>0.10347099999999999</v>
      </c>
      <c r="Q1327" s="10">
        <f t="shared" si="60"/>
        <v>1.4697162356447684E-2</v>
      </c>
      <c r="AI1327">
        <v>-0.57404330000000003</v>
      </c>
      <c r="AJ1327">
        <f t="shared" si="59"/>
        <v>-0.113345184</v>
      </c>
      <c r="AO1327">
        <v>-0.113345184</v>
      </c>
      <c r="AR1327" s="8">
        <v>0</v>
      </c>
      <c r="AS1327">
        <v>0.62113799999999997</v>
      </c>
    </row>
    <row r="1328" spans="1:45" x14ac:dyDescent="0.25">
      <c r="A1328">
        <v>256</v>
      </c>
      <c r="B1328">
        <v>2000</v>
      </c>
      <c r="C1328" s="8">
        <v>0</v>
      </c>
      <c r="D1328">
        <v>-0.51329210000000003</v>
      </c>
      <c r="E1328">
        <v>0.1521576</v>
      </c>
      <c r="F1328">
        <v>3.9652100000000003E-2</v>
      </c>
      <c r="G1328">
        <v>0.42244300000000001</v>
      </c>
      <c r="H1328">
        <v>0.10710359999999999</v>
      </c>
      <c r="Q1328" s="10">
        <f t="shared" si="60"/>
        <v>1.9812519909616577E-2</v>
      </c>
      <c r="AI1328">
        <v>-0.58294959999999996</v>
      </c>
      <c r="AJ1328">
        <f t="shared" si="59"/>
        <v>-0.113345184</v>
      </c>
      <c r="AO1328">
        <v>-0.113345184</v>
      </c>
      <c r="AR1328" s="8">
        <v>0</v>
      </c>
      <c r="AS1328">
        <v>0.82161580000000001</v>
      </c>
    </row>
    <row r="1329" spans="1:45" x14ac:dyDescent="0.25">
      <c r="A1329">
        <v>256</v>
      </c>
      <c r="B1329">
        <v>2001</v>
      </c>
      <c r="C1329" s="8">
        <v>0</v>
      </c>
      <c r="D1329">
        <v>-0.57404330000000003</v>
      </c>
      <c r="E1329">
        <v>0.1205222</v>
      </c>
      <c r="F1329">
        <v>2.9222000000000001E-2</v>
      </c>
      <c r="G1329">
        <v>0.29932300000000001</v>
      </c>
      <c r="H1329">
        <v>6.24515E-2</v>
      </c>
      <c r="Q1329" s="10">
        <f t="shared" si="60"/>
        <v>2.5865389360974565E-2</v>
      </c>
      <c r="AI1329">
        <v>-0.58134350000000001</v>
      </c>
      <c r="AJ1329">
        <f t="shared" si="59"/>
        <v>-0.113345184</v>
      </c>
      <c r="AO1329">
        <v>-0.113345184</v>
      </c>
      <c r="AR1329" s="8">
        <v>0</v>
      </c>
      <c r="AS1329">
        <v>0.61330589999999996</v>
      </c>
    </row>
    <row r="1330" spans="1:45" x14ac:dyDescent="0.25">
      <c r="A1330">
        <v>256</v>
      </c>
      <c r="B1330">
        <v>2002</v>
      </c>
      <c r="C1330" s="8">
        <v>0</v>
      </c>
      <c r="D1330">
        <v>-0.58294959999999996</v>
      </c>
      <c r="E1330">
        <v>0.1119175</v>
      </c>
      <c r="F1330">
        <v>2.3777099999999999E-2</v>
      </c>
      <c r="G1330">
        <v>0.26489659999999998</v>
      </c>
      <c r="H1330">
        <v>5.9377399999999997E-2</v>
      </c>
      <c r="Q1330" s="10">
        <f t="shared" si="60"/>
        <v>2.8656152910064191E-2</v>
      </c>
      <c r="AI1330">
        <v>0.18111959999999999</v>
      </c>
      <c r="AJ1330">
        <f t="shared" si="59"/>
        <v>0.18111959999999999</v>
      </c>
      <c r="AO1330">
        <v>0.18111959999999999</v>
      </c>
      <c r="AR1330" s="8">
        <v>0</v>
      </c>
      <c r="AS1330">
        <v>0.42244300000000001</v>
      </c>
    </row>
    <row r="1331" spans="1:45" x14ac:dyDescent="0.25">
      <c r="A1331">
        <v>256</v>
      </c>
      <c r="B1331">
        <v>2003</v>
      </c>
      <c r="C1331" s="8">
        <v>0</v>
      </c>
      <c r="D1331">
        <v>-0.58134350000000001</v>
      </c>
      <c r="E1331">
        <v>0.1282055</v>
      </c>
      <c r="F1331">
        <v>2.5555600000000001E-2</v>
      </c>
      <c r="G1331">
        <v>0.28294219999999998</v>
      </c>
      <c r="H1331">
        <v>3.81004E-2</v>
      </c>
      <c r="Q1331" s="10">
        <f t="shared" si="60"/>
        <v>2.6532362660060212E-2</v>
      </c>
      <c r="AI1331">
        <v>0.15798400000000001</v>
      </c>
      <c r="AJ1331">
        <f t="shared" si="59"/>
        <v>0.15798400000000001</v>
      </c>
      <c r="AO1331">
        <v>0.15798400000000001</v>
      </c>
      <c r="AR1331" s="8">
        <v>0</v>
      </c>
      <c r="AS1331">
        <v>0.29932300000000001</v>
      </c>
    </row>
    <row r="1332" spans="1:45" x14ac:dyDescent="0.25">
      <c r="A1332">
        <v>257</v>
      </c>
      <c r="B1332">
        <v>1998</v>
      </c>
      <c r="C1332" s="8">
        <v>0</v>
      </c>
      <c r="D1332">
        <v>0.18111959999999999</v>
      </c>
      <c r="E1332">
        <v>0.2041037</v>
      </c>
      <c r="F1332">
        <v>6.6626599999999994E-2</v>
      </c>
      <c r="G1332">
        <v>0.81555960000000005</v>
      </c>
      <c r="H1332">
        <v>0.12402630000000001</v>
      </c>
      <c r="Q1332" s="10">
        <f t="shared" si="60"/>
        <v>1.0761590417513374E-2</v>
      </c>
      <c r="AI1332">
        <v>0.22236620000000001</v>
      </c>
      <c r="AJ1332">
        <f t="shared" si="59"/>
        <v>0.22236620000000001</v>
      </c>
      <c r="AO1332">
        <v>0.22236620000000001</v>
      </c>
      <c r="AR1332" s="8">
        <v>0</v>
      </c>
      <c r="AS1332">
        <v>0.26489659999999998</v>
      </c>
    </row>
    <row r="1333" spans="1:45" x14ac:dyDescent="0.25">
      <c r="A1333">
        <v>257</v>
      </c>
      <c r="B1333">
        <v>1999</v>
      </c>
      <c r="C1333" s="8">
        <v>0</v>
      </c>
      <c r="D1333">
        <v>0.15798400000000001</v>
      </c>
      <c r="E1333">
        <v>0.18376310000000001</v>
      </c>
      <c r="F1333">
        <v>2.8278500000000002E-2</v>
      </c>
      <c r="G1333">
        <v>0.7378981</v>
      </c>
      <c r="H1333">
        <v>8.2289600000000004E-2</v>
      </c>
      <c r="Q1333" s="10">
        <f t="shared" si="60"/>
        <v>1.6361634743291213E-2</v>
      </c>
      <c r="AI1333">
        <v>0.1221875</v>
      </c>
      <c r="AJ1333">
        <f t="shared" si="59"/>
        <v>0.1221875</v>
      </c>
      <c r="AO1333">
        <v>0.1221875</v>
      </c>
      <c r="AR1333" s="8">
        <v>0</v>
      </c>
      <c r="AS1333">
        <v>0.28294219999999998</v>
      </c>
    </row>
    <row r="1334" spans="1:45" x14ac:dyDescent="0.25">
      <c r="A1334">
        <v>257</v>
      </c>
      <c r="B1334">
        <v>2000</v>
      </c>
      <c r="C1334" s="8">
        <v>0</v>
      </c>
      <c r="D1334">
        <v>0.22236620000000001</v>
      </c>
      <c r="E1334">
        <v>0.15300549999999999</v>
      </c>
      <c r="F1334">
        <v>5.4831900000000003E-2</v>
      </c>
      <c r="G1334">
        <v>1.4323760000000001</v>
      </c>
      <c r="H1334">
        <v>0.1119291</v>
      </c>
      <c r="Q1334" s="10">
        <f t="shared" si="60"/>
        <v>4.8415490609175675E-3</v>
      </c>
      <c r="AI1334">
        <v>6.5427399999999997E-2</v>
      </c>
      <c r="AJ1334">
        <f t="shared" si="59"/>
        <v>6.5427399999999997E-2</v>
      </c>
      <c r="AO1334">
        <v>6.5427399999999997E-2</v>
      </c>
      <c r="AR1334" s="8">
        <v>0</v>
      </c>
      <c r="AS1334">
        <v>0.81555960000000005</v>
      </c>
    </row>
    <row r="1335" spans="1:45" x14ac:dyDescent="0.25">
      <c r="A1335">
        <v>257</v>
      </c>
      <c r="B1335">
        <v>2001</v>
      </c>
      <c r="C1335" s="8">
        <v>0</v>
      </c>
      <c r="D1335">
        <v>0.1221875</v>
      </c>
      <c r="E1335">
        <v>0.23980679999999999</v>
      </c>
      <c r="F1335">
        <v>5.7211699999999997E-2</v>
      </c>
      <c r="G1335">
        <v>1.090042</v>
      </c>
      <c r="H1335">
        <v>0.13144320000000001</v>
      </c>
      <c r="Q1335" s="10">
        <f t="shared" si="60"/>
        <v>7.0001913837982087E-3</v>
      </c>
      <c r="AI1335">
        <v>6.9180699999999998E-2</v>
      </c>
      <c r="AJ1335">
        <f t="shared" si="59"/>
        <v>6.9180699999999998E-2</v>
      </c>
      <c r="AO1335">
        <v>6.9180699999999998E-2</v>
      </c>
      <c r="AR1335" s="8">
        <v>0</v>
      </c>
      <c r="AS1335">
        <v>0.7378981</v>
      </c>
    </row>
    <row r="1336" spans="1:45" x14ac:dyDescent="0.25">
      <c r="A1336">
        <v>257</v>
      </c>
      <c r="B1336">
        <v>2002</v>
      </c>
      <c r="C1336" s="8">
        <v>0</v>
      </c>
      <c r="D1336">
        <v>6.5427399999999997E-2</v>
      </c>
      <c r="E1336">
        <v>0.31736009999999998</v>
      </c>
      <c r="F1336">
        <v>4.9327599999999999E-2</v>
      </c>
      <c r="G1336">
        <v>1.3055099999999999</v>
      </c>
      <c r="H1336">
        <v>9.0742000000000003E-2</v>
      </c>
      <c r="Q1336" s="10">
        <f t="shared" si="60"/>
        <v>4.5114963880821465E-3</v>
      </c>
      <c r="AI1336">
        <v>4.3336800000000002E-2</v>
      </c>
      <c r="AJ1336">
        <f t="shared" si="59"/>
        <v>4.3336800000000002E-2</v>
      </c>
      <c r="AO1336">
        <v>4.3336800000000002E-2</v>
      </c>
      <c r="AR1336" s="8">
        <v>0</v>
      </c>
      <c r="AS1336">
        <v>1.4323760000000001</v>
      </c>
    </row>
    <row r="1337" spans="1:45" x14ac:dyDescent="0.25">
      <c r="A1337">
        <v>257</v>
      </c>
      <c r="B1337">
        <v>2003</v>
      </c>
      <c r="C1337" s="8">
        <v>0</v>
      </c>
      <c r="D1337">
        <v>6.9180699999999998E-2</v>
      </c>
      <c r="E1337">
        <v>0.3300903</v>
      </c>
      <c r="F1337">
        <v>4.4051800000000002E-2</v>
      </c>
      <c r="G1337">
        <v>1.017649</v>
      </c>
      <c r="H1337">
        <v>8.37894E-2</v>
      </c>
      <c r="Q1337" s="10">
        <f t="shared" si="60"/>
        <v>7.2683367144621043E-3</v>
      </c>
      <c r="AI1337">
        <v>0.14711930000000001</v>
      </c>
      <c r="AJ1337">
        <f t="shared" si="59"/>
        <v>0.14711930000000001</v>
      </c>
      <c r="AO1337">
        <v>0.14711930000000001</v>
      </c>
      <c r="AR1337" s="8">
        <v>0</v>
      </c>
      <c r="AS1337">
        <v>1.090042</v>
      </c>
    </row>
    <row r="1338" spans="1:45" x14ac:dyDescent="0.25">
      <c r="A1338">
        <v>257</v>
      </c>
      <c r="B1338">
        <v>2004</v>
      </c>
      <c r="C1338" s="8">
        <v>0</v>
      </c>
      <c r="D1338">
        <v>4.3336800000000002E-2</v>
      </c>
      <c r="E1338">
        <v>0.33622849999999999</v>
      </c>
      <c r="F1338">
        <v>3.7447399999999999E-2</v>
      </c>
      <c r="G1338">
        <v>1.4516180000000001</v>
      </c>
      <c r="H1338">
        <v>9.4226000000000004E-2</v>
      </c>
      <c r="Q1338" s="10">
        <f t="shared" si="60"/>
        <v>3.8004001699325266E-3</v>
      </c>
      <c r="AI1338">
        <v>9.2933199999999994E-2</v>
      </c>
      <c r="AJ1338">
        <f t="shared" si="59"/>
        <v>9.2933199999999994E-2</v>
      </c>
      <c r="AO1338">
        <v>9.2933199999999994E-2</v>
      </c>
      <c r="AR1338" s="8">
        <v>0</v>
      </c>
      <c r="AS1338">
        <v>1.3055099999999999</v>
      </c>
    </row>
    <row r="1339" spans="1:45" x14ac:dyDescent="0.25">
      <c r="A1339">
        <v>258</v>
      </c>
      <c r="B1339">
        <v>1998</v>
      </c>
      <c r="C1339" s="8">
        <v>0</v>
      </c>
      <c r="D1339">
        <v>0.14711930000000001</v>
      </c>
      <c r="E1339">
        <v>4.94782E-2</v>
      </c>
      <c r="F1339">
        <v>4.7548800000000002E-2</v>
      </c>
      <c r="G1339">
        <v>0.78237000000000001</v>
      </c>
      <c r="H1339">
        <v>0.32302419999999998</v>
      </c>
      <c r="Q1339" s="10">
        <f t="shared" si="60"/>
        <v>1.8317797161290051E-2</v>
      </c>
      <c r="AI1339">
        <v>0.2633489</v>
      </c>
      <c r="AJ1339">
        <f t="shared" si="59"/>
        <v>0.2633489</v>
      </c>
      <c r="AO1339">
        <v>0.2633489</v>
      </c>
      <c r="AR1339" s="8">
        <v>0</v>
      </c>
      <c r="AS1339">
        <v>1.017649</v>
      </c>
    </row>
    <row r="1340" spans="1:45" x14ac:dyDescent="0.25">
      <c r="A1340">
        <v>258</v>
      </c>
      <c r="B1340">
        <v>1999</v>
      </c>
      <c r="C1340" s="8">
        <v>0</v>
      </c>
      <c r="D1340">
        <v>9.2933199999999994E-2</v>
      </c>
      <c r="E1340">
        <v>7.5823799999999997E-2</v>
      </c>
      <c r="F1340">
        <v>4.8268999999999999E-2</v>
      </c>
      <c r="G1340">
        <v>1.0124789999999999</v>
      </c>
      <c r="H1340">
        <v>0.39139800000000002</v>
      </c>
      <c r="Q1340" s="10">
        <f t="shared" si="60"/>
        <v>1.246552467819797E-2</v>
      </c>
      <c r="AI1340">
        <v>0.19720689999999999</v>
      </c>
      <c r="AJ1340">
        <f t="shared" si="59"/>
        <v>0.19720689999999999</v>
      </c>
      <c r="AO1340">
        <v>0.19720689999999999</v>
      </c>
      <c r="AR1340" s="8">
        <v>0</v>
      </c>
      <c r="AS1340">
        <v>1.4516180000000001</v>
      </c>
    </row>
    <row r="1341" spans="1:45" x14ac:dyDescent="0.25">
      <c r="A1341">
        <v>259</v>
      </c>
      <c r="B1341">
        <v>1999</v>
      </c>
      <c r="C1341" s="8">
        <v>0</v>
      </c>
      <c r="D1341">
        <v>0.2633489</v>
      </c>
      <c r="E1341">
        <v>0.33647080000000001</v>
      </c>
      <c r="F1341">
        <v>3.6641800000000002E-2</v>
      </c>
      <c r="G1341">
        <v>2.7888470000000001</v>
      </c>
      <c r="H1341">
        <v>0.29838910000000002</v>
      </c>
      <c r="Q1341" s="10">
        <f t="shared" si="60"/>
        <v>5.6616759052117863E-4</v>
      </c>
      <c r="AI1341">
        <v>0.21149490000000001</v>
      </c>
      <c r="AJ1341">
        <f t="shared" si="59"/>
        <v>0.21149490000000001</v>
      </c>
      <c r="AO1341">
        <v>0.21149490000000001</v>
      </c>
      <c r="AR1341" s="8">
        <v>0</v>
      </c>
      <c r="AS1341">
        <v>0.78237000000000001</v>
      </c>
    </row>
    <row r="1342" spans="1:45" x14ac:dyDescent="0.25">
      <c r="A1342">
        <v>259</v>
      </c>
      <c r="B1342">
        <v>2000</v>
      </c>
      <c r="C1342" s="8">
        <v>0</v>
      </c>
      <c r="D1342">
        <v>0.19720689999999999</v>
      </c>
      <c r="E1342">
        <v>0.36582559999999997</v>
      </c>
      <c r="F1342">
        <v>2.2308100000000001E-2</v>
      </c>
      <c r="G1342">
        <v>2.6404139999999998</v>
      </c>
      <c r="H1342">
        <v>0.33563569999999998</v>
      </c>
      <c r="Q1342" s="10">
        <f t="shared" si="60"/>
        <v>7.6730018739389473E-4</v>
      </c>
      <c r="AI1342">
        <v>0.12086760000000001</v>
      </c>
      <c r="AJ1342">
        <f t="shared" si="59"/>
        <v>0.12086760000000001</v>
      </c>
      <c r="AO1342">
        <v>0.12086760000000001</v>
      </c>
      <c r="AR1342" s="8">
        <v>0</v>
      </c>
      <c r="AS1342">
        <v>1.0124789999999999</v>
      </c>
    </row>
    <row r="1343" spans="1:45" x14ac:dyDescent="0.25">
      <c r="A1343">
        <v>259</v>
      </c>
      <c r="B1343">
        <v>2002</v>
      </c>
      <c r="C1343" s="8">
        <v>0</v>
      </c>
      <c r="D1343">
        <v>0.21149490000000001</v>
      </c>
      <c r="E1343">
        <v>0.26394250000000002</v>
      </c>
      <c r="F1343">
        <v>3.8683299999999997E-2</v>
      </c>
      <c r="G1343">
        <v>0.9054198</v>
      </c>
      <c r="H1343">
        <v>0.28958020000000001</v>
      </c>
      <c r="Q1343" s="10">
        <f t="shared" si="60"/>
        <v>1.1980111782648779E-2</v>
      </c>
      <c r="AI1343">
        <v>0.20621249999999999</v>
      </c>
      <c r="AJ1343">
        <f t="shared" si="59"/>
        <v>0.20621249999999999</v>
      </c>
      <c r="AO1343">
        <v>0.20621249999999999</v>
      </c>
      <c r="AR1343" s="8">
        <v>0</v>
      </c>
      <c r="AS1343">
        <v>2.7888470000000001</v>
      </c>
    </row>
    <row r="1344" spans="1:45" x14ac:dyDescent="0.25">
      <c r="A1344">
        <v>259</v>
      </c>
      <c r="B1344">
        <v>2003</v>
      </c>
      <c r="C1344" s="8">
        <v>0</v>
      </c>
      <c r="D1344">
        <v>0.12086760000000001</v>
      </c>
      <c r="E1344">
        <v>0.14160239999999999</v>
      </c>
      <c r="F1344">
        <v>6.2876600000000005E-2</v>
      </c>
      <c r="G1344">
        <v>0.89989719999999995</v>
      </c>
      <c r="H1344">
        <v>0.3675948</v>
      </c>
      <c r="Q1344" s="10">
        <f t="shared" si="60"/>
        <v>1.2027004292272539E-2</v>
      </c>
      <c r="AI1344">
        <v>0.21186379999999999</v>
      </c>
      <c r="AJ1344">
        <f t="shared" si="59"/>
        <v>0.21186379999999999</v>
      </c>
      <c r="AO1344">
        <v>0.21186379999999999</v>
      </c>
      <c r="AR1344" s="8">
        <v>0</v>
      </c>
      <c r="AS1344">
        <v>2.6404139999999998</v>
      </c>
    </row>
    <row r="1345" spans="1:45" x14ac:dyDescent="0.25">
      <c r="A1345">
        <v>259</v>
      </c>
      <c r="B1345">
        <v>2004</v>
      </c>
      <c r="C1345" s="8">
        <v>0</v>
      </c>
      <c r="D1345">
        <v>0.20621249999999999</v>
      </c>
      <c r="E1345">
        <v>0.22814480000000001</v>
      </c>
      <c r="F1345">
        <v>5.4558500000000003E-2</v>
      </c>
      <c r="G1345">
        <v>1.4856469999999999</v>
      </c>
      <c r="H1345">
        <v>0.3628769</v>
      </c>
      <c r="Q1345" s="10">
        <f t="shared" si="60"/>
        <v>4.638092601211936E-3</v>
      </c>
      <c r="AI1345">
        <v>0.18634129999999999</v>
      </c>
      <c r="AJ1345">
        <f t="shared" si="59"/>
        <v>0.18634129999999999</v>
      </c>
      <c r="AO1345">
        <v>0.18634129999999999</v>
      </c>
      <c r="AR1345" s="8">
        <v>0</v>
      </c>
      <c r="AS1345">
        <v>0.9054198</v>
      </c>
    </row>
    <row r="1346" spans="1:45" x14ac:dyDescent="0.25">
      <c r="A1346">
        <v>260</v>
      </c>
      <c r="B1346">
        <v>1995</v>
      </c>
      <c r="C1346" s="8">
        <v>0</v>
      </c>
      <c r="D1346">
        <v>0.21186379999999999</v>
      </c>
      <c r="E1346">
        <v>0.3445512</v>
      </c>
      <c r="F1346">
        <v>4.3430799999999999E-2</v>
      </c>
      <c r="G1346">
        <v>1.3387899999999999</v>
      </c>
      <c r="H1346">
        <v>0.39243359999999999</v>
      </c>
      <c r="Q1346" s="10">
        <f t="shared" si="60"/>
        <v>5.5171570978977697E-3</v>
      </c>
      <c r="AI1346">
        <v>0.20705589999999999</v>
      </c>
      <c r="AJ1346">
        <f t="shared" si="59"/>
        <v>0.20705589999999999</v>
      </c>
      <c r="AO1346">
        <v>0.20705589999999999</v>
      </c>
      <c r="AR1346" s="8">
        <v>0</v>
      </c>
      <c r="AS1346">
        <v>0.89989719999999995</v>
      </c>
    </row>
    <row r="1347" spans="1:45" x14ac:dyDescent="0.25">
      <c r="A1347">
        <v>260</v>
      </c>
      <c r="B1347">
        <v>1996</v>
      </c>
      <c r="C1347" s="8">
        <v>0</v>
      </c>
      <c r="D1347">
        <v>0.18634129999999999</v>
      </c>
      <c r="E1347">
        <v>0.35398750000000001</v>
      </c>
      <c r="F1347">
        <v>5.32597E-2</v>
      </c>
      <c r="G1347">
        <v>1.5107429999999999</v>
      </c>
      <c r="H1347">
        <v>0.42865310000000001</v>
      </c>
      <c r="Q1347" s="10">
        <f t="shared" si="60"/>
        <v>3.8768173909621601E-3</v>
      </c>
      <c r="AI1347">
        <v>0.21729219999999999</v>
      </c>
      <c r="AJ1347">
        <f t="shared" si="59"/>
        <v>0.21729219999999999</v>
      </c>
      <c r="AO1347">
        <v>0.21729219999999999</v>
      </c>
      <c r="AR1347" s="8">
        <v>0</v>
      </c>
      <c r="AS1347">
        <v>1.4856469999999999</v>
      </c>
    </row>
    <row r="1348" spans="1:45" x14ac:dyDescent="0.25">
      <c r="A1348">
        <v>260</v>
      </c>
      <c r="B1348">
        <v>1997</v>
      </c>
      <c r="C1348" s="8">
        <v>0</v>
      </c>
      <c r="D1348">
        <v>0.20705589999999999</v>
      </c>
      <c r="E1348">
        <v>0.33504529999999999</v>
      </c>
      <c r="F1348">
        <v>5.10819E-2</v>
      </c>
      <c r="G1348">
        <v>1.4025129999999999</v>
      </c>
      <c r="H1348">
        <v>0.39820169999999999</v>
      </c>
      <c r="Q1348" s="10">
        <f t="shared" si="60"/>
        <v>4.7648815817421877E-3</v>
      </c>
      <c r="AI1348">
        <v>0.29657630000000001</v>
      </c>
      <c r="AJ1348">
        <f t="shared" si="59"/>
        <v>0.29657630000000001</v>
      </c>
      <c r="AO1348">
        <v>0.29657630000000001</v>
      </c>
      <c r="AR1348" s="8">
        <v>0</v>
      </c>
      <c r="AS1348">
        <v>1.3387899999999999</v>
      </c>
    </row>
    <row r="1349" spans="1:45" x14ac:dyDescent="0.25">
      <c r="A1349">
        <v>260</v>
      </c>
      <c r="B1349">
        <v>1998</v>
      </c>
      <c r="C1349" s="8">
        <v>0</v>
      </c>
      <c r="D1349">
        <v>0.21729219999999999</v>
      </c>
      <c r="E1349">
        <v>0.3137991</v>
      </c>
      <c r="F1349">
        <v>3.49357E-2</v>
      </c>
      <c r="G1349">
        <v>0.61643669999999995</v>
      </c>
      <c r="H1349">
        <v>0.37363760000000001</v>
      </c>
      <c r="Q1349" s="10">
        <f t="shared" si="60"/>
        <v>1.9078060446754266E-2</v>
      </c>
      <c r="AI1349">
        <v>0.27017530000000001</v>
      </c>
      <c r="AJ1349">
        <f t="shared" ref="AJ1349:AJ1412" si="61">MAX(MIN(AI1349,AM$5),AM$4)</f>
        <v>0.27017530000000001</v>
      </c>
      <c r="AO1349">
        <v>0.27017530000000001</v>
      </c>
      <c r="AR1349" s="8">
        <v>0</v>
      </c>
      <c r="AS1349">
        <v>1.5107429999999999</v>
      </c>
    </row>
    <row r="1350" spans="1:45" x14ac:dyDescent="0.25">
      <c r="A1350">
        <v>261</v>
      </c>
      <c r="B1350">
        <v>1995</v>
      </c>
      <c r="C1350" s="8">
        <v>0</v>
      </c>
      <c r="D1350">
        <v>0.29657630000000001</v>
      </c>
      <c r="E1350">
        <v>0.38053769999999998</v>
      </c>
      <c r="F1350">
        <v>6.4232399999999995E-2</v>
      </c>
      <c r="G1350">
        <v>1.2856559999999999</v>
      </c>
      <c r="H1350">
        <v>0.35296810000000001</v>
      </c>
      <c r="Q1350" s="10">
        <f t="shared" si="60"/>
        <v>4.8798078511392302E-3</v>
      </c>
      <c r="AI1350">
        <v>0.24028840000000001</v>
      </c>
      <c r="AJ1350">
        <f t="shared" si="61"/>
        <v>0.24028840000000001</v>
      </c>
      <c r="AO1350">
        <v>0.24028840000000001</v>
      </c>
      <c r="AR1350" s="8">
        <v>0</v>
      </c>
      <c r="AS1350">
        <v>1.4025129999999999</v>
      </c>
    </row>
    <row r="1351" spans="1:45" x14ac:dyDescent="0.25">
      <c r="A1351">
        <v>261</v>
      </c>
      <c r="B1351">
        <v>1996</v>
      </c>
      <c r="C1351" s="8">
        <v>0</v>
      </c>
      <c r="D1351">
        <v>0.27017530000000001</v>
      </c>
      <c r="E1351">
        <v>0.36385010000000001</v>
      </c>
      <c r="F1351">
        <v>5.3877899999999999E-2</v>
      </c>
      <c r="G1351">
        <v>1.320174</v>
      </c>
      <c r="H1351">
        <v>0.35910409999999998</v>
      </c>
      <c r="Q1351" s="10">
        <f t="shared" ref="Q1351:Q1414" si="62">1/(1+EXP(-(J$6+SUMPRODUCT(K$6:O$6,D1351:H1351))))</f>
        <v>5.1029888811010785E-3</v>
      </c>
      <c r="AI1351">
        <v>0.26262869999999999</v>
      </c>
      <c r="AJ1351">
        <f t="shared" si="61"/>
        <v>0.26262869999999999</v>
      </c>
      <c r="AO1351">
        <v>0.26262869999999999</v>
      </c>
      <c r="AR1351" s="8">
        <v>0</v>
      </c>
      <c r="AS1351">
        <v>0.61643669999999995</v>
      </c>
    </row>
    <row r="1352" spans="1:45" x14ac:dyDescent="0.25">
      <c r="A1352">
        <v>261</v>
      </c>
      <c r="B1352">
        <v>1997</v>
      </c>
      <c r="C1352" s="8">
        <v>0</v>
      </c>
      <c r="D1352">
        <v>0.24028840000000001</v>
      </c>
      <c r="E1352">
        <v>0.38359310000000002</v>
      </c>
      <c r="F1352">
        <v>7.4139399999999994E-2</v>
      </c>
      <c r="G1352">
        <v>1.645222</v>
      </c>
      <c r="H1352">
        <v>0.31291170000000001</v>
      </c>
      <c r="Q1352" s="10">
        <f t="shared" si="62"/>
        <v>2.4175059645202058E-3</v>
      </c>
      <c r="AI1352">
        <v>0.1068094</v>
      </c>
      <c r="AJ1352">
        <f t="shared" si="61"/>
        <v>0.1068094</v>
      </c>
      <c r="AO1352">
        <v>0.1068094</v>
      </c>
      <c r="AR1352" s="8">
        <v>0</v>
      </c>
      <c r="AS1352">
        <v>1.2856559999999999</v>
      </c>
    </row>
    <row r="1353" spans="1:45" x14ac:dyDescent="0.25">
      <c r="A1353">
        <v>261</v>
      </c>
      <c r="B1353">
        <v>1998</v>
      </c>
      <c r="C1353" s="8">
        <v>0</v>
      </c>
      <c r="D1353">
        <v>0.26262869999999999</v>
      </c>
      <c r="E1353">
        <v>0.35642970000000002</v>
      </c>
      <c r="F1353">
        <v>3.07687E-2</v>
      </c>
      <c r="G1353">
        <v>1.6677649999999999</v>
      </c>
      <c r="H1353">
        <v>0.28971390000000002</v>
      </c>
      <c r="Q1353" s="10">
        <f t="shared" si="62"/>
        <v>3.411382803747988E-3</v>
      </c>
      <c r="AI1353">
        <v>0.4928053</v>
      </c>
      <c r="AJ1353">
        <f t="shared" si="61"/>
        <v>0.4928053</v>
      </c>
      <c r="AO1353">
        <v>0.4928053</v>
      </c>
      <c r="AR1353" s="8">
        <v>0</v>
      </c>
      <c r="AS1353">
        <v>1.320174</v>
      </c>
    </row>
    <row r="1354" spans="1:45" x14ac:dyDescent="0.25">
      <c r="A1354">
        <v>261</v>
      </c>
      <c r="B1354">
        <v>1999</v>
      </c>
      <c r="C1354" s="8">
        <v>0</v>
      </c>
      <c r="D1354">
        <v>0.1068094</v>
      </c>
      <c r="E1354">
        <v>0.44842860000000001</v>
      </c>
      <c r="F1354">
        <v>2.7430300000000001E-2</v>
      </c>
      <c r="G1354">
        <v>2.2911060000000001</v>
      </c>
      <c r="H1354">
        <v>0.18987309999999999</v>
      </c>
      <c r="Q1354" s="10">
        <f t="shared" si="62"/>
        <v>1.0026744672284973E-3</v>
      </c>
      <c r="AI1354">
        <v>0.41296070000000001</v>
      </c>
      <c r="AJ1354">
        <f t="shared" si="61"/>
        <v>0.41296070000000001</v>
      </c>
      <c r="AO1354">
        <v>0.41296070000000001</v>
      </c>
      <c r="AR1354" s="8">
        <v>0</v>
      </c>
      <c r="AS1354">
        <v>1.645222</v>
      </c>
    </row>
    <row r="1355" spans="1:45" x14ac:dyDescent="0.25">
      <c r="A1355">
        <v>261</v>
      </c>
      <c r="B1355">
        <v>2000</v>
      </c>
      <c r="C1355" s="8">
        <v>0</v>
      </c>
      <c r="D1355">
        <v>0.4928053</v>
      </c>
      <c r="E1355">
        <v>0.51420049999999995</v>
      </c>
      <c r="F1355">
        <v>5.29361E-2</v>
      </c>
      <c r="G1355">
        <v>2.4125920000000001</v>
      </c>
      <c r="H1355">
        <v>0.25522220000000001</v>
      </c>
      <c r="Q1355" s="10">
        <f t="shared" si="62"/>
        <v>7.4835527961285395E-4</v>
      </c>
      <c r="AI1355">
        <v>0.43309819999999999</v>
      </c>
      <c r="AJ1355">
        <f t="shared" si="61"/>
        <v>0.43309819999999999</v>
      </c>
      <c r="AO1355">
        <v>0.43309819999999999</v>
      </c>
      <c r="AR1355" s="8">
        <v>0</v>
      </c>
      <c r="AS1355">
        <v>1.6677649999999999</v>
      </c>
    </row>
    <row r="1356" spans="1:45" x14ac:dyDescent="0.25">
      <c r="A1356">
        <v>261</v>
      </c>
      <c r="B1356">
        <v>2001</v>
      </c>
      <c r="C1356" s="8">
        <v>0</v>
      </c>
      <c r="D1356">
        <v>0.41296070000000001</v>
      </c>
      <c r="E1356">
        <v>0.46561940000000002</v>
      </c>
      <c r="F1356">
        <v>3.5930700000000003E-2</v>
      </c>
      <c r="G1356">
        <v>2.1510289999999999</v>
      </c>
      <c r="H1356">
        <v>0.29989159999999998</v>
      </c>
      <c r="Q1356" s="10">
        <f t="shared" si="62"/>
        <v>1.3875900632955905E-3</v>
      </c>
      <c r="AI1356">
        <v>0.44181540000000002</v>
      </c>
      <c r="AJ1356">
        <f t="shared" si="61"/>
        <v>0.44181540000000002</v>
      </c>
      <c r="AO1356">
        <v>0.44181540000000002</v>
      </c>
      <c r="AR1356" s="8">
        <v>0</v>
      </c>
      <c r="AS1356">
        <v>2.2911060000000001</v>
      </c>
    </row>
    <row r="1357" spans="1:45" x14ac:dyDescent="0.25">
      <c r="A1357">
        <v>261</v>
      </c>
      <c r="B1357">
        <v>2002</v>
      </c>
      <c r="C1357" s="8">
        <v>0</v>
      </c>
      <c r="D1357">
        <v>0.43309819999999999</v>
      </c>
      <c r="E1357">
        <v>0.48939280000000002</v>
      </c>
      <c r="F1357">
        <v>5.6642100000000001E-2</v>
      </c>
      <c r="G1357">
        <v>3.4182079999999999</v>
      </c>
      <c r="H1357">
        <v>0.30681609999999998</v>
      </c>
      <c r="Q1357" s="10">
        <f t="shared" si="62"/>
        <v>1.5286997019065633E-4</v>
      </c>
      <c r="AI1357">
        <v>0.48222120000000002</v>
      </c>
      <c r="AJ1357">
        <f t="shared" si="61"/>
        <v>0.48222120000000002</v>
      </c>
      <c r="AO1357">
        <v>0.48222120000000002</v>
      </c>
      <c r="AR1357" s="8">
        <v>0</v>
      </c>
      <c r="AS1357">
        <v>2.4125920000000001</v>
      </c>
    </row>
    <row r="1358" spans="1:45" x14ac:dyDescent="0.25">
      <c r="A1358">
        <v>261</v>
      </c>
      <c r="B1358">
        <v>2003</v>
      </c>
      <c r="C1358" s="8">
        <v>0</v>
      </c>
      <c r="D1358">
        <v>0.44181540000000002</v>
      </c>
      <c r="E1358">
        <v>0.45116270000000003</v>
      </c>
      <c r="F1358">
        <v>2.9457199999999999E-2</v>
      </c>
      <c r="G1358">
        <v>2.259998</v>
      </c>
      <c r="H1358">
        <v>0.3128783</v>
      </c>
      <c r="Q1358" s="10">
        <f t="shared" si="62"/>
        <v>1.2799633888395203E-3</v>
      </c>
      <c r="AI1358">
        <v>0.13329750000000001</v>
      </c>
      <c r="AJ1358">
        <f t="shared" si="61"/>
        <v>0.13329750000000001</v>
      </c>
      <c r="AO1358">
        <v>0.13329750000000001</v>
      </c>
      <c r="AR1358" s="8">
        <v>0</v>
      </c>
      <c r="AS1358">
        <v>2.1510289999999999</v>
      </c>
    </row>
    <row r="1359" spans="1:45" x14ac:dyDescent="0.25">
      <c r="A1359">
        <v>261</v>
      </c>
      <c r="B1359">
        <v>2004</v>
      </c>
      <c r="C1359" s="8">
        <v>0</v>
      </c>
      <c r="D1359">
        <v>0.48222120000000002</v>
      </c>
      <c r="E1359">
        <v>0.46473910000000002</v>
      </c>
      <c r="F1359">
        <v>6.4355700000000002E-2</v>
      </c>
      <c r="G1359">
        <v>3.595507</v>
      </c>
      <c r="H1359">
        <v>0.35752889999999998</v>
      </c>
      <c r="Q1359" s="10">
        <f t="shared" si="62"/>
        <v>1.1827461098926619E-4</v>
      </c>
      <c r="AI1359">
        <v>0.1889266</v>
      </c>
      <c r="AJ1359">
        <f t="shared" si="61"/>
        <v>0.1889266</v>
      </c>
      <c r="AO1359">
        <v>0.1889266</v>
      </c>
      <c r="AR1359" s="8">
        <v>0</v>
      </c>
      <c r="AS1359">
        <v>3.4182079999999999</v>
      </c>
    </row>
    <row r="1360" spans="1:45" x14ac:dyDescent="0.25">
      <c r="A1360">
        <v>262</v>
      </c>
      <c r="B1360">
        <v>1995</v>
      </c>
      <c r="C1360" s="8">
        <v>0</v>
      </c>
      <c r="D1360">
        <v>0.13329750000000001</v>
      </c>
      <c r="E1360">
        <v>0.5707856</v>
      </c>
      <c r="F1360">
        <v>6.1645999999999999E-2</v>
      </c>
      <c r="G1360">
        <v>2.1575929999999999</v>
      </c>
      <c r="H1360">
        <v>0.3171254</v>
      </c>
      <c r="Q1360" s="10">
        <f t="shared" si="62"/>
        <v>8.6399321080266923E-4</v>
      </c>
      <c r="AI1360">
        <v>0.26435999999999998</v>
      </c>
      <c r="AJ1360">
        <f t="shared" si="61"/>
        <v>0.26435999999999998</v>
      </c>
      <c r="AO1360">
        <v>0.26435999999999998</v>
      </c>
      <c r="AR1360" s="8">
        <v>0</v>
      </c>
      <c r="AS1360">
        <v>2.259998</v>
      </c>
    </row>
    <row r="1361" spans="1:45" x14ac:dyDescent="0.25">
      <c r="A1361">
        <v>262</v>
      </c>
      <c r="B1361">
        <v>1996</v>
      </c>
      <c r="C1361" s="8">
        <v>0</v>
      </c>
      <c r="D1361">
        <v>0.1889266</v>
      </c>
      <c r="E1361">
        <v>0.6100951</v>
      </c>
      <c r="F1361">
        <v>6.6556299999999999E-2</v>
      </c>
      <c r="G1361">
        <v>2.667227</v>
      </c>
      <c r="H1361">
        <v>0.3382713</v>
      </c>
      <c r="Q1361" s="10">
        <f t="shared" si="62"/>
        <v>3.6127536926876665E-4</v>
      </c>
      <c r="AI1361">
        <v>8.8379200000000005E-2</v>
      </c>
      <c r="AJ1361">
        <f t="shared" si="61"/>
        <v>8.8379200000000005E-2</v>
      </c>
      <c r="AO1361">
        <v>8.8379200000000005E-2</v>
      </c>
      <c r="AR1361" s="8">
        <v>0</v>
      </c>
      <c r="AS1361">
        <v>3.595507</v>
      </c>
    </row>
    <row r="1362" spans="1:45" x14ac:dyDescent="0.25">
      <c r="A1362">
        <v>262</v>
      </c>
      <c r="B1362">
        <v>1997</v>
      </c>
      <c r="C1362" s="8">
        <v>0</v>
      </c>
      <c r="D1362">
        <v>0.26435999999999998</v>
      </c>
      <c r="E1362">
        <v>0.70093360000000005</v>
      </c>
      <c r="F1362">
        <v>5.8042499999999997E-2</v>
      </c>
      <c r="G1362">
        <v>2.9328560000000001</v>
      </c>
      <c r="H1362">
        <v>0.305282</v>
      </c>
      <c r="Q1362" s="10">
        <f t="shared" si="62"/>
        <v>2.2437278997510099E-4</v>
      </c>
      <c r="AI1362">
        <v>0.1228665</v>
      </c>
      <c r="AJ1362">
        <f t="shared" si="61"/>
        <v>0.1228665</v>
      </c>
      <c r="AO1362">
        <v>0.1228665</v>
      </c>
      <c r="AR1362" s="8">
        <v>0</v>
      </c>
      <c r="AS1362">
        <v>2.1575929999999999</v>
      </c>
    </row>
    <row r="1363" spans="1:45" x14ac:dyDescent="0.25">
      <c r="A1363">
        <v>262</v>
      </c>
      <c r="B1363">
        <v>1998</v>
      </c>
      <c r="C1363" s="8">
        <v>0</v>
      </c>
      <c r="D1363">
        <v>8.8379200000000005E-2</v>
      </c>
      <c r="E1363">
        <v>0.66953790000000002</v>
      </c>
      <c r="F1363">
        <v>6.8145399999999995E-2</v>
      </c>
      <c r="G1363">
        <v>1.473419</v>
      </c>
      <c r="H1363">
        <v>0.3124847</v>
      </c>
      <c r="Q1363" s="10">
        <f t="shared" si="62"/>
        <v>2.0664545130271005E-3</v>
      </c>
      <c r="AI1363">
        <v>0.1198249</v>
      </c>
      <c r="AJ1363">
        <f t="shared" si="61"/>
        <v>0.1198249</v>
      </c>
      <c r="AO1363">
        <v>0.1198249</v>
      </c>
      <c r="AR1363" s="8">
        <v>0</v>
      </c>
      <c r="AS1363">
        <v>2.667227</v>
      </c>
    </row>
    <row r="1364" spans="1:45" x14ac:dyDescent="0.25">
      <c r="A1364">
        <v>262</v>
      </c>
      <c r="B1364">
        <v>1999</v>
      </c>
      <c r="C1364" s="8">
        <v>0</v>
      </c>
      <c r="D1364">
        <v>0.1228665</v>
      </c>
      <c r="E1364">
        <v>0.68788990000000005</v>
      </c>
      <c r="F1364">
        <v>5.7714500000000002E-2</v>
      </c>
      <c r="G1364">
        <v>1.2912969999999999</v>
      </c>
      <c r="H1364">
        <v>0.2934869</v>
      </c>
      <c r="Q1364" s="10">
        <f t="shared" si="62"/>
        <v>2.9284403247037162E-3</v>
      </c>
      <c r="AI1364">
        <v>0.14021249999999999</v>
      </c>
      <c r="AJ1364">
        <f t="shared" si="61"/>
        <v>0.14021249999999999</v>
      </c>
      <c r="AO1364">
        <v>0.14021249999999999</v>
      </c>
      <c r="AR1364" s="8">
        <v>0</v>
      </c>
      <c r="AS1364">
        <v>2.9328560000000001</v>
      </c>
    </row>
    <row r="1365" spans="1:45" x14ac:dyDescent="0.25">
      <c r="A1365">
        <v>262</v>
      </c>
      <c r="B1365">
        <v>2000</v>
      </c>
      <c r="C1365" s="8">
        <v>0</v>
      </c>
      <c r="D1365">
        <v>0.1198249</v>
      </c>
      <c r="E1365">
        <v>0.54047020000000001</v>
      </c>
      <c r="F1365">
        <v>5.0946499999999999E-2</v>
      </c>
      <c r="G1365">
        <v>0.67865299999999995</v>
      </c>
      <c r="H1365">
        <v>0.27494839999999998</v>
      </c>
      <c r="Q1365" s="10">
        <f t="shared" si="62"/>
        <v>9.9684980751538234E-3</v>
      </c>
      <c r="AI1365">
        <v>0.14543449999999999</v>
      </c>
      <c r="AJ1365">
        <f t="shared" si="61"/>
        <v>0.14543449999999999</v>
      </c>
      <c r="AO1365">
        <v>0.14543449999999999</v>
      </c>
      <c r="AR1365" s="8">
        <v>0</v>
      </c>
      <c r="AS1365">
        <v>1.473419</v>
      </c>
    </row>
    <row r="1366" spans="1:45" x14ac:dyDescent="0.25">
      <c r="A1366">
        <v>262</v>
      </c>
      <c r="B1366">
        <v>2002</v>
      </c>
      <c r="C1366" s="8">
        <v>0</v>
      </c>
      <c r="D1366">
        <v>0.14021249999999999</v>
      </c>
      <c r="E1366">
        <v>0.5622085</v>
      </c>
      <c r="F1366">
        <v>4.63398E-2</v>
      </c>
      <c r="G1366">
        <v>0.97973449999999995</v>
      </c>
      <c r="H1366">
        <v>0.30014380000000002</v>
      </c>
      <c r="Q1366" s="10">
        <f t="shared" si="62"/>
        <v>6.3760842507275131E-3</v>
      </c>
      <c r="AI1366">
        <v>0.1795139</v>
      </c>
      <c r="AJ1366">
        <f t="shared" si="61"/>
        <v>0.1795139</v>
      </c>
      <c r="AO1366">
        <v>0.1795139</v>
      </c>
      <c r="AR1366" s="8">
        <v>0</v>
      </c>
      <c r="AS1366">
        <v>1.2912969999999999</v>
      </c>
    </row>
    <row r="1367" spans="1:45" x14ac:dyDescent="0.25">
      <c r="A1367">
        <v>262</v>
      </c>
      <c r="B1367">
        <v>2003</v>
      </c>
      <c r="C1367" s="8">
        <v>0</v>
      </c>
      <c r="D1367">
        <v>0.14543449999999999</v>
      </c>
      <c r="E1367">
        <v>0.57613080000000005</v>
      </c>
      <c r="F1367">
        <v>5.3199999999999997E-2</v>
      </c>
      <c r="G1367">
        <v>1.3443799999999999</v>
      </c>
      <c r="H1367">
        <v>0.28891650000000002</v>
      </c>
      <c r="Q1367" s="10">
        <f t="shared" si="62"/>
        <v>3.3023475665582354E-3</v>
      </c>
      <c r="AI1367">
        <v>0.53117389999999998</v>
      </c>
      <c r="AJ1367">
        <f t="shared" si="61"/>
        <v>0.52051970800000003</v>
      </c>
      <c r="AO1367">
        <v>0.52051970800000003</v>
      </c>
      <c r="AR1367" s="8">
        <v>0</v>
      </c>
      <c r="AS1367">
        <v>0.67865299999999995</v>
      </c>
    </row>
    <row r="1368" spans="1:45" x14ac:dyDescent="0.25">
      <c r="A1368">
        <v>262</v>
      </c>
      <c r="B1368">
        <v>2004</v>
      </c>
      <c r="C1368" s="8">
        <v>0</v>
      </c>
      <c r="D1368">
        <v>0.1795139</v>
      </c>
      <c r="E1368">
        <v>0.57000360000000005</v>
      </c>
      <c r="F1368">
        <v>4.1390499999999997E-2</v>
      </c>
      <c r="G1368">
        <v>1.601369</v>
      </c>
      <c r="H1368">
        <v>0.331903</v>
      </c>
      <c r="Q1368" s="10">
        <f t="shared" si="62"/>
        <v>2.5345177735676514E-3</v>
      </c>
      <c r="AI1368">
        <v>0.49503930000000002</v>
      </c>
      <c r="AJ1368">
        <f t="shared" si="61"/>
        <v>0.49503930000000002</v>
      </c>
      <c r="AO1368">
        <v>0.49503930000000002</v>
      </c>
      <c r="AR1368" s="8">
        <v>0</v>
      </c>
      <c r="AS1368">
        <v>0.97973449999999995</v>
      </c>
    </row>
    <row r="1369" spans="1:45" x14ac:dyDescent="0.25">
      <c r="A1369">
        <v>263</v>
      </c>
      <c r="B1369">
        <v>1995</v>
      </c>
      <c r="C1369" s="8">
        <v>0</v>
      </c>
      <c r="D1369">
        <v>0.53117389999999998</v>
      </c>
      <c r="E1369">
        <v>3.6112000000000002E-3</v>
      </c>
      <c r="F1369">
        <v>2.8132999999999998E-2</v>
      </c>
      <c r="G1369">
        <v>0.63406379999999996</v>
      </c>
      <c r="H1369">
        <v>0.42435709999999999</v>
      </c>
      <c r="Q1369" s="10">
        <f t="shared" si="62"/>
        <v>3.5533237141567725E-2</v>
      </c>
      <c r="AI1369">
        <v>0.52680499999999997</v>
      </c>
      <c r="AJ1369">
        <f t="shared" si="61"/>
        <v>0.52051970800000003</v>
      </c>
      <c r="AO1369">
        <v>0.52051970800000003</v>
      </c>
      <c r="AR1369" s="8">
        <v>0</v>
      </c>
      <c r="AS1369">
        <v>1.3443799999999999</v>
      </c>
    </row>
    <row r="1370" spans="1:45" x14ac:dyDescent="0.25">
      <c r="A1370">
        <v>263</v>
      </c>
      <c r="B1370">
        <v>1996</v>
      </c>
      <c r="C1370" s="8">
        <v>0</v>
      </c>
      <c r="D1370">
        <v>0.49503930000000002</v>
      </c>
      <c r="E1370">
        <v>4.8260200000000003E-2</v>
      </c>
      <c r="F1370">
        <v>4.3217699999999998E-2</v>
      </c>
      <c r="G1370">
        <v>0.68418730000000005</v>
      </c>
      <c r="H1370">
        <v>0.41806320000000002</v>
      </c>
      <c r="Q1370" s="10">
        <f t="shared" si="62"/>
        <v>2.697650883230724E-2</v>
      </c>
      <c r="AI1370">
        <v>0.55700590000000005</v>
      </c>
      <c r="AJ1370">
        <f t="shared" si="61"/>
        <v>0.52051970800000003</v>
      </c>
      <c r="AO1370">
        <v>0.52051970800000003</v>
      </c>
      <c r="AR1370" s="8">
        <v>0</v>
      </c>
      <c r="AS1370">
        <v>1.601369</v>
      </c>
    </row>
    <row r="1371" spans="1:45" x14ac:dyDescent="0.25">
      <c r="A1371">
        <v>263</v>
      </c>
      <c r="B1371">
        <v>1997</v>
      </c>
      <c r="C1371" s="8">
        <v>0</v>
      </c>
      <c r="D1371">
        <v>0.52680499999999997</v>
      </c>
      <c r="E1371">
        <v>9.5292299999999996E-2</v>
      </c>
      <c r="F1371">
        <v>5.7141400000000002E-2</v>
      </c>
      <c r="G1371">
        <v>1.033531</v>
      </c>
      <c r="H1371">
        <v>0.4253112</v>
      </c>
      <c r="Q1371" s="10">
        <f t="shared" si="62"/>
        <v>1.3330759306839648E-2</v>
      </c>
      <c r="AI1371">
        <v>0.5213776</v>
      </c>
      <c r="AJ1371">
        <f t="shared" si="61"/>
        <v>0.52051970800000003</v>
      </c>
      <c r="AO1371">
        <v>0.52051970800000003</v>
      </c>
      <c r="AR1371" s="8">
        <v>0</v>
      </c>
      <c r="AS1371">
        <v>0.63406379999999996</v>
      </c>
    </row>
    <row r="1372" spans="1:45" x14ac:dyDescent="0.25">
      <c r="A1372">
        <v>263</v>
      </c>
      <c r="B1372">
        <v>1998</v>
      </c>
      <c r="C1372" s="8">
        <v>0</v>
      </c>
      <c r="D1372">
        <v>0.55700590000000005</v>
      </c>
      <c r="E1372">
        <v>0.13427939999999999</v>
      </c>
      <c r="F1372">
        <v>5.7462199999999998E-2</v>
      </c>
      <c r="G1372">
        <v>0.78576509999999999</v>
      </c>
      <c r="H1372">
        <v>0.40635779999999999</v>
      </c>
      <c r="Q1372" s="10">
        <f t="shared" si="62"/>
        <v>1.8561909028339638E-2</v>
      </c>
      <c r="AI1372">
        <v>0.48752200000000001</v>
      </c>
      <c r="AJ1372">
        <f t="shared" si="61"/>
        <v>0.48752200000000001</v>
      </c>
      <c r="AO1372">
        <v>0.48752200000000001</v>
      </c>
      <c r="AR1372" s="8">
        <v>0</v>
      </c>
      <c r="AS1372">
        <v>0.68418730000000005</v>
      </c>
    </row>
    <row r="1373" spans="1:45" x14ac:dyDescent="0.25">
      <c r="A1373">
        <v>263</v>
      </c>
      <c r="B1373">
        <v>1999</v>
      </c>
      <c r="C1373" s="8">
        <v>0</v>
      </c>
      <c r="D1373">
        <v>0.5213776</v>
      </c>
      <c r="E1373">
        <v>0.14885670000000001</v>
      </c>
      <c r="F1373">
        <v>4.7785800000000003E-2</v>
      </c>
      <c r="G1373">
        <v>0.459287</v>
      </c>
      <c r="H1373">
        <v>0.45156259999999998</v>
      </c>
      <c r="Q1373" s="10">
        <f t="shared" si="62"/>
        <v>3.2984487969503172E-2</v>
      </c>
      <c r="AI1373">
        <v>0.46047709999999997</v>
      </c>
      <c r="AJ1373">
        <f t="shared" si="61"/>
        <v>0.46047709999999997</v>
      </c>
      <c r="AO1373">
        <v>0.46047709999999997</v>
      </c>
      <c r="AR1373" s="8">
        <v>0</v>
      </c>
      <c r="AS1373">
        <v>1.033531</v>
      </c>
    </row>
    <row r="1374" spans="1:45" x14ac:dyDescent="0.25">
      <c r="A1374">
        <v>263</v>
      </c>
      <c r="B1374">
        <v>2000</v>
      </c>
      <c r="C1374" s="8">
        <v>0</v>
      </c>
      <c r="D1374">
        <v>0.48752200000000001</v>
      </c>
      <c r="E1374">
        <v>0.1635067</v>
      </c>
      <c r="F1374">
        <v>4.14483E-2</v>
      </c>
      <c r="G1374">
        <v>0.32149450000000002</v>
      </c>
      <c r="H1374">
        <v>0.42891859999999998</v>
      </c>
      <c r="Q1374" s="10">
        <f t="shared" si="62"/>
        <v>4.0806098672281126E-2</v>
      </c>
      <c r="AI1374">
        <v>5.8148499999999999E-2</v>
      </c>
      <c r="AJ1374">
        <f t="shared" si="61"/>
        <v>5.8148499999999999E-2</v>
      </c>
      <c r="AO1374">
        <v>5.8148499999999999E-2</v>
      </c>
      <c r="AR1374" s="8">
        <v>0</v>
      </c>
      <c r="AS1374">
        <v>0.78576509999999999</v>
      </c>
    </row>
    <row r="1375" spans="1:45" x14ac:dyDescent="0.25">
      <c r="A1375">
        <v>263</v>
      </c>
      <c r="B1375">
        <v>2001</v>
      </c>
      <c r="C1375" s="8">
        <v>0</v>
      </c>
      <c r="D1375">
        <v>0.46047709999999997</v>
      </c>
      <c r="E1375">
        <v>0.13379659999999999</v>
      </c>
      <c r="F1375">
        <v>4.9335799999999999E-2</v>
      </c>
      <c r="G1375">
        <v>0.24207129999999999</v>
      </c>
      <c r="H1375">
        <v>0.36739280000000002</v>
      </c>
      <c r="Q1375" s="10">
        <f t="shared" si="62"/>
        <v>4.3110435685129664E-2</v>
      </c>
      <c r="AI1375">
        <v>2.3043999999999999E-2</v>
      </c>
      <c r="AJ1375">
        <f t="shared" si="61"/>
        <v>2.3043999999999999E-2</v>
      </c>
      <c r="AO1375">
        <v>2.3043999999999999E-2</v>
      </c>
      <c r="AR1375" s="8">
        <v>0</v>
      </c>
      <c r="AS1375">
        <v>0.459287</v>
      </c>
    </row>
    <row r="1376" spans="1:45" x14ac:dyDescent="0.25">
      <c r="A1376">
        <v>264</v>
      </c>
      <c r="B1376">
        <v>1995</v>
      </c>
      <c r="C1376" s="8">
        <v>0</v>
      </c>
      <c r="D1376">
        <v>5.8148499999999999E-2</v>
      </c>
      <c r="E1376">
        <v>-0.15330550000000001</v>
      </c>
      <c r="F1376">
        <v>4.4525000000000002E-2</v>
      </c>
      <c r="G1376">
        <v>0.32252429999999999</v>
      </c>
      <c r="H1376">
        <v>0.29625390000000001</v>
      </c>
      <c r="Q1376" s="10">
        <f t="shared" si="62"/>
        <v>4.8199494734258885E-2</v>
      </c>
      <c r="AI1376">
        <v>0.2334135</v>
      </c>
      <c r="AJ1376">
        <f t="shared" si="61"/>
        <v>0.2334135</v>
      </c>
      <c r="AO1376">
        <v>0.2334135</v>
      </c>
      <c r="AR1376" s="8">
        <v>0</v>
      </c>
      <c r="AS1376">
        <v>0.32149450000000002</v>
      </c>
    </row>
    <row r="1377" spans="1:45" x14ac:dyDescent="0.25">
      <c r="A1377">
        <v>264</v>
      </c>
      <c r="B1377">
        <v>1996</v>
      </c>
      <c r="C1377" s="8">
        <v>1</v>
      </c>
      <c r="D1377">
        <v>2.3043999999999999E-2</v>
      </c>
      <c r="E1377">
        <v>-0.26934989999999998</v>
      </c>
      <c r="F1377">
        <v>2.7171000000000001E-3</v>
      </c>
      <c r="G1377">
        <v>0.15356639999999999</v>
      </c>
      <c r="H1377">
        <v>0.33865889999999998</v>
      </c>
      <c r="Q1377" s="10">
        <f t="shared" si="62"/>
        <v>9.9852045710189172E-2</v>
      </c>
      <c r="AI1377">
        <v>0.2597756</v>
      </c>
      <c r="AJ1377">
        <f t="shared" si="61"/>
        <v>0.2597756</v>
      </c>
      <c r="AO1377">
        <v>0.2597756</v>
      </c>
      <c r="AR1377" s="8">
        <v>0</v>
      </c>
      <c r="AS1377">
        <v>0.24207129999999999</v>
      </c>
    </row>
    <row r="1378" spans="1:45" x14ac:dyDescent="0.25">
      <c r="A1378">
        <v>265</v>
      </c>
      <c r="B1378">
        <v>1995</v>
      </c>
      <c r="C1378" s="8">
        <v>0</v>
      </c>
      <c r="D1378">
        <v>0.2334135</v>
      </c>
      <c r="E1378">
        <v>0.50828110000000004</v>
      </c>
      <c r="F1378">
        <v>8.4744E-2</v>
      </c>
      <c r="G1378">
        <v>2.5092729999999999</v>
      </c>
      <c r="H1378">
        <v>0.42478260000000001</v>
      </c>
      <c r="Q1378" s="10">
        <f t="shared" si="62"/>
        <v>5.0060570463491844E-4</v>
      </c>
      <c r="AI1378">
        <v>0.2202395</v>
      </c>
      <c r="AJ1378">
        <f t="shared" si="61"/>
        <v>0.2202395</v>
      </c>
      <c r="AO1378">
        <v>0.2202395</v>
      </c>
      <c r="AR1378" s="8">
        <v>0</v>
      </c>
      <c r="AS1378">
        <v>0.32252429999999999</v>
      </c>
    </row>
    <row r="1379" spans="1:45" x14ac:dyDescent="0.25">
      <c r="A1379">
        <v>265</v>
      </c>
      <c r="B1379">
        <v>1996</v>
      </c>
      <c r="C1379" s="8">
        <v>0</v>
      </c>
      <c r="D1379">
        <v>0.2597756</v>
      </c>
      <c r="E1379">
        <v>0.52651130000000002</v>
      </c>
      <c r="F1379">
        <v>7.4379700000000007E-2</v>
      </c>
      <c r="G1379">
        <v>3.2107329999999998</v>
      </c>
      <c r="H1379">
        <v>0.44117590000000001</v>
      </c>
      <c r="Q1379" s="10">
        <f t="shared" si="62"/>
        <v>1.7693476286286265E-4</v>
      </c>
      <c r="AI1379">
        <v>0.14013049999999999</v>
      </c>
      <c r="AJ1379">
        <f t="shared" si="61"/>
        <v>0.14013049999999999</v>
      </c>
      <c r="AO1379">
        <v>0.14013049999999999</v>
      </c>
      <c r="AR1379" s="8">
        <v>1</v>
      </c>
      <c r="AS1379">
        <v>0.15356639999999999</v>
      </c>
    </row>
    <row r="1380" spans="1:45" x14ac:dyDescent="0.25">
      <c r="A1380">
        <v>265</v>
      </c>
      <c r="B1380">
        <v>1997</v>
      </c>
      <c r="C1380" s="8">
        <v>0</v>
      </c>
      <c r="D1380">
        <v>0.2202395</v>
      </c>
      <c r="E1380">
        <v>0.52721839999999998</v>
      </c>
      <c r="F1380">
        <v>8.4431900000000004E-2</v>
      </c>
      <c r="G1380">
        <v>3.9881769999999999</v>
      </c>
      <c r="H1380">
        <v>0.42054809999999998</v>
      </c>
      <c r="Q1380" s="10">
        <f t="shared" si="62"/>
        <v>4.5896029215929151E-5</v>
      </c>
      <c r="AI1380">
        <v>2.3312300000000001E-2</v>
      </c>
      <c r="AJ1380">
        <f t="shared" si="61"/>
        <v>2.3312300000000001E-2</v>
      </c>
      <c r="AO1380">
        <v>2.3312300000000001E-2</v>
      </c>
      <c r="AR1380" s="8">
        <v>0</v>
      </c>
      <c r="AS1380">
        <v>2.5092729999999999</v>
      </c>
    </row>
    <row r="1381" spans="1:45" x14ac:dyDescent="0.25">
      <c r="A1381">
        <v>265</v>
      </c>
      <c r="B1381">
        <v>1998</v>
      </c>
      <c r="C1381" s="8">
        <v>0</v>
      </c>
      <c r="D1381">
        <v>0.14013049999999999</v>
      </c>
      <c r="E1381">
        <v>0.43521890000000002</v>
      </c>
      <c r="F1381">
        <v>7.7569299999999994E-2</v>
      </c>
      <c r="G1381">
        <v>2.603545</v>
      </c>
      <c r="H1381">
        <v>0.36689240000000001</v>
      </c>
      <c r="Q1381" s="10">
        <f t="shared" si="62"/>
        <v>4.7093037856017533E-4</v>
      </c>
      <c r="AI1381">
        <v>0.1187926</v>
      </c>
      <c r="AJ1381">
        <f t="shared" si="61"/>
        <v>0.1187926</v>
      </c>
      <c r="AO1381">
        <v>0.1187926</v>
      </c>
      <c r="AR1381" s="8">
        <v>0</v>
      </c>
      <c r="AS1381">
        <v>3.2107329999999998</v>
      </c>
    </row>
    <row r="1382" spans="1:45" x14ac:dyDescent="0.25">
      <c r="A1382">
        <v>265</v>
      </c>
      <c r="B1382">
        <v>1999</v>
      </c>
      <c r="C1382" s="8">
        <v>0</v>
      </c>
      <c r="D1382">
        <v>2.3312300000000001E-2</v>
      </c>
      <c r="E1382">
        <v>0.4156627</v>
      </c>
      <c r="F1382">
        <v>8.4030499999999994E-2</v>
      </c>
      <c r="G1382">
        <v>1.450105</v>
      </c>
      <c r="H1382">
        <v>0.3972002</v>
      </c>
      <c r="Q1382" s="10">
        <f t="shared" si="62"/>
        <v>2.8006790927542526E-3</v>
      </c>
      <c r="AI1382">
        <v>0.21991450000000001</v>
      </c>
      <c r="AJ1382">
        <f t="shared" si="61"/>
        <v>0.21991450000000001</v>
      </c>
      <c r="AO1382">
        <v>0.21991450000000001</v>
      </c>
      <c r="AR1382" s="8">
        <v>0</v>
      </c>
      <c r="AS1382">
        <v>3.9881769999999999</v>
      </c>
    </row>
    <row r="1383" spans="1:45" x14ac:dyDescent="0.25">
      <c r="A1383">
        <v>265</v>
      </c>
      <c r="B1383">
        <v>2000</v>
      </c>
      <c r="C1383" s="8">
        <v>0</v>
      </c>
      <c r="D1383">
        <v>0.1187926</v>
      </c>
      <c r="E1383">
        <v>0.4288225</v>
      </c>
      <c r="F1383">
        <v>2.4740700000000001E-2</v>
      </c>
      <c r="G1383">
        <v>0.76126349999999998</v>
      </c>
      <c r="H1383">
        <v>0.33841500000000002</v>
      </c>
      <c r="Q1383" s="10">
        <f t="shared" si="62"/>
        <v>1.3137099890905064E-2</v>
      </c>
      <c r="AI1383">
        <v>0.18866640000000001</v>
      </c>
      <c r="AJ1383">
        <f t="shared" si="61"/>
        <v>0.18866640000000001</v>
      </c>
      <c r="AO1383">
        <v>0.18866640000000001</v>
      </c>
      <c r="AR1383" s="8">
        <v>0</v>
      </c>
      <c r="AS1383">
        <v>2.603545</v>
      </c>
    </row>
    <row r="1384" spans="1:45" x14ac:dyDescent="0.25">
      <c r="A1384">
        <v>265</v>
      </c>
      <c r="B1384">
        <v>2001</v>
      </c>
      <c r="C1384" s="8">
        <v>0</v>
      </c>
      <c r="D1384">
        <v>0.21991450000000001</v>
      </c>
      <c r="E1384">
        <v>0.49546269999999998</v>
      </c>
      <c r="F1384">
        <v>6.7125400000000002E-2</v>
      </c>
      <c r="G1384">
        <v>1.412852</v>
      </c>
      <c r="H1384">
        <v>0.32891379999999998</v>
      </c>
      <c r="Q1384" s="10">
        <f t="shared" si="62"/>
        <v>3.1494399056674382E-3</v>
      </c>
      <c r="AI1384">
        <v>0.1976426</v>
      </c>
      <c r="AJ1384">
        <f t="shared" si="61"/>
        <v>0.1976426</v>
      </c>
      <c r="AO1384">
        <v>0.1976426</v>
      </c>
      <c r="AR1384" s="8">
        <v>0</v>
      </c>
      <c r="AS1384">
        <v>1.450105</v>
      </c>
    </row>
    <row r="1385" spans="1:45" x14ac:dyDescent="0.25">
      <c r="A1385">
        <v>265</v>
      </c>
      <c r="B1385">
        <v>2002</v>
      </c>
      <c r="C1385" s="8">
        <v>0</v>
      </c>
      <c r="D1385">
        <v>0.18866640000000001</v>
      </c>
      <c r="E1385">
        <v>0.47094049999999998</v>
      </c>
      <c r="F1385">
        <v>6.9478700000000004E-2</v>
      </c>
      <c r="G1385">
        <v>1.0317419999999999</v>
      </c>
      <c r="H1385">
        <v>0.3549736</v>
      </c>
      <c r="Q1385" s="10">
        <f t="shared" si="62"/>
        <v>5.8817069954211704E-3</v>
      </c>
      <c r="AI1385">
        <v>0.22319259999999999</v>
      </c>
      <c r="AJ1385">
        <f t="shared" si="61"/>
        <v>0.22319259999999999</v>
      </c>
      <c r="AO1385">
        <v>0.22319259999999999</v>
      </c>
      <c r="AR1385" s="8">
        <v>0</v>
      </c>
      <c r="AS1385">
        <v>0.76126349999999998</v>
      </c>
    </row>
    <row r="1386" spans="1:45" x14ac:dyDescent="0.25">
      <c r="A1386">
        <v>265</v>
      </c>
      <c r="B1386">
        <v>2003</v>
      </c>
      <c r="C1386" s="8">
        <v>0</v>
      </c>
      <c r="D1386">
        <v>0.1976426</v>
      </c>
      <c r="E1386">
        <v>0.54471429999999998</v>
      </c>
      <c r="F1386">
        <v>7.6577199999999998E-2</v>
      </c>
      <c r="G1386">
        <v>2.140218</v>
      </c>
      <c r="H1386">
        <v>0.41008749999999999</v>
      </c>
      <c r="Q1386" s="10">
        <f t="shared" si="62"/>
        <v>8.9067030827380208E-4</v>
      </c>
      <c r="AI1386">
        <v>0.23434479999999999</v>
      </c>
      <c r="AJ1386">
        <f t="shared" si="61"/>
        <v>0.23434479999999999</v>
      </c>
      <c r="AO1386">
        <v>0.23434479999999999</v>
      </c>
      <c r="AR1386" s="8">
        <v>0</v>
      </c>
      <c r="AS1386">
        <v>1.412852</v>
      </c>
    </row>
    <row r="1387" spans="1:45" x14ac:dyDescent="0.25">
      <c r="A1387">
        <v>265</v>
      </c>
      <c r="B1387">
        <v>2004</v>
      </c>
      <c r="C1387" s="8">
        <v>0</v>
      </c>
      <c r="D1387">
        <v>0.22319259999999999</v>
      </c>
      <c r="E1387">
        <v>0.58076099999999997</v>
      </c>
      <c r="F1387">
        <v>6.7690200000000006E-2</v>
      </c>
      <c r="G1387">
        <v>2.1680090000000001</v>
      </c>
      <c r="H1387">
        <v>0.35477570000000003</v>
      </c>
      <c r="Q1387" s="10">
        <f t="shared" si="62"/>
        <v>8.4785912883581188E-4</v>
      </c>
      <c r="AI1387">
        <v>0.2263328</v>
      </c>
      <c r="AJ1387">
        <f t="shared" si="61"/>
        <v>0.2263328</v>
      </c>
      <c r="AO1387">
        <v>0.2263328</v>
      </c>
      <c r="AR1387" s="8">
        <v>0</v>
      </c>
      <c r="AS1387">
        <v>1.0317419999999999</v>
      </c>
    </row>
    <row r="1388" spans="1:45" x14ac:dyDescent="0.25">
      <c r="A1388">
        <v>266</v>
      </c>
      <c r="B1388">
        <v>1995</v>
      </c>
      <c r="C1388" s="8">
        <v>0</v>
      </c>
      <c r="D1388">
        <v>0.23434479999999999</v>
      </c>
      <c r="E1388">
        <v>0.1731615</v>
      </c>
      <c r="F1388">
        <v>1.6323799999999999E-2</v>
      </c>
      <c r="G1388">
        <v>0.3585991</v>
      </c>
      <c r="H1388">
        <v>0.48145700000000002</v>
      </c>
      <c r="Q1388" s="10">
        <f t="shared" si="62"/>
        <v>4.3032520717884153E-2</v>
      </c>
      <c r="AI1388">
        <v>0.13928789999999999</v>
      </c>
      <c r="AJ1388">
        <f t="shared" si="61"/>
        <v>0.13928789999999999</v>
      </c>
      <c r="AO1388">
        <v>0.13928789999999999</v>
      </c>
      <c r="AR1388" s="8">
        <v>0</v>
      </c>
      <c r="AS1388">
        <v>2.140218</v>
      </c>
    </row>
    <row r="1389" spans="1:45" x14ac:dyDescent="0.25">
      <c r="A1389">
        <v>266</v>
      </c>
      <c r="B1389">
        <v>1996</v>
      </c>
      <c r="C1389" s="8">
        <v>0</v>
      </c>
      <c r="D1389">
        <v>0.2263328</v>
      </c>
      <c r="E1389">
        <v>0.15268950000000001</v>
      </c>
      <c r="F1389">
        <v>9.2014000000000002E-3</v>
      </c>
      <c r="G1389">
        <v>0.14302960000000001</v>
      </c>
      <c r="H1389">
        <v>0.4381989</v>
      </c>
      <c r="Q1389" s="10">
        <f t="shared" si="62"/>
        <v>6.2874777087528727E-2</v>
      </c>
      <c r="AI1389">
        <v>0.12255539999999999</v>
      </c>
      <c r="AJ1389">
        <f t="shared" si="61"/>
        <v>0.12255539999999999</v>
      </c>
      <c r="AO1389">
        <v>0.12255539999999999</v>
      </c>
      <c r="AR1389" s="8">
        <v>0</v>
      </c>
      <c r="AS1389">
        <v>2.1680090000000001</v>
      </c>
    </row>
    <row r="1390" spans="1:45" x14ac:dyDescent="0.25">
      <c r="A1390">
        <v>267</v>
      </c>
      <c r="B1390">
        <v>1995</v>
      </c>
      <c r="C1390" s="8">
        <v>0</v>
      </c>
      <c r="D1390">
        <v>0.13928789999999999</v>
      </c>
      <c r="E1390">
        <v>-0.65829029999999999</v>
      </c>
      <c r="F1390">
        <v>3.08797E-2</v>
      </c>
      <c r="G1390">
        <v>3.5464769999999999</v>
      </c>
      <c r="H1390">
        <v>0.16962530000000001</v>
      </c>
      <c r="Q1390" s="10">
        <f t="shared" si="62"/>
        <v>6.6032223644824366E-4</v>
      </c>
      <c r="AI1390">
        <v>0.1433603</v>
      </c>
      <c r="AJ1390">
        <f t="shared" si="61"/>
        <v>0.1433603</v>
      </c>
      <c r="AO1390">
        <v>0.1433603</v>
      </c>
      <c r="AR1390" s="8">
        <v>0</v>
      </c>
      <c r="AS1390">
        <v>0.3585991</v>
      </c>
    </row>
    <row r="1391" spans="1:45" x14ac:dyDescent="0.25">
      <c r="A1391">
        <v>267</v>
      </c>
      <c r="B1391">
        <v>1996</v>
      </c>
      <c r="C1391" s="8">
        <v>0</v>
      </c>
      <c r="D1391">
        <v>0.12255539999999999</v>
      </c>
      <c r="E1391">
        <v>-0.78042270000000002</v>
      </c>
      <c r="F1391">
        <v>2.22522E-2</v>
      </c>
      <c r="G1391">
        <v>2.3702830000000001</v>
      </c>
      <c r="H1391">
        <v>0.17435049999999999</v>
      </c>
      <c r="Q1391" s="10">
        <f t="shared" si="62"/>
        <v>5.4582343007922524E-3</v>
      </c>
      <c r="AI1391">
        <v>0.15429989999999999</v>
      </c>
      <c r="AJ1391">
        <f t="shared" si="61"/>
        <v>0.15429989999999999</v>
      </c>
      <c r="AO1391">
        <v>0.15429989999999999</v>
      </c>
      <c r="AR1391" s="8">
        <v>0</v>
      </c>
      <c r="AS1391">
        <v>0.14302960000000001</v>
      </c>
    </row>
    <row r="1392" spans="1:45" x14ac:dyDescent="0.25">
      <c r="A1392">
        <v>267</v>
      </c>
      <c r="B1392">
        <v>1997</v>
      </c>
      <c r="C1392" s="8">
        <v>0</v>
      </c>
      <c r="D1392">
        <v>0.1433603</v>
      </c>
      <c r="E1392">
        <v>-0.86903699999999995</v>
      </c>
      <c r="F1392">
        <v>2.1079899999999999E-2</v>
      </c>
      <c r="G1392">
        <v>3.0251640000000002</v>
      </c>
      <c r="H1392">
        <v>0.1736955</v>
      </c>
      <c r="Q1392" s="10">
        <f t="shared" si="62"/>
        <v>2.2326487265115014E-3</v>
      </c>
      <c r="AI1392">
        <v>0.14999390000000001</v>
      </c>
      <c r="AJ1392">
        <f t="shared" si="61"/>
        <v>0.14999390000000001</v>
      </c>
      <c r="AO1392">
        <v>0.14999390000000001</v>
      </c>
      <c r="AR1392" s="8">
        <v>0</v>
      </c>
      <c r="AS1392">
        <v>3.5464769999999999</v>
      </c>
    </row>
    <row r="1393" spans="1:45" x14ac:dyDescent="0.25">
      <c r="A1393">
        <v>267</v>
      </c>
      <c r="B1393">
        <v>1998</v>
      </c>
      <c r="C1393" s="8">
        <v>0</v>
      </c>
      <c r="D1393">
        <v>0.15429989999999999</v>
      </c>
      <c r="E1393">
        <v>-0.90004189999999995</v>
      </c>
      <c r="F1393">
        <v>1.7999999999999999E-2</v>
      </c>
      <c r="G1393">
        <v>2.0298020000000001</v>
      </c>
      <c r="H1393">
        <v>0.16884460000000001</v>
      </c>
      <c r="Q1393" s="10">
        <f t="shared" si="62"/>
        <v>1.1602283930297504E-2</v>
      </c>
      <c r="AI1393">
        <v>-5.2328800000000002E-2</v>
      </c>
      <c r="AJ1393">
        <f t="shared" si="61"/>
        <v>-5.2328800000000002E-2</v>
      </c>
      <c r="AO1393">
        <v>-5.2328800000000002E-2</v>
      </c>
      <c r="AR1393" s="8">
        <v>0</v>
      </c>
      <c r="AS1393">
        <v>2.3702830000000001</v>
      </c>
    </row>
    <row r="1394" spans="1:45" x14ac:dyDescent="0.25">
      <c r="A1394">
        <v>267</v>
      </c>
      <c r="B1394">
        <v>1999</v>
      </c>
      <c r="C1394" s="8">
        <v>0</v>
      </c>
      <c r="D1394">
        <v>0.14999390000000001</v>
      </c>
      <c r="E1394">
        <v>-1.041169</v>
      </c>
      <c r="F1394">
        <v>1.9992E-3</v>
      </c>
      <c r="G1394">
        <v>0.80828420000000001</v>
      </c>
      <c r="H1394">
        <v>0.15964329999999999</v>
      </c>
      <c r="Q1394" s="10">
        <f t="shared" si="62"/>
        <v>0.10224061781060048</v>
      </c>
      <c r="AI1394">
        <v>2.5602099999999999E-2</v>
      </c>
      <c r="AJ1394">
        <f t="shared" si="61"/>
        <v>2.5602099999999999E-2</v>
      </c>
      <c r="AO1394">
        <v>2.5602099999999999E-2</v>
      </c>
      <c r="AR1394" s="8">
        <v>0</v>
      </c>
      <c r="AS1394">
        <v>3.0251640000000002</v>
      </c>
    </row>
    <row r="1395" spans="1:45" x14ac:dyDescent="0.25">
      <c r="A1395">
        <v>267</v>
      </c>
      <c r="B1395">
        <v>2000</v>
      </c>
      <c r="C1395" s="8">
        <v>0</v>
      </c>
      <c r="D1395">
        <v>-5.2328800000000002E-2</v>
      </c>
      <c r="E1395">
        <v>-1.875254</v>
      </c>
      <c r="F1395">
        <v>-0.254492</v>
      </c>
      <c r="G1395">
        <v>0.2491708</v>
      </c>
      <c r="H1395">
        <v>0.1375093</v>
      </c>
      <c r="Q1395" s="10">
        <f t="shared" si="62"/>
        <v>0.86822257436787287</v>
      </c>
      <c r="AI1395">
        <v>0.112758</v>
      </c>
      <c r="AJ1395">
        <f t="shared" si="61"/>
        <v>0.112758</v>
      </c>
      <c r="AO1395">
        <v>0.112758</v>
      </c>
      <c r="AR1395" s="8">
        <v>0</v>
      </c>
      <c r="AS1395">
        <v>2.0298020000000001</v>
      </c>
    </row>
    <row r="1396" spans="1:45" x14ac:dyDescent="0.25">
      <c r="A1396">
        <v>267</v>
      </c>
      <c r="B1396">
        <v>2001</v>
      </c>
      <c r="C1396" s="8">
        <v>0</v>
      </c>
      <c r="D1396">
        <v>2.5602099999999999E-2</v>
      </c>
      <c r="E1396">
        <v>-2.3462160000000001</v>
      </c>
      <c r="F1396">
        <v>1.0134900000000001E-2</v>
      </c>
      <c r="G1396">
        <v>0.75204550000000003</v>
      </c>
      <c r="H1396">
        <v>0.1648143</v>
      </c>
      <c r="Q1396" s="10">
        <f t="shared" si="62"/>
        <v>0.42584922198778163</v>
      </c>
      <c r="AI1396">
        <v>0.48796060000000002</v>
      </c>
      <c r="AJ1396">
        <f t="shared" si="61"/>
        <v>0.48796060000000002</v>
      </c>
      <c r="AO1396">
        <v>0.48796060000000002</v>
      </c>
      <c r="AR1396" s="8">
        <v>0</v>
      </c>
      <c r="AS1396">
        <v>0.80828420000000001</v>
      </c>
    </row>
    <row r="1397" spans="1:45" x14ac:dyDescent="0.25">
      <c r="A1397">
        <v>267</v>
      </c>
      <c r="B1397">
        <v>2002</v>
      </c>
      <c r="C1397" s="8">
        <v>0</v>
      </c>
      <c r="D1397">
        <v>0.112758</v>
      </c>
      <c r="E1397">
        <v>-2.18573</v>
      </c>
      <c r="F1397">
        <v>3.7360499999999998E-2</v>
      </c>
      <c r="G1397">
        <v>4.9652969999999996</v>
      </c>
      <c r="H1397">
        <v>0.19108330000000001</v>
      </c>
      <c r="Q1397" s="10">
        <f t="shared" si="62"/>
        <v>6.0374620782382721E-4</v>
      </c>
      <c r="AI1397">
        <v>0.35557329999999998</v>
      </c>
      <c r="AJ1397">
        <f t="shared" si="61"/>
        <v>0.35557329999999998</v>
      </c>
      <c r="AO1397">
        <v>0.35557329999999998</v>
      </c>
      <c r="AR1397" s="8">
        <v>0</v>
      </c>
      <c r="AS1397">
        <v>0.2491708</v>
      </c>
    </row>
    <row r="1398" spans="1:45" x14ac:dyDescent="0.25">
      <c r="A1398">
        <v>267</v>
      </c>
      <c r="B1398">
        <v>2003</v>
      </c>
      <c r="C1398" s="8">
        <v>0</v>
      </c>
      <c r="D1398">
        <v>0.48796060000000002</v>
      </c>
      <c r="E1398">
        <v>-1.2705299999999999</v>
      </c>
      <c r="F1398">
        <v>3.7902999999999999E-2</v>
      </c>
      <c r="G1398">
        <v>8.6156849999999991</v>
      </c>
      <c r="H1398">
        <v>0.12445290000000001</v>
      </c>
      <c r="Q1398" s="10">
        <f t="shared" si="62"/>
        <v>5.3028030076820895E-7</v>
      </c>
      <c r="AI1398">
        <v>0.53479569999999998</v>
      </c>
      <c r="AJ1398">
        <f t="shared" si="61"/>
        <v>0.52051970800000003</v>
      </c>
      <c r="AO1398">
        <v>0.52051970800000003</v>
      </c>
      <c r="AR1398" s="8">
        <v>0</v>
      </c>
      <c r="AS1398">
        <v>0.75204550000000003</v>
      </c>
    </row>
    <row r="1399" spans="1:45" x14ac:dyDescent="0.25">
      <c r="A1399">
        <v>267</v>
      </c>
      <c r="B1399">
        <v>2004</v>
      </c>
      <c r="C1399" s="8">
        <v>0</v>
      </c>
      <c r="D1399">
        <v>0.35557329999999998</v>
      </c>
      <c r="E1399">
        <v>-1.2758879999999999</v>
      </c>
      <c r="F1399">
        <v>3.4634199999999997E-2</v>
      </c>
      <c r="G1399">
        <v>6.2715129999999997</v>
      </c>
      <c r="H1399">
        <v>0.1251015</v>
      </c>
      <c r="Q1399" s="10">
        <f t="shared" si="62"/>
        <v>2.1775109243298229E-5</v>
      </c>
      <c r="AI1399">
        <v>0.33789960000000002</v>
      </c>
      <c r="AJ1399">
        <f t="shared" si="61"/>
        <v>0.33789960000000002</v>
      </c>
      <c r="AO1399">
        <v>0.33789960000000002</v>
      </c>
      <c r="AR1399" s="8">
        <v>0</v>
      </c>
      <c r="AS1399">
        <v>4.9652969999999996</v>
      </c>
    </row>
    <row r="1400" spans="1:45" x14ac:dyDescent="0.25">
      <c r="A1400">
        <v>268</v>
      </c>
      <c r="B1400">
        <v>1997</v>
      </c>
      <c r="C1400" s="8">
        <v>0</v>
      </c>
      <c r="D1400">
        <v>0.53479569999999998</v>
      </c>
      <c r="E1400">
        <v>0.29395979999999999</v>
      </c>
      <c r="F1400">
        <v>6.6770999999999997E-2</v>
      </c>
      <c r="G1400">
        <v>6.8570190000000002</v>
      </c>
      <c r="H1400">
        <v>0.24216389999999999</v>
      </c>
      <c r="Q1400" s="10">
        <f t="shared" si="62"/>
        <v>7.8261764133576859E-7</v>
      </c>
      <c r="AI1400">
        <v>0.26685490000000001</v>
      </c>
      <c r="AJ1400">
        <f t="shared" si="61"/>
        <v>0.26685490000000001</v>
      </c>
      <c r="AO1400">
        <v>0.26685490000000001</v>
      </c>
      <c r="AR1400" s="8">
        <v>0</v>
      </c>
      <c r="AS1400">
        <v>8.6156849999999991</v>
      </c>
    </row>
    <row r="1401" spans="1:45" x14ac:dyDescent="0.25">
      <c r="A1401">
        <v>268</v>
      </c>
      <c r="B1401">
        <v>1998</v>
      </c>
      <c r="C1401" s="8">
        <v>0</v>
      </c>
      <c r="D1401">
        <v>0.33789960000000002</v>
      </c>
      <c r="E1401">
        <v>0.27852510000000003</v>
      </c>
      <c r="F1401">
        <v>6.9689899999999999E-2</v>
      </c>
      <c r="G1401">
        <v>4.4592280000000004</v>
      </c>
      <c r="H1401">
        <v>0.24576980000000001</v>
      </c>
      <c r="Q1401" s="10">
        <f t="shared" si="62"/>
        <v>3.2973315733889714E-5</v>
      </c>
      <c r="AI1401">
        <v>0.23154659999999999</v>
      </c>
      <c r="AJ1401">
        <f t="shared" si="61"/>
        <v>0.23154659999999999</v>
      </c>
      <c r="AO1401">
        <v>0.23154659999999999</v>
      </c>
      <c r="AR1401" s="8">
        <v>0</v>
      </c>
      <c r="AS1401">
        <v>6.2715129999999997</v>
      </c>
    </row>
    <row r="1402" spans="1:45" x14ac:dyDescent="0.25">
      <c r="A1402">
        <v>268</v>
      </c>
      <c r="B1402">
        <v>1999</v>
      </c>
      <c r="C1402" s="8">
        <v>0</v>
      </c>
      <c r="D1402">
        <v>0.26685490000000001</v>
      </c>
      <c r="E1402">
        <v>0.20284749999999999</v>
      </c>
      <c r="F1402">
        <v>7.2326000000000001E-2</v>
      </c>
      <c r="G1402">
        <v>1.9534590000000001</v>
      </c>
      <c r="H1402">
        <v>0.1951164</v>
      </c>
      <c r="Q1402" s="10">
        <f t="shared" si="62"/>
        <v>1.8357201928469069E-3</v>
      </c>
      <c r="AI1402">
        <v>0.24619460000000001</v>
      </c>
      <c r="AJ1402">
        <f t="shared" si="61"/>
        <v>0.24619460000000001</v>
      </c>
      <c r="AO1402">
        <v>0.24619460000000001</v>
      </c>
      <c r="AR1402" s="8">
        <v>0</v>
      </c>
      <c r="AS1402">
        <v>6.8570190000000002</v>
      </c>
    </row>
    <row r="1403" spans="1:45" x14ac:dyDescent="0.25">
      <c r="A1403">
        <v>268</v>
      </c>
      <c r="B1403">
        <v>2000</v>
      </c>
      <c r="C1403" s="8">
        <v>0</v>
      </c>
      <c r="D1403">
        <v>0.23154659999999999</v>
      </c>
      <c r="E1403">
        <v>0.24036099999999999</v>
      </c>
      <c r="F1403">
        <v>4.1126500000000003E-2</v>
      </c>
      <c r="G1403">
        <v>1.7508269999999999</v>
      </c>
      <c r="H1403">
        <v>0.20236119999999999</v>
      </c>
      <c r="Q1403" s="10">
        <f t="shared" si="62"/>
        <v>3.0465679826614622E-3</v>
      </c>
      <c r="AI1403">
        <v>0.24687819999999999</v>
      </c>
      <c r="AJ1403">
        <f t="shared" si="61"/>
        <v>0.24687819999999999</v>
      </c>
      <c r="AO1403">
        <v>0.24687819999999999</v>
      </c>
      <c r="AR1403" s="8">
        <v>0</v>
      </c>
      <c r="AS1403">
        <v>4.4592280000000004</v>
      </c>
    </row>
    <row r="1404" spans="1:45" x14ac:dyDescent="0.25">
      <c r="A1404">
        <v>268</v>
      </c>
      <c r="B1404">
        <v>2001</v>
      </c>
      <c r="C1404" s="8">
        <v>0</v>
      </c>
      <c r="D1404">
        <v>0.24619460000000001</v>
      </c>
      <c r="E1404">
        <v>0.1578445</v>
      </c>
      <c r="F1404">
        <v>5.3611800000000001E-2</v>
      </c>
      <c r="G1404">
        <v>2.0414439999999998</v>
      </c>
      <c r="H1404">
        <v>0.16511690000000001</v>
      </c>
      <c r="Q1404" s="10">
        <f t="shared" si="62"/>
        <v>1.9253603702551053E-3</v>
      </c>
      <c r="AI1404">
        <v>7.3587799999999995E-2</v>
      </c>
      <c r="AJ1404">
        <f t="shared" si="61"/>
        <v>7.3587799999999995E-2</v>
      </c>
      <c r="AO1404">
        <v>7.3587799999999995E-2</v>
      </c>
      <c r="AR1404" s="8">
        <v>0</v>
      </c>
      <c r="AS1404">
        <v>1.9534590000000001</v>
      </c>
    </row>
    <row r="1405" spans="1:45" x14ac:dyDescent="0.25">
      <c r="A1405">
        <v>268</v>
      </c>
      <c r="B1405">
        <v>2002</v>
      </c>
      <c r="C1405" s="8">
        <v>0</v>
      </c>
      <c r="D1405">
        <v>0.24687819999999999</v>
      </c>
      <c r="E1405">
        <v>0.2065131</v>
      </c>
      <c r="F1405">
        <v>5.52097E-2</v>
      </c>
      <c r="G1405">
        <v>1.407076</v>
      </c>
      <c r="H1405">
        <v>0.1689157</v>
      </c>
      <c r="Q1405" s="10">
        <f t="shared" si="62"/>
        <v>4.8655450835177871E-3</v>
      </c>
      <c r="AI1405">
        <v>6.1244100000000003E-2</v>
      </c>
      <c r="AJ1405">
        <f t="shared" si="61"/>
        <v>6.1244100000000003E-2</v>
      </c>
      <c r="AO1405">
        <v>6.1244100000000003E-2</v>
      </c>
      <c r="AR1405" s="8">
        <v>0</v>
      </c>
      <c r="AS1405">
        <v>1.7508269999999999</v>
      </c>
    </row>
    <row r="1406" spans="1:45" x14ac:dyDescent="0.25">
      <c r="A1406">
        <v>269</v>
      </c>
      <c r="B1406">
        <v>1995</v>
      </c>
      <c r="C1406" s="8">
        <v>0</v>
      </c>
      <c r="D1406">
        <v>7.3587799999999995E-2</v>
      </c>
      <c r="E1406">
        <v>0.48237459999999999</v>
      </c>
      <c r="F1406">
        <v>7.37593E-2</v>
      </c>
      <c r="G1406">
        <v>2.1393110000000002</v>
      </c>
      <c r="H1406">
        <v>0.33655230000000003</v>
      </c>
      <c r="Q1406" s="10">
        <f t="shared" si="62"/>
        <v>9.0651607032517624E-4</v>
      </c>
      <c r="AI1406">
        <v>9.4918699999999995E-2</v>
      </c>
      <c r="AJ1406">
        <f t="shared" si="61"/>
        <v>9.4918699999999995E-2</v>
      </c>
      <c r="AO1406">
        <v>9.4918699999999995E-2</v>
      </c>
      <c r="AR1406" s="8">
        <v>0</v>
      </c>
      <c r="AS1406">
        <v>2.0414439999999998</v>
      </c>
    </row>
    <row r="1407" spans="1:45" x14ac:dyDescent="0.25">
      <c r="A1407">
        <v>269</v>
      </c>
      <c r="B1407">
        <v>1996</v>
      </c>
      <c r="C1407" s="8">
        <v>0</v>
      </c>
      <c r="D1407">
        <v>6.1244100000000003E-2</v>
      </c>
      <c r="E1407">
        <v>0.49017179999999999</v>
      </c>
      <c r="F1407">
        <v>5.4827800000000003E-2</v>
      </c>
      <c r="G1407">
        <v>2.5790959999999998</v>
      </c>
      <c r="H1407">
        <v>0.31583410000000001</v>
      </c>
      <c r="Q1407" s="10">
        <f t="shared" si="62"/>
        <v>5.0842136116511323E-4</v>
      </c>
      <c r="AI1407">
        <v>4.6629499999999997E-2</v>
      </c>
      <c r="AJ1407">
        <f t="shared" si="61"/>
        <v>4.6629499999999997E-2</v>
      </c>
      <c r="AO1407">
        <v>4.6629499999999997E-2</v>
      </c>
      <c r="AR1407" s="8">
        <v>0</v>
      </c>
      <c r="AS1407">
        <v>1.407076</v>
      </c>
    </row>
    <row r="1408" spans="1:45" x14ac:dyDescent="0.25">
      <c r="A1408">
        <v>269</v>
      </c>
      <c r="B1408">
        <v>1997</v>
      </c>
      <c r="C1408" s="8">
        <v>0</v>
      </c>
      <c r="D1408">
        <v>9.4918699999999995E-2</v>
      </c>
      <c r="E1408">
        <v>0.54116129999999996</v>
      </c>
      <c r="F1408">
        <v>9.4923800000000003E-2</v>
      </c>
      <c r="G1408">
        <v>3.4664220000000001</v>
      </c>
      <c r="H1408">
        <v>0.3444506</v>
      </c>
      <c r="Q1408" s="10">
        <f t="shared" si="62"/>
        <v>8.601435765950647E-5</v>
      </c>
      <c r="AI1408">
        <v>0.13631699999999999</v>
      </c>
      <c r="AJ1408">
        <f t="shared" si="61"/>
        <v>0.13631699999999999</v>
      </c>
      <c r="AO1408">
        <v>0.13631699999999999</v>
      </c>
      <c r="AR1408" s="8">
        <v>0</v>
      </c>
      <c r="AS1408">
        <v>2.1393110000000002</v>
      </c>
    </row>
    <row r="1409" spans="1:45" x14ac:dyDescent="0.25">
      <c r="A1409">
        <v>269</v>
      </c>
      <c r="B1409">
        <v>1998</v>
      </c>
      <c r="C1409" s="8">
        <v>0</v>
      </c>
      <c r="D1409">
        <v>4.6629499999999997E-2</v>
      </c>
      <c r="E1409">
        <v>0.50812330000000006</v>
      </c>
      <c r="F1409">
        <v>8.9618100000000006E-2</v>
      </c>
      <c r="G1409">
        <v>2.7248540000000001</v>
      </c>
      <c r="H1409">
        <v>0.34442810000000001</v>
      </c>
      <c r="Q1409" s="10">
        <f t="shared" si="62"/>
        <v>3.0081988475045331E-4</v>
      </c>
      <c r="AI1409">
        <v>-3.8286000000000001E-2</v>
      </c>
      <c r="AJ1409">
        <f t="shared" si="61"/>
        <v>-3.8286000000000001E-2</v>
      </c>
      <c r="AO1409">
        <v>-3.8286000000000001E-2</v>
      </c>
      <c r="AR1409" s="8">
        <v>0</v>
      </c>
      <c r="AS1409">
        <v>2.5790959999999998</v>
      </c>
    </row>
    <row r="1410" spans="1:45" x14ac:dyDescent="0.25">
      <c r="A1410">
        <v>269</v>
      </c>
      <c r="B1410">
        <v>1999</v>
      </c>
      <c r="C1410" s="8">
        <v>0</v>
      </c>
      <c r="D1410">
        <v>0.13631699999999999</v>
      </c>
      <c r="E1410">
        <v>0.49012790000000001</v>
      </c>
      <c r="F1410">
        <v>0.10697909999999999</v>
      </c>
      <c r="G1410">
        <v>1.6974320000000001</v>
      </c>
      <c r="H1410">
        <v>0.32052819999999999</v>
      </c>
      <c r="Q1410" s="10">
        <f t="shared" si="62"/>
        <v>1.4114073762049111E-3</v>
      </c>
      <c r="AI1410">
        <v>0.11202719999999999</v>
      </c>
      <c r="AJ1410">
        <f t="shared" si="61"/>
        <v>0.11202719999999999</v>
      </c>
      <c r="AO1410">
        <v>0.11202719999999999</v>
      </c>
      <c r="AR1410" s="8">
        <v>0</v>
      </c>
      <c r="AS1410">
        <v>3.4664220000000001</v>
      </c>
    </row>
    <row r="1411" spans="1:45" x14ac:dyDescent="0.25">
      <c r="A1411">
        <v>269</v>
      </c>
      <c r="B1411">
        <v>2000</v>
      </c>
      <c r="C1411" s="8">
        <v>0</v>
      </c>
      <c r="D1411">
        <v>-3.8286000000000001E-2</v>
      </c>
      <c r="E1411">
        <v>0.4772904</v>
      </c>
      <c r="F1411">
        <v>1.5888900000000001E-2</v>
      </c>
      <c r="G1411">
        <v>1.810279</v>
      </c>
      <c r="H1411">
        <v>0.32164680000000001</v>
      </c>
      <c r="Q1411" s="10">
        <f t="shared" si="62"/>
        <v>2.3151864832220955E-3</v>
      </c>
      <c r="AI1411">
        <v>0.18731039999999999</v>
      </c>
      <c r="AJ1411">
        <f t="shared" si="61"/>
        <v>0.18731039999999999</v>
      </c>
      <c r="AO1411">
        <v>0.18731039999999999</v>
      </c>
      <c r="AR1411" s="8">
        <v>0</v>
      </c>
      <c r="AS1411">
        <v>2.7248540000000001</v>
      </c>
    </row>
    <row r="1412" spans="1:45" x14ac:dyDescent="0.25">
      <c r="A1412">
        <v>269</v>
      </c>
      <c r="B1412">
        <v>2001</v>
      </c>
      <c r="C1412" s="8">
        <v>0</v>
      </c>
      <c r="D1412">
        <v>0.11202719999999999</v>
      </c>
      <c r="E1412">
        <v>0.42716520000000002</v>
      </c>
      <c r="F1412">
        <v>6.8504200000000001E-2</v>
      </c>
      <c r="G1412">
        <v>1.7523979999999999</v>
      </c>
      <c r="H1412">
        <v>0.2334919</v>
      </c>
      <c r="Q1412" s="10">
        <f t="shared" si="62"/>
        <v>1.8074292179436839E-3</v>
      </c>
      <c r="AI1412">
        <v>0.1035959</v>
      </c>
      <c r="AJ1412">
        <f t="shared" si="61"/>
        <v>0.1035959</v>
      </c>
      <c r="AO1412">
        <v>0.1035959</v>
      </c>
      <c r="AR1412" s="8">
        <v>0</v>
      </c>
      <c r="AS1412">
        <v>1.6974320000000001</v>
      </c>
    </row>
    <row r="1413" spans="1:45" x14ac:dyDescent="0.25">
      <c r="A1413">
        <v>269</v>
      </c>
      <c r="B1413">
        <v>2002</v>
      </c>
      <c r="C1413" s="8">
        <v>0</v>
      </c>
      <c r="D1413">
        <v>0.18731039999999999</v>
      </c>
      <c r="E1413">
        <v>0.41829539999999998</v>
      </c>
      <c r="F1413">
        <v>6.7271600000000001E-2</v>
      </c>
      <c r="G1413">
        <v>1.351769</v>
      </c>
      <c r="H1413">
        <v>0.26299879999999998</v>
      </c>
      <c r="Q1413" s="10">
        <f t="shared" si="62"/>
        <v>3.6719226877321128E-3</v>
      </c>
      <c r="AI1413">
        <v>6.98492E-2</v>
      </c>
      <c r="AJ1413">
        <f t="shared" ref="AJ1413:AJ1476" si="63">MAX(MIN(AI1413,AM$5),AM$4)</f>
        <v>6.98492E-2</v>
      </c>
      <c r="AO1413">
        <v>6.98492E-2</v>
      </c>
      <c r="AR1413" s="8">
        <v>0</v>
      </c>
      <c r="AS1413">
        <v>1.810279</v>
      </c>
    </row>
    <row r="1414" spans="1:45" x14ac:dyDescent="0.25">
      <c r="A1414">
        <v>270</v>
      </c>
      <c r="B1414">
        <v>1995</v>
      </c>
      <c r="C1414" s="8">
        <v>0</v>
      </c>
      <c r="D1414">
        <v>0.1035959</v>
      </c>
      <c r="E1414">
        <v>0.75381229999999999</v>
      </c>
      <c r="F1414">
        <v>3.4118599999999999E-2</v>
      </c>
      <c r="G1414">
        <v>4.3691180000000003</v>
      </c>
      <c r="H1414">
        <v>0.25855529999999999</v>
      </c>
      <c r="Q1414" s="10">
        <f t="shared" si="62"/>
        <v>2.3187100025505189E-5</v>
      </c>
      <c r="AI1414">
        <v>-2.5435300000000001E-2</v>
      </c>
      <c r="AJ1414">
        <f t="shared" si="63"/>
        <v>-2.5435300000000001E-2</v>
      </c>
      <c r="AO1414">
        <v>-2.5435300000000001E-2</v>
      </c>
      <c r="AR1414" s="8">
        <v>0</v>
      </c>
      <c r="AS1414">
        <v>1.7523979999999999</v>
      </c>
    </row>
    <row r="1415" spans="1:45" x14ac:dyDescent="0.25">
      <c r="A1415">
        <v>270</v>
      </c>
      <c r="B1415">
        <v>1996</v>
      </c>
      <c r="C1415" s="8">
        <v>0</v>
      </c>
      <c r="D1415">
        <v>6.98492E-2</v>
      </c>
      <c r="E1415">
        <v>0.85884709999999997</v>
      </c>
      <c r="F1415">
        <v>6.9964999999999999E-2</v>
      </c>
      <c r="G1415">
        <v>2.9603419999999998</v>
      </c>
      <c r="H1415">
        <v>0.2435795</v>
      </c>
      <c r="Q1415" s="10">
        <f t="shared" ref="Q1415:Q1478" si="64">1/(1+EXP(-(J$6+SUMPRODUCT(K$6:O$6,D1415:H1415))))</f>
        <v>1.377958506285447E-4</v>
      </c>
      <c r="AI1415">
        <v>2.8789599999999999E-2</v>
      </c>
      <c r="AJ1415">
        <f t="shared" si="63"/>
        <v>2.8789599999999999E-2</v>
      </c>
      <c r="AO1415">
        <v>2.8789599999999999E-2</v>
      </c>
      <c r="AR1415" s="8">
        <v>0</v>
      </c>
      <c r="AS1415">
        <v>1.351769</v>
      </c>
    </row>
    <row r="1416" spans="1:45" x14ac:dyDescent="0.25">
      <c r="A1416">
        <v>270</v>
      </c>
      <c r="B1416">
        <v>1997</v>
      </c>
      <c r="C1416" s="8">
        <v>0</v>
      </c>
      <c r="D1416">
        <v>-2.5435300000000001E-2</v>
      </c>
      <c r="E1416">
        <v>0.9196569</v>
      </c>
      <c r="F1416">
        <v>5.33883E-2</v>
      </c>
      <c r="G1416">
        <v>2.8152210000000002</v>
      </c>
      <c r="H1416">
        <v>0.2042011</v>
      </c>
      <c r="Q1416" s="10">
        <f t="shared" si="64"/>
        <v>1.7025462757521234E-4</v>
      </c>
      <c r="AI1416">
        <v>-1.0466400000000001E-2</v>
      </c>
      <c r="AJ1416">
        <f t="shared" si="63"/>
        <v>-1.0466400000000001E-2</v>
      </c>
      <c r="AO1416">
        <v>-1.0466400000000001E-2</v>
      </c>
      <c r="AR1416" s="8">
        <v>0</v>
      </c>
      <c r="AS1416">
        <v>4.3691180000000003</v>
      </c>
    </row>
    <row r="1417" spans="1:45" x14ac:dyDescent="0.25">
      <c r="A1417">
        <v>270</v>
      </c>
      <c r="B1417">
        <v>1998</v>
      </c>
      <c r="C1417" s="8">
        <v>0</v>
      </c>
      <c r="D1417">
        <v>2.8789599999999999E-2</v>
      </c>
      <c r="E1417">
        <v>0.37896170000000001</v>
      </c>
      <c r="F1417">
        <v>5.4738099999999998E-2</v>
      </c>
      <c r="G1417">
        <v>0.55576519999999996</v>
      </c>
      <c r="H1417">
        <v>0.16461519999999999</v>
      </c>
      <c r="Q1417" s="10">
        <f t="shared" si="64"/>
        <v>1.3333316748628664E-2</v>
      </c>
      <c r="AI1417">
        <v>5.5473300000000003E-2</v>
      </c>
      <c r="AJ1417">
        <f t="shared" si="63"/>
        <v>5.5473300000000003E-2</v>
      </c>
      <c r="AO1417">
        <v>5.5473300000000003E-2</v>
      </c>
      <c r="AR1417" s="8">
        <v>0</v>
      </c>
      <c r="AS1417">
        <v>2.9603419999999998</v>
      </c>
    </row>
    <row r="1418" spans="1:45" x14ac:dyDescent="0.25">
      <c r="A1418">
        <v>270</v>
      </c>
      <c r="B1418">
        <v>1999</v>
      </c>
      <c r="C1418" s="8">
        <v>0</v>
      </c>
      <c r="D1418">
        <v>-1.0466400000000001E-2</v>
      </c>
      <c r="E1418">
        <v>0.37953629999999999</v>
      </c>
      <c r="F1418">
        <v>5.6740899999999997E-2</v>
      </c>
      <c r="G1418">
        <v>0.62681589999999998</v>
      </c>
      <c r="H1418">
        <v>0.172289</v>
      </c>
      <c r="Q1418" s="10">
        <f t="shared" si="64"/>
        <v>1.159337713547578E-2</v>
      </c>
      <c r="AI1418">
        <v>2.9948200000000001E-2</v>
      </c>
      <c r="AJ1418">
        <f t="shared" si="63"/>
        <v>2.9948200000000001E-2</v>
      </c>
      <c r="AO1418">
        <v>2.9948200000000001E-2</v>
      </c>
      <c r="AR1418" s="8">
        <v>0</v>
      </c>
      <c r="AS1418">
        <v>2.8152210000000002</v>
      </c>
    </row>
    <row r="1419" spans="1:45" x14ac:dyDescent="0.25">
      <c r="A1419">
        <v>270</v>
      </c>
      <c r="B1419">
        <v>2000</v>
      </c>
      <c r="C1419" s="8">
        <v>0</v>
      </c>
      <c r="D1419">
        <v>5.5473300000000003E-2</v>
      </c>
      <c r="E1419">
        <v>0.41246179999999999</v>
      </c>
      <c r="F1419">
        <v>4.9056799999999998E-2</v>
      </c>
      <c r="G1419">
        <v>0.4897261</v>
      </c>
      <c r="H1419">
        <v>0.17217689999999999</v>
      </c>
      <c r="Q1419" s="10">
        <f t="shared" si="64"/>
        <v>1.4974070449036937E-2</v>
      </c>
      <c r="AI1419">
        <v>0.1413094</v>
      </c>
      <c r="AJ1419">
        <f t="shared" si="63"/>
        <v>0.1413094</v>
      </c>
      <c r="AO1419">
        <v>0.1413094</v>
      </c>
      <c r="AR1419" s="8">
        <v>0</v>
      </c>
      <c r="AS1419">
        <v>0.55576519999999996</v>
      </c>
    </row>
    <row r="1420" spans="1:45" x14ac:dyDescent="0.25">
      <c r="A1420">
        <v>270</v>
      </c>
      <c r="B1420">
        <v>2001</v>
      </c>
      <c r="C1420" s="8">
        <v>0</v>
      </c>
      <c r="D1420">
        <v>2.9948200000000001E-2</v>
      </c>
      <c r="E1420">
        <v>0.40622599999999998</v>
      </c>
      <c r="F1420">
        <v>3.7238399999999998E-2</v>
      </c>
      <c r="G1420">
        <v>0.28221089999999999</v>
      </c>
      <c r="H1420">
        <v>0.11389779999999999</v>
      </c>
      <c r="Q1420" s="10">
        <f t="shared" si="64"/>
        <v>2.1908167998317067E-2</v>
      </c>
      <c r="AI1420">
        <v>0.1580278</v>
      </c>
      <c r="AJ1420">
        <f t="shared" si="63"/>
        <v>0.1580278</v>
      </c>
      <c r="AO1420">
        <v>0.1580278</v>
      </c>
      <c r="AR1420" s="8">
        <v>0</v>
      </c>
      <c r="AS1420">
        <v>0.62681589999999998</v>
      </c>
    </row>
    <row r="1421" spans="1:45" x14ac:dyDescent="0.25">
      <c r="A1421">
        <v>270</v>
      </c>
      <c r="B1421">
        <v>2002</v>
      </c>
      <c r="C1421" s="8">
        <v>0</v>
      </c>
      <c r="D1421">
        <v>0.1413094</v>
      </c>
      <c r="E1421">
        <v>0.4041671</v>
      </c>
      <c r="F1421">
        <v>5.7261300000000001E-2</v>
      </c>
      <c r="G1421">
        <v>0.3575141</v>
      </c>
      <c r="H1421">
        <v>0.18137639999999999</v>
      </c>
      <c r="Q1421" s="10">
        <f t="shared" si="64"/>
        <v>1.820024810282049E-2</v>
      </c>
      <c r="AI1421">
        <v>0.1346743</v>
      </c>
      <c r="AJ1421">
        <f t="shared" si="63"/>
        <v>0.1346743</v>
      </c>
      <c r="AO1421">
        <v>0.1346743</v>
      </c>
      <c r="AR1421" s="8">
        <v>0</v>
      </c>
      <c r="AS1421">
        <v>0.4897261</v>
      </c>
    </row>
    <row r="1422" spans="1:45" x14ac:dyDescent="0.25">
      <c r="A1422">
        <v>270</v>
      </c>
      <c r="B1422">
        <v>2003</v>
      </c>
      <c r="C1422" s="8">
        <v>0</v>
      </c>
      <c r="D1422">
        <v>0.1580278</v>
      </c>
      <c r="E1422">
        <v>0.46846179999999998</v>
      </c>
      <c r="F1422">
        <v>5.8611499999999997E-2</v>
      </c>
      <c r="G1422">
        <v>0.53517970000000004</v>
      </c>
      <c r="H1422">
        <v>0.19824839999999999</v>
      </c>
      <c r="Q1422" s="10">
        <f t="shared" si="64"/>
        <v>1.2642335201840221E-2</v>
      </c>
      <c r="AI1422">
        <v>4.8571099999999999E-2</v>
      </c>
      <c r="AJ1422">
        <f t="shared" si="63"/>
        <v>4.8571099999999999E-2</v>
      </c>
      <c r="AO1422">
        <v>4.8571099999999999E-2</v>
      </c>
      <c r="AR1422" s="8">
        <v>0</v>
      </c>
      <c r="AS1422">
        <v>0.28221089999999999</v>
      </c>
    </row>
    <row r="1423" spans="1:45" x14ac:dyDescent="0.25">
      <c r="A1423">
        <v>270</v>
      </c>
      <c r="B1423">
        <v>2004</v>
      </c>
      <c r="C1423" s="8">
        <v>0</v>
      </c>
      <c r="D1423">
        <v>0.1346743</v>
      </c>
      <c r="E1423">
        <v>0.481852</v>
      </c>
      <c r="F1423">
        <v>5.7518199999999998E-2</v>
      </c>
      <c r="G1423">
        <v>0.66684220000000005</v>
      </c>
      <c r="H1423">
        <v>0.21613289999999999</v>
      </c>
      <c r="Q1423" s="10">
        <f t="shared" si="64"/>
        <v>1.017981718228716E-2</v>
      </c>
      <c r="AI1423">
        <v>7.74648E-2</v>
      </c>
      <c r="AJ1423">
        <f t="shared" si="63"/>
        <v>7.74648E-2</v>
      </c>
      <c r="AO1423">
        <v>7.74648E-2</v>
      </c>
      <c r="AR1423" s="8">
        <v>0</v>
      </c>
      <c r="AS1423">
        <v>0.3575141</v>
      </c>
    </row>
    <row r="1424" spans="1:45" x14ac:dyDescent="0.25">
      <c r="A1424">
        <v>271</v>
      </c>
      <c r="B1424">
        <v>1995</v>
      </c>
      <c r="C1424" s="8">
        <v>0</v>
      </c>
      <c r="D1424">
        <v>4.8571099999999999E-2</v>
      </c>
      <c r="E1424">
        <v>0.62279609999999996</v>
      </c>
      <c r="F1424">
        <v>0.1070744</v>
      </c>
      <c r="G1424">
        <v>2.8998330000000001</v>
      </c>
      <c r="H1424">
        <v>0.43149530000000003</v>
      </c>
      <c r="Q1424" s="10">
        <f t="shared" si="64"/>
        <v>1.7700559753574386E-4</v>
      </c>
      <c r="AI1424">
        <v>9.7972699999999996E-2</v>
      </c>
      <c r="AJ1424">
        <f t="shared" si="63"/>
        <v>9.7972699999999996E-2</v>
      </c>
      <c r="AO1424">
        <v>9.7972699999999996E-2</v>
      </c>
      <c r="AR1424" s="8">
        <v>0</v>
      </c>
      <c r="AS1424">
        <v>0.53517970000000004</v>
      </c>
    </row>
    <row r="1425" spans="1:45" x14ac:dyDescent="0.25">
      <c r="A1425">
        <v>271</v>
      </c>
      <c r="B1425">
        <v>1996</v>
      </c>
      <c r="C1425" s="8">
        <v>0</v>
      </c>
      <c r="D1425">
        <v>7.74648E-2</v>
      </c>
      <c r="E1425">
        <v>0.57034700000000005</v>
      </c>
      <c r="F1425">
        <v>9.1863200000000006E-2</v>
      </c>
      <c r="G1425">
        <v>3.3393679999999999</v>
      </c>
      <c r="H1425">
        <v>0.4130434</v>
      </c>
      <c r="Q1425" s="10">
        <f t="shared" si="64"/>
        <v>1.0715608466622995E-4</v>
      </c>
      <c r="AI1425">
        <v>0.12902549999999999</v>
      </c>
      <c r="AJ1425">
        <f t="shared" si="63"/>
        <v>0.12902549999999999</v>
      </c>
      <c r="AO1425">
        <v>0.12902549999999999</v>
      </c>
      <c r="AR1425" s="8">
        <v>0</v>
      </c>
      <c r="AS1425">
        <v>0.66684220000000005</v>
      </c>
    </row>
    <row r="1426" spans="1:45" x14ac:dyDescent="0.25">
      <c r="A1426">
        <v>271</v>
      </c>
      <c r="B1426">
        <v>1997</v>
      </c>
      <c r="C1426" s="8">
        <v>0</v>
      </c>
      <c r="D1426">
        <v>9.7972699999999996E-2</v>
      </c>
      <c r="E1426">
        <v>0.60581269999999998</v>
      </c>
      <c r="F1426">
        <v>0.1062097</v>
      </c>
      <c r="G1426">
        <v>3.6567729999999998</v>
      </c>
      <c r="H1426">
        <v>0.40799770000000002</v>
      </c>
      <c r="Q1426" s="10">
        <f t="shared" si="64"/>
        <v>5.5012968302387871E-5</v>
      </c>
      <c r="AI1426">
        <v>0.19774659999999999</v>
      </c>
      <c r="AJ1426">
        <f t="shared" si="63"/>
        <v>0.19774659999999999</v>
      </c>
      <c r="AO1426">
        <v>0.19774659999999999</v>
      </c>
      <c r="AR1426" s="8">
        <v>0</v>
      </c>
      <c r="AS1426">
        <v>2.8998330000000001</v>
      </c>
    </row>
    <row r="1427" spans="1:45" x14ac:dyDescent="0.25">
      <c r="A1427">
        <v>271</v>
      </c>
      <c r="B1427">
        <v>1998</v>
      </c>
      <c r="C1427" s="8">
        <v>0</v>
      </c>
      <c r="D1427">
        <v>0.12902549999999999</v>
      </c>
      <c r="E1427">
        <v>0.65169999999999995</v>
      </c>
      <c r="F1427">
        <v>9.3235399999999996E-2</v>
      </c>
      <c r="G1427">
        <v>2.9982190000000002</v>
      </c>
      <c r="H1427">
        <v>0.39592509999999997</v>
      </c>
      <c r="Q1427" s="10">
        <f t="shared" si="64"/>
        <v>1.6391949762261518E-4</v>
      </c>
      <c r="AI1427">
        <v>0.17631450000000001</v>
      </c>
      <c r="AJ1427">
        <f t="shared" si="63"/>
        <v>0.17631450000000001</v>
      </c>
      <c r="AO1427">
        <v>0.17631450000000001</v>
      </c>
      <c r="AR1427" s="8">
        <v>0</v>
      </c>
      <c r="AS1427">
        <v>3.3393679999999999</v>
      </c>
    </row>
    <row r="1428" spans="1:45" x14ac:dyDescent="0.25">
      <c r="A1428">
        <v>271</v>
      </c>
      <c r="B1428">
        <v>1999</v>
      </c>
      <c r="C1428" s="8">
        <v>0</v>
      </c>
      <c r="D1428">
        <v>0.19774659999999999</v>
      </c>
      <c r="E1428">
        <v>0.77592329999999998</v>
      </c>
      <c r="F1428">
        <v>8.2027699999999995E-2</v>
      </c>
      <c r="G1428">
        <v>2.317475</v>
      </c>
      <c r="H1428">
        <v>0.37247730000000001</v>
      </c>
      <c r="Q1428" s="10">
        <f t="shared" si="64"/>
        <v>4.4894229965151635E-4</v>
      </c>
      <c r="AI1428">
        <v>0.2014493</v>
      </c>
      <c r="AJ1428">
        <f t="shared" si="63"/>
        <v>0.2014493</v>
      </c>
      <c r="AO1428">
        <v>0.2014493</v>
      </c>
      <c r="AR1428" s="8">
        <v>0</v>
      </c>
      <c r="AS1428">
        <v>3.6567729999999998</v>
      </c>
    </row>
    <row r="1429" spans="1:45" x14ac:dyDescent="0.25">
      <c r="A1429">
        <v>271</v>
      </c>
      <c r="B1429">
        <v>2000</v>
      </c>
      <c r="C1429" s="8">
        <v>0</v>
      </c>
      <c r="D1429">
        <v>0.17631450000000001</v>
      </c>
      <c r="E1429">
        <v>0.79117539999999997</v>
      </c>
      <c r="F1429">
        <v>8.0651E-2</v>
      </c>
      <c r="G1429">
        <v>3.0516770000000002</v>
      </c>
      <c r="H1429">
        <v>0.38081229999999999</v>
      </c>
      <c r="Q1429" s="10">
        <f t="shared" si="64"/>
        <v>1.3731883760935979E-4</v>
      </c>
      <c r="AI1429">
        <v>0.24065349999999999</v>
      </c>
      <c r="AJ1429">
        <f t="shared" si="63"/>
        <v>0.24065349999999999</v>
      </c>
      <c r="AO1429">
        <v>0.24065349999999999</v>
      </c>
      <c r="AR1429" s="8">
        <v>0</v>
      </c>
      <c r="AS1429">
        <v>2.9982190000000002</v>
      </c>
    </row>
    <row r="1430" spans="1:45" x14ac:dyDescent="0.25">
      <c r="A1430">
        <v>271</v>
      </c>
      <c r="B1430">
        <v>2001</v>
      </c>
      <c r="C1430" s="8">
        <v>0</v>
      </c>
      <c r="D1430">
        <v>0.2014493</v>
      </c>
      <c r="E1430">
        <v>0.8477015</v>
      </c>
      <c r="F1430">
        <v>0.1028709</v>
      </c>
      <c r="G1430">
        <v>3.4171909999999999</v>
      </c>
      <c r="H1430">
        <v>0.39288099999999998</v>
      </c>
      <c r="Q1430" s="10">
        <f t="shared" si="64"/>
        <v>6.0211787744077227E-5</v>
      </c>
      <c r="AI1430">
        <v>0.17046729999999999</v>
      </c>
      <c r="AJ1430">
        <f t="shared" si="63"/>
        <v>0.17046729999999999</v>
      </c>
      <c r="AO1430">
        <v>0.17046729999999999</v>
      </c>
      <c r="AR1430" s="8">
        <v>0</v>
      </c>
      <c r="AS1430">
        <v>2.317475</v>
      </c>
    </row>
    <row r="1431" spans="1:45" x14ac:dyDescent="0.25">
      <c r="A1431">
        <v>271</v>
      </c>
      <c r="B1431">
        <v>2002</v>
      </c>
      <c r="C1431" s="8">
        <v>0</v>
      </c>
      <c r="D1431">
        <v>0.24065349999999999</v>
      </c>
      <c r="E1431">
        <v>0.90312709999999996</v>
      </c>
      <c r="F1431">
        <v>0.106709</v>
      </c>
      <c r="G1431">
        <v>3.4022579999999998</v>
      </c>
      <c r="H1431">
        <v>0.35419099999999998</v>
      </c>
      <c r="Q1431" s="10">
        <f t="shared" si="64"/>
        <v>5.4742949827517174E-5</v>
      </c>
      <c r="AI1431">
        <v>3.6675000000000002E-3</v>
      </c>
      <c r="AJ1431">
        <f t="shared" si="63"/>
        <v>3.6675000000000002E-3</v>
      </c>
      <c r="AO1431">
        <v>3.6675000000000002E-3</v>
      </c>
      <c r="AR1431" s="8">
        <v>0</v>
      </c>
      <c r="AS1431">
        <v>3.0516770000000002</v>
      </c>
    </row>
    <row r="1432" spans="1:45" x14ac:dyDescent="0.25">
      <c r="A1432">
        <v>271</v>
      </c>
      <c r="B1432">
        <v>2003</v>
      </c>
      <c r="C1432" s="8">
        <v>0</v>
      </c>
      <c r="D1432">
        <v>0.17046729999999999</v>
      </c>
      <c r="E1432">
        <v>0.9413686</v>
      </c>
      <c r="F1432">
        <v>9.9513599999999994E-2</v>
      </c>
      <c r="G1432">
        <v>3.3649330000000002</v>
      </c>
      <c r="H1432">
        <v>0.3557034</v>
      </c>
      <c r="Q1432" s="10">
        <f t="shared" si="64"/>
        <v>5.6595680242799219E-5</v>
      </c>
      <c r="AI1432">
        <v>0.3059171</v>
      </c>
      <c r="AJ1432">
        <f t="shared" si="63"/>
        <v>0.3059171</v>
      </c>
      <c r="AO1432">
        <v>0.3059171</v>
      </c>
      <c r="AR1432" s="8">
        <v>0</v>
      </c>
      <c r="AS1432">
        <v>3.4171909999999999</v>
      </c>
    </row>
    <row r="1433" spans="1:45" x14ac:dyDescent="0.25">
      <c r="A1433">
        <v>271</v>
      </c>
      <c r="B1433">
        <v>2004</v>
      </c>
      <c r="C1433" s="8">
        <v>0</v>
      </c>
      <c r="D1433">
        <v>3.6675000000000002E-3</v>
      </c>
      <c r="E1433">
        <v>0.93353249999999999</v>
      </c>
      <c r="F1433">
        <v>0.111499</v>
      </c>
      <c r="G1433">
        <v>3.8405840000000002</v>
      </c>
      <c r="H1433">
        <v>0.3735561</v>
      </c>
      <c r="Q1433" s="10">
        <f t="shared" si="64"/>
        <v>2.2998668890027025E-5</v>
      </c>
      <c r="AI1433">
        <v>0.34109859999999997</v>
      </c>
      <c r="AJ1433">
        <f t="shared" si="63"/>
        <v>0.34109859999999997</v>
      </c>
      <c r="AO1433">
        <v>0.34109859999999997</v>
      </c>
      <c r="AR1433" s="8">
        <v>0</v>
      </c>
      <c r="AS1433">
        <v>3.4022579999999998</v>
      </c>
    </row>
    <row r="1434" spans="1:45" x14ac:dyDescent="0.25">
      <c r="A1434">
        <v>272</v>
      </c>
      <c r="B1434">
        <v>1996</v>
      </c>
      <c r="C1434" s="8">
        <v>0</v>
      </c>
      <c r="D1434">
        <v>0.3059171</v>
      </c>
      <c r="E1434">
        <v>0.48186760000000001</v>
      </c>
      <c r="F1434">
        <v>6.7819299999999999E-2</v>
      </c>
      <c r="G1434">
        <v>3.1813039999999999</v>
      </c>
      <c r="H1434">
        <v>0.40705809999999998</v>
      </c>
      <c r="Q1434" s="10">
        <f t="shared" si="64"/>
        <v>2.0809921366723397E-4</v>
      </c>
      <c r="AI1434">
        <v>0.2790937</v>
      </c>
      <c r="AJ1434">
        <f t="shared" si="63"/>
        <v>0.2790937</v>
      </c>
      <c r="AO1434">
        <v>0.2790937</v>
      </c>
      <c r="AR1434" s="8">
        <v>0</v>
      </c>
      <c r="AS1434">
        <v>3.3649330000000002</v>
      </c>
    </row>
    <row r="1435" spans="1:45" x14ac:dyDescent="0.25">
      <c r="A1435">
        <v>272</v>
      </c>
      <c r="B1435">
        <v>1997</v>
      </c>
      <c r="C1435" s="8">
        <v>0</v>
      </c>
      <c r="D1435">
        <v>0.34109859999999997</v>
      </c>
      <c r="E1435">
        <v>0.50165800000000005</v>
      </c>
      <c r="F1435">
        <v>6.4013299999999995E-2</v>
      </c>
      <c r="G1435">
        <v>4.1432869999999999</v>
      </c>
      <c r="H1435">
        <v>0.39516469999999998</v>
      </c>
      <c r="Q1435" s="10">
        <f t="shared" si="64"/>
        <v>4.5333414718699257E-5</v>
      </c>
      <c r="AI1435">
        <v>0.24068690000000001</v>
      </c>
      <c r="AJ1435">
        <f t="shared" si="63"/>
        <v>0.24068690000000001</v>
      </c>
      <c r="AO1435">
        <v>0.24068690000000001</v>
      </c>
      <c r="AR1435" s="8">
        <v>0</v>
      </c>
      <c r="AS1435">
        <v>3.8405840000000002</v>
      </c>
    </row>
    <row r="1436" spans="1:45" x14ac:dyDescent="0.25">
      <c r="A1436">
        <v>272</v>
      </c>
      <c r="B1436">
        <v>1998</v>
      </c>
      <c r="C1436" s="8">
        <v>0</v>
      </c>
      <c r="D1436">
        <v>0.2790937</v>
      </c>
      <c r="E1436">
        <v>0.52994450000000004</v>
      </c>
      <c r="F1436">
        <v>5.2148E-2</v>
      </c>
      <c r="G1436">
        <v>3.7537630000000002</v>
      </c>
      <c r="H1436">
        <v>0.33856570000000002</v>
      </c>
      <c r="Q1436" s="10">
        <f t="shared" si="64"/>
        <v>8.374372273827995E-5</v>
      </c>
      <c r="AI1436">
        <v>0.28041129999999997</v>
      </c>
      <c r="AJ1436">
        <f t="shared" si="63"/>
        <v>0.28041129999999997</v>
      </c>
      <c r="AO1436">
        <v>0.28041129999999997</v>
      </c>
      <c r="AR1436" s="8">
        <v>0</v>
      </c>
      <c r="AS1436">
        <v>3.1813039999999999</v>
      </c>
    </row>
    <row r="1437" spans="1:45" x14ac:dyDescent="0.25">
      <c r="A1437">
        <v>272</v>
      </c>
      <c r="B1437">
        <v>1999</v>
      </c>
      <c r="C1437" s="8">
        <v>0</v>
      </c>
      <c r="D1437">
        <v>0.24068690000000001</v>
      </c>
      <c r="E1437">
        <v>0.54233629999999999</v>
      </c>
      <c r="F1437">
        <v>5.0318300000000003E-2</v>
      </c>
      <c r="G1437">
        <v>4.4764989999999996</v>
      </c>
      <c r="H1437">
        <v>0.35907299999999998</v>
      </c>
      <c r="Q1437" s="10">
        <f t="shared" si="64"/>
        <v>2.6297712403570044E-5</v>
      </c>
      <c r="AI1437">
        <v>0.26931480000000002</v>
      </c>
      <c r="AJ1437">
        <f t="shared" si="63"/>
        <v>0.26931480000000002</v>
      </c>
      <c r="AO1437">
        <v>0.26931480000000002</v>
      </c>
      <c r="AR1437" s="8">
        <v>0</v>
      </c>
      <c r="AS1437">
        <v>4.1432869999999999</v>
      </c>
    </row>
    <row r="1438" spans="1:45" x14ac:dyDescent="0.25">
      <c r="A1438">
        <v>272</v>
      </c>
      <c r="B1438">
        <v>2000</v>
      </c>
      <c r="C1438" s="8">
        <v>0</v>
      </c>
      <c r="D1438">
        <v>0.28041129999999997</v>
      </c>
      <c r="E1438">
        <v>0.45368799999999998</v>
      </c>
      <c r="F1438">
        <v>6.5382899999999994E-2</v>
      </c>
      <c r="G1438">
        <v>4.6774380000000004</v>
      </c>
      <c r="H1438">
        <v>0.41550619999999999</v>
      </c>
      <c r="Q1438" s="10">
        <f t="shared" si="64"/>
        <v>2.0269169067298679E-5</v>
      </c>
      <c r="AI1438">
        <v>0.19966619999999999</v>
      </c>
      <c r="AJ1438">
        <f t="shared" si="63"/>
        <v>0.19966619999999999</v>
      </c>
      <c r="AO1438">
        <v>0.19966619999999999</v>
      </c>
      <c r="AR1438" s="8">
        <v>0</v>
      </c>
      <c r="AS1438">
        <v>3.7537630000000002</v>
      </c>
    </row>
    <row r="1439" spans="1:45" x14ac:dyDescent="0.25">
      <c r="A1439">
        <v>272</v>
      </c>
      <c r="B1439">
        <v>2001</v>
      </c>
      <c r="C1439" s="8">
        <v>0</v>
      </c>
      <c r="D1439">
        <v>0.26931480000000002</v>
      </c>
      <c r="E1439">
        <v>0.4589877</v>
      </c>
      <c r="F1439">
        <v>3.2943699999999999E-2</v>
      </c>
      <c r="G1439">
        <v>1.773164</v>
      </c>
      <c r="H1439">
        <v>0.35703439999999997</v>
      </c>
      <c r="Q1439" s="10">
        <f t="shared" si="64"/>
        <v>2.5548277204622983E-3</v>
      </c>
      <c r="AI1439">
        <v>0.21620710000000001</v>
      </c>
      <c r="AJ1439">
        <f t="shared" si="63"/>
        <v>0.21620710000000001</v>
      </c>
      <c r="AO1439">
        <v>0.21620710000000001</v>
      </c>
      <c r="AR1439" s="8">
        <v>0</v>
      </c>
      <c r="AS1439">
        <v>4.4764989999999996</v>
      </c>
    </row>
    <row r="1440" spans="1:45" x14ac:dyDescent="0.25">
      <c r="A1440">
        <v>272</v>
      </c>
      <c r="B1440">
        <v>2002</v>
      </c>
      <c r="C1440" s="8">
        <v>0</v>
      </c>
      <c r="D1440">
        <v>0.19966619999999999</v>
      </c>
      <c r="E1440">
        <v>0.19068060000000001</v>
      </c>
      <c r="F1440">
        <v>3.7967599999999997E-2</v>
      </c>
      <c r="G1440">
        <v>1.417921</v>
      </c>
      <c r="H1440">
        <v>0.28828740000000003</v>
      </c>
      <c r="Q1440" s="10">
        <f t="shared" si="64"/>
        <v>5.9250261801159221E-3</v>
      </c>
      <c r="AI1440">
        <v>0.2173117</v>
      </c>
      <c r="AJ1440">
        <f t="shared" si="63"/>
        <v>0.2173117</v>
      </c>
      <c r="AO1440">
        <v>0.2173117</v>
      </c>
      <c r="AR1440" s="8">
        <v>0</v>
      </c>
      <c r="AS1440">
        <v>4.6774380000000004</v>
      </c>
    </row>
    <row r="1441" spans="1:45" x14ac:dyDescent="0.25">
      <c r="A1441">
        <v>272</v>
      </c>
      <c r="B1441">
        <v>2003</v>
      </c>
      <c r="C1441" s="8">
        <v>0</v>
      </c>
      <c r="D1441">
        <v>0.21620710000000001</v>
      </c>
      <c r="E1441">
        <v>0.2141557</v>
      </c>
      <c r="F1441">
        <v>4.3656100000000003E-2</v>
      </c>
      <c r="G1441">
        <v>1.8749499999999999</v>
      </c>
      <c r="H1441">
        <v>0.31015409999999999</v>
      </c>
      <c r="Q1441" s="10">
        <f t="shared" si="64"/>
        <v>2.7043746909878614E-3</v>
      </c>
      <c r="AI1441">
        <v>0.3096544</v>
      </c>
      <c r="AJ1441">
        <f t="shared" si="63"/>
        <v>0.3096544</v>
      </c>
      <c r="AO1441">
        <v>0.3096544</v>
      </c>
      <c r="AR1441" s="8">
        <v>0</v>
      </c>
      <c r="AS1441">
        <v>1.773164</v>
      </c>
    </row>
    <row r="1442" spans="1:45" x14ac:dyDescent="0.25">
      <c r="A1442">
        <v>272</v>
      </c>
      <c r="B1442">
        <v>2004</v>
      </c>
      <c r="C1442" s="8">
        <v>0</v>
      </c>
      <c r="D1442">
        <v>0.2173117</v>
      </c>
      <c r="E1442">
        <v>0.22902610000000001</v>
      </c>
      <c r="F1442">
        <v>5.28847E-2</v>
      </c>
      <c r="G1442">
        <v>1.484675</v>
      </c>
      <c r="H1442">
        <v>0.30883369999999999</v>
      </c>
      <c r="Q1442" s="10">
        <f t="shared" si="64"/>
        <v>4.5682831572756467E-3</v>
      </c>
      <c r="AI1442">
        <v>0.2084627</v>
      </c>
      <c r="AJ1442">
        <f t="shared" si="63"/>
        <v>0.2084627</v>
      </c>
      <c r="AO1442">
        <v>0.2084627</v>
      </c>
      <c r="AR1442" s="8">
        <v>0</v>
      </c>
      <c r="AS1442">
        <v>1.417921</v>
      </c>
    </row>
    <row r="1443" spans="1:45" x14ac:dyDescent="0.25">
      <c r="A1443">
        <v>273</v>
      </c>
      <c r="B1443">
        <v>1995</v>
      </c>
      <c r="C1443" s="8">
        <v>0</v>
      </c>
      <c r="D1443">
        <v>0.3096544</v>
      </c>
      <c r="E1443">
        <v>-0.234043</v>
      </c>
      <c r="F1443">
        <v>5.5721899999999998E-2</v>
      </c>
      <c r="G1443">
        <v>1.140301</v>
      </c>
      <c r="H1443">
        <v>0.42513600000000001</v>
      </c>
      <c r="Q1443" s="10">
        <f t="shared" si="64"/>
        <v>1.6719999623231188E-2</v>
      </c>
      <c r="AI1443">
        <v>0.28330820000000001</v>
      </c>
      <c r="AJ1443">
        <f t="shared" si="63"/>
        <v>0.28330820000000001</v>
      </c>
      <c r="AO1443">
        <v>0.28330820000000001</v>
      </c>
      <c r="AR1443" s="8">
        <v>0</v>
      </c>
      <c r="AS1443">
        <v>1.8749499999999999</v>
      </c>
    </row>
    <row r="1444" spans="1:45" x14ac:dyDescent="0.25">
      <c r="A1444">
        <v>273</v>
      </c>
      <c r="B1444">
        <v>1996</v>
      </c>
      <c r="C1444" s="8">
        <v>0</v>
      </c>
      <c r="D1444">
        <v>0.2084627</v>
      </c>
      <c r="E1444">
        <v>-9.0012499999999995E-2</v>
      </c>
      <c r="F1444">
        <v>4.5408700000000003E-2</v>
      </c>
      <c r="G1444">
        <v>1.1716740000000001</v>
      </c>
      <c r="H1444">
        <v>0.32685009999999998</v>
      </c>
      <c r="Q1444" s="10">
        <f t="shared" si="64"/>
        <v>1.2691442739304105E-2</v>
      </c>
      <c r="AI1444">
        <v>0.1969977</v>
      </c>
      <c r="AJ1444">
        <f t="shared" si="63"/>
        <v>0.1969977</v>
      </c>
      <c r="AO1444">
        <v>0.1969977</v>
      </c>
      <c r="AR1444" s="8">
        <v>0</v>
      </c>
      <c r="AS1444">
        <v>1.484675</v>
      </c>
    </row>
    <row r="1445" spans="1:45" x14ac:dyDescent="0.25">
      <c r="A1445">
        <v>273</v>
      </c>
      <c r="B1445">
        <v>1997</v>
      </c>
      <c r="C1445" s="8">
        <v>0</v>
      </c>
      <c r="D1445">
        <v>0.28330820000000001</v>
      </c>
      <c r="E1445">
        <v>2.0287999999999999E-3</v>
      </c>
      <c r="F1445">
        <v>6.7850400000000005E-2</v>
      </c>
      <c r="G1445">
        <v>1.6740919999999999</v>
      </c>
      <c r="H1445">
        <v>0.34326630000000002</v>
      </c>
      <c r="Q1445" s="10">
        <f t="shared" si="64"/>
        <v>4.3776389154766221E-3</v>
      </c>
      <c r="AI1445">
        <v>0.1062864</v>
      </c>
      <c r="AJ1445">
        <f t="shared" si="63"/>
        <v>0.1062864</v>
      </c>
      <c r="AO1445">
        <v>0.1062864</v>
      </c>
      <c r="AR1445" s="8">
        <v>0</v>
      </c>
      <c r="AS1445">
        <v>1.140301</v>
      </c>
    </row>
    <row r="1446" spans="1:45" x14ac:dyDescent="0.25">
      <c r="A1446">
        <v>273</v>
      </c>
      <c r="B1446">
        <v>1998</v>
      </c>
      <c r="C1446" s="8">
        <v>0</v>
      </c>
      <c r="D1446">
        <v>0.1969977</v>
      </c>
      <c r="E1446">
        <v>4.5185599999999999E-2</v>
      </c>
      <c r="F1446">
        <v>5.3298400000000003E-2</v>
      </c>
      <c r="G1446">
        <v>0.31005470000000002</v>
      </c>
      <c r="H1446">
        <v>0.25319130000000001</v>
      </c>
      <c r="Q1446" s="10">
        <f t="shared" si="64"/>
        <v>3.5878709285949398E-2</v>
      </c>
      <c r="AI1446">
        <v>0.14881720000000001</v>
      </c>
      <c r="AJ1446">
        <f t="shared" si="63"/>
        <v>0.14881720000000001</v>
      </c>
      <c r="AO1446">
        <v>0.14881720000000001</v>
      </c>
      <c r="AR1446" s="8">
        <v>0</v>
      </c>
      <c r="AS1446">
        <v>1.1716740000000001</v>
      </c>
    </row>
    <row r="1447" spans="1:45" x14ac:dyDescent="0.25">
      <c r="A1447">
        <v>273</v>
      </c>
      <c r="B1447">
        <v>1999</v>
      </c>
      <c r="C1447" s="8">
        <v>0</v>
      </c>
      <c r="D1447">
        <v>0.1062864</v>
      </c>
      <c r="E1447">
        <v>4.9900600000000003E-2</v>
      </c>
      <c r="F1447">
        <v>2.9797199999999999E-2</v>
      </c>
      <c r="G1447">
        <v>0.23540720000000001</v>
      </c>
      <c r="H1447">
        <v>0.23966879999999999</v>
      </c>
      <c r="Q1447" s="10">
        <f t="shared" si="64"/>
        <v>4.5784067448445327E-2</v>
      </c>
      <c r="AI1447">
        <v>0.14729320000000001</v>
      </c>
      <c r="AJ1447">
        <f t="shared" si="63"/>
        <v>0.14729320000000001</v>
      </c>
      <c r="AO1447">
        <v>0.14729320000000001</v>
      </c>
      <c r="AR1447" s="8">
        <v>0</v>
      </c>
      <c r="AS1447">
        <v>1.6740919999999999</v>
      </c>
    </row>
    <row r="1448" spans="1:45" x14ac:dyDescent="0.25">
      <c r="A1448">
        <v>273</v>
      </c>
      <c r="B1448">
        <v>2000</v>
      </c>
      <c r="C1448" s="8">
        <v>0</v>
      </c>
      <c r="D1448">
        <v>0.14881720000000001</v>
      </c>
      <c r="E1448">
        <v>7.8081700000000004E-2</v>
      </c>
      <c r="F1448">
        <v>4.7823499999999998E-2</v>
      </c>
      <c r="G1448">
        <v>0.39657880000000001</v>
      </c>
      <c r="H1448">
        <v>0.23525109999999999</v>
      </c>
      <c r="Q1448" s="10">
        <f t="shared" si="64"/>
        <v>3.0351769567709096E-2</v>
      </c>
      <c r="AI1448">
        <v>-0.71983410000000003</v>
      </c>
      <c r="AJ1448">
        <f t="shared" si="63"/>
        <v>-0.113345184</v>
      </c>
      <c r="AO1448">
        <v>-0.113345184</v>
      </c>
      <c r="AR1448" s="8">
        <v>0</v>
      </c>
      <c r="AS1448">
        <v>0.31005470000000002</v>
      </c>
    </row>
    <row r="1449" spans="1:45" x14ac:dyDescent="0.25">
      <c r="A1449">
        <v>273</v>
      </c>
      <c r="B1449">
        <v>2001</v>
      </c>
      <c r="C1449" s="8">
        <v>0</v>
      </c>
      <c r="D1449">
        <v>0.14729320000000001</v>
      </c>
      <c r="E1449">
        <v>-0.49496780000000001</v>
      </c>
      <c r="F1449">
        <v>3.3684199999999997E-2</v>
      </c>
      <c r="G1449">
        <v>0.16464670000000001</v>
      </c>
      <c r="H1449">
        <v>0.33085510000000001</v>
      </c>
      <c r="Q1449" s="10">
        <f t="shared" si="64"/>
        <v>0.11011864900209008</v>
      </c>
      <c r="AI1449">
        <v>0.2125572</v>
      </c>
      <c r="AJ1449">
        <f t="shared" si="63"/>
        <v>0.2125572</v>
      </c>
      <c r="AO1449">
        <v>0.2125572</v>
      </c>
      <c r="AR1449" s="8">
        <v>0</v>
      </c>
      <c r="AS1449">
        <v>0.23540720000000001</v>
      </c>
    </row>
    <row r="1450" spans="1:45" x14ac:dyDescent="0.25">
      <c r="A1450">
        <v>273</v>
      </c>
      <c r="B1450">
        <v>2002</v>
      </c>
      <c r="C1450" s="8">
        <v>0</v>
      </c>
      <c r="D1450">
        <v>-0.71983410000000003</v>
      </c>
      <c r="E1450">
        <v>-0.53443779999999996</v>
      </c>
      <c r="F1450">
        <v>4.5596200000000003E-2</v>
      </c>
      <c r="G1450">
        <v>0.17510890000000001</v>
      </c>
      <c r="H1450">
        <v>0.32652490000000001</v>
      </c>
      <c r="Q1450" s="10">
        <f t="shared" si="64"/>
        <v>7.5430760607525849E-2</v>
      </c>
      <c r="AI1450">
        <v>0.22548029999999999</v>
      </c>
      <c r="AJ1450">
        <f t="shared" si="63"/>
        <v>0.22548029999999999</v>
      </c>
      <c r="AO1450">
        <v>0.22548029999999999</v>
      </c>
      <c r="AR1450" s="8">
        <v>0</v>
      </c>
      <c r="AS1450">
        <v>0.39657880000000001</v>
      </c>
    </row>
    <row r="1451" spans="1:45" x14ac:dyDescent="0.25">
      <c r="A1451">
        <v>273</v>
      </c>
      <c r="B1451">
        <v>2003</v>
      </c>
      <c r="C1451" s="8">
        <v>0</v>
      </c>
      <c r="D1451">
        <v>0.2125572</v>
      </c>
      <c r="E1451">
        <v>-0.49721989999999999</v>
      </c>
      <c r="F1451">
        <v>5.5160099999999997E-2</v>
      </c>
      <c r="G1451">
        <v>0.42576700000000001</v>
      </c>
      <c r="H1451">
        <v>0.34411639999999999</v>
      </c>
      <c r="Q1451" s="10">
        <f t="shared" si="64"/>
        <v>6.667654331273544E-2</v>
      </c>
      <c r="AI1451">
        <v>0.25222519999999998</v>
      </c>
      <c r="AJ1451">
        <f t="shared" si="63"/>
        <v>0.25222519999999998</v>
      </c>
      <c r="AO1451">
        <v>0.25222519999999998</v>
      </c>
      <c r="AR1451" s="8">
        <v>0</v>
      </c>
      <c r="AS1451">
        <v>0.16464670000000001</v>
      </c>
    </row>
    <row r="1452" spans="1:45" x14ac:dyDescent="0.25">
      <c r="A1452">
        <v>273</v>
      </c>
      <c r="B1452">
        <v>2004</v>
      </c>
      <c r="C1452" s="8">
        <v>0</v>
      </c>
      <c r="D1452">
        <v>0.22548029999999999</v>
      </c>
      <c r="E1452">
        <v>-0.39803820000000001</v>
      </c>
      <c r="F1452">
        <v>6.4145599999999997E-2</v>
      </c>
      <c r="G1452">
        <v>1.0620259999999999</v>
      </c>
      <c r="H1452">
        <v>0.39134449999999998</v>
      </c>
      <c r="Q1452" s="10">
        <f t="shared" si="64"/>
        <v>2.1159047774773395E-2</v>
      </c>
      <c r="AI1452">
        <v>9.0367699999999995E-2</v>
      </c>
      <c r="AJ1452">
        <f t="shared" si="63"/>
        <v>9.0367699999999995E-2</v>
      </c>
      <c r="AO1452">
        <v>9.0367699999999995E-2</v>
      </c>
      <c r="AR1452" s="8">
        <v>0</v>
      </c>
      <c r="AS1452">
        <v>0.17510890000000001</v>
      </c>
    </row>
    <row r="1453" spans="1:45" x14ac:dyDescent="0.25">
      <c r="A1453">
        <v>274</v>
      </c>
      <c r="B1453">
        <v>2004</v>
      </c>
      <c r="C1453" s="8">
        <v>0</v>
      </c>
      <c r="D1453">
        <v>0.25222519999999998</v>
      </c>
      <c r="E1453">
        <v>0.81613930000000001</v>
      </c>
      <c r="F1453">
        <v>6.80732E-2</v>
      </c>
      <c r="G1453">
        <v>3.5255969999999999</v>
      </c>
      <c r="H1453">
        <v>0.26122610000000002</v>
      </c>
      <c r="Q1453" s="10">
        <f t="shared" si="64"/>
        <v>6.5943621565138364E-5</v>
      </c>
      <c r="AI1453">
        <v>5.41658E-2</v>
      </c>
      <c r="AJ1453">
        <f t="shared" si="63"/>
        <v>5.41658E-2</v>
      </c>
      <c r="AO1453">
        <v>5.41658E-2</v>
      </c>
      <c r="AR1453" s="8">
        <v>0</v>
      </c>
      <c r="AS1453">
        <v>0.42576700000000001</v>
      </c>
    </row>
    <row r="1454" spans="1:45" x14ac:dyDescent="0.25">
      <c r="A1454">
        <v>275</v>
      </c>
      <c r="B1454">
        <v>1995</v>
      </c>
      <c r="C1454" s="8">
        <v>0</v>
      </c>
      <c r="D1454">
        <v>9.0367699999999995E-2</v>
      </c>
      <c r="E1454">
        <v>0.4343168</v>
      </c>
      <c r="F1454">
        <v>5.4695100000000003E-2</v>
      </c>
      <c r="G1454">
        <v>1.6712629999999999</v>
      </c>
      <c r="H1454">
        <v>0.1651724</v>
      </c>
      <c r="Q1454" s="10">
        <f t="shared" si="64"/>
        <v>2.1588944744301477E-3</v>
      </c>
      <c r="AI1454">
        <v>4.3891600000000003E-2</v>
      </c>
      <c r="AJ1454">
        <f t="shared" si="63"/>
        <v>4.3891600000000003E-2</v>
      </c>
      <c r="AO1454">
        <v>4.3891600000000003E-2</v>
      </c>
      <c r="AR1454" s="8">
        <v>0</v>
      </c>
      <c r="AS1454">
        <v>1.0620259999999999</v>
      </c>
    </row>
    <row r="1455" spans="1:45" x14ac:dyDescent="0.25">
      <c r="A1455">
        <v>275</v>
      </c>
      <c r="B1455">
        <v>1996</v>
      </c>
      <c r="C1455" s="8">
        <v>0</v>
      </c>
      <c r="D1455">
        <v>5.41658E-2</v>
      </c>
      <c r="E1455">
        <v>0.15769230000000001</v>
      </c>
      <c r="F1455">
        <v>4.1683499999999998E-2</v>
      </c>
      <c r="G1455">
        <v>1.534518</v>
      </c>
      <c r="H1455">
        <v>0.1647411</v>
      </c>
      <c r="Q1455" s="10">
        <f t="shared" si="64"/>
        <v>4.3767931587891419E-3</v>
      </c>
      <c r="AI1455">
        <v>2.6822700000000001E-2</v>
      </c>
      <c r="AJ1455">
        <f t="shared" si="63"/>
        <v>2.6822700000000001E-2</v>
      </c>
      <c r="AO1455">
        <v>2.6822700000000001E-2</v>
      </c>
      <c r="AR1455" s="8">
        <v>0</v>
      </c>
      <c r="AS1455">
        <v>3.5255969999999999</v>
      </c>
    </row>
    <row r="1456" spans="1:45" x14ac:dyDescent="0.25">
      <c r="A1456">
        <v>275</v>
      </c>
      <c r="B1456">
        <v>1997</v>
      </c>
      <c r="C1456" s="8">
        <v>0</v>
      </c>
      <c r="D1456">
        <v>4.3891600000000003E-2</v>
      </c>
      <c r="E1456">
        <v>0.16062129999999999</v>
      </c>
      <c r="F1456">
        <v>6.1511799999999998E-2</v>
      </c>
      <c r="G1456">
        <v>1.703551</v>
      </c>
      <c r="H1456">
        <v>0.20424229999999999</v>
      </c>
      <c r="Q1456" s="10">
        <f t="shared" si="64"/>
        <v>2.9031052234795999E-3</v>
      </c>
      <c r="AI1456">
        <v>2.74457E-2</v>
      </c>
      <c r="AJ1456">
        <f t="shared" si="63"/>
        <v>2.74457E-2</v>
      </c>
      <c r="AO1456">
        <v>2.74457E-2</v>
      </c>
      <c r="AR1456" s="8">
        <v>0</v>
      </c>
      <c r="AS1456">
        <v>1.6712629999999999</v>
      </c>
    </row>
    <row r="1457" spans="1:45" x14ac:dyDescent="0.25">
      <c r="A1457">
        <v>275</v>
      </c>
      <c r="B1457">
        <v>1998</v>
      </c>
      <c r="C1457" s="8">
        <v>0</v>
      </c>
      <c r="D1457">
        <v>2.6822700000000001E-2</v>
      </c>
      <c r="E1457">
        <v>-5.7755800000000003E-2</v>
      </c>
      <c r="F1457">
        <v>6.1057199999999999E-2</v>
      </c>
      <c r="G1457">
        <v>1.3456680000000001</v>
      </c>
      <c r="H1457">
        <v>0.15178430000000001</v>
      </c>
      <c r="Q1457" s="10">
        <f t="shared" si="64"/>
        <v>6.7787002285030493E-3</v>
      </c>
      <c r="AI1457">
        <v>3.8560499999999998E-2</v>
      </c>
      <c r="AJ1457">
        <f t="shared" si="63"/>
        <v>3.8560499999999998E-2</v>
      </c>
      <c r="AO1457">
        <v>3.8560499999999998E-2</v>
      </c>
      <c r="AR1457" s="8">
        <v>0</v>
      </c>
      <c r="AS1457">
        <v>1.534518</v>
      </c>
    </row>
    <row r="1458" spans="1:45" x14ac:dyDescent="0.25">
      <c r="A1458">
        <v>275</v>
      </c>
      <c r="B1458">
        <v>1999</v>
      </c>
      <c r="C1458" s="8">
        <v>0</v>
      </c>
      <c r="D1458">
        <v>2.74457E-2</v>
      </c>
      <c r="E1458">
        <v>1.12085E-2</v>
      </c>
      <c r="F1458">
        <v>3.5859700000000001E-2</v>
      </c>
      <c r="G1458">
        <v>0.47547590000000001</v>
      </c>
      <c r="H1458">
        <v>9.8662899999999998E-2</v>
      </c>
      <c r="Q1458" s="10">
        <f t="shared" si="64"/>
        <v>2.8420385943126434E-2</v>
      </c>
      <c r="AI1458">
        <v>3.5391199999999998E-2</v>
      </c>
      <c r="AJ1458">
        <f t="shared" si="63"/>
        <v>3.5391199999999998E-2</v>
      </c>
      <c r="AO1458">
        <v>3.5391199999999998E-2</v>
      </c>
      <c r="AR1458" s="8">
        <v>0</v>
      </c>
      <c r="AS1458">
        <v>1.703551</v>
      </c>
    </row>
    <row r="1459" spans="1:45" x14ac:dyDescent="0.25">
      <c r="A1459">
        <v>275</v>
      </c>
      <c r="B1459">
        <v>2000</v>
      </c>
      <c r="C1459" s="8">
        <v>0</v>
      </c>
      <c r="D1459">
        <v>3.8560499999999998E-2</v>
      </c>
      <c r="E1459">
        <v>2.2856899999999999E-2</v>
      </c>
      <c r="F1459">
        <v>4.9891999999999999E-2</v>
      </c>
      <c r="G1459">
        <v>0.55262449999999996</v>
      </c>
      <c r="H1459">
        <v>0.1187338</v>
      </c>
      <c r="Q1459" s="10">
        <f t="shared" si="64"/>
        <v>2.2601061373396885E-2</v>
      </c>
      <c r="AI1459">
        <v>2.60062E-2</v>
      </c>
      <c r="AJ1459">
        <f t="shared" si="63"/>
        <v>2.60062E-2</v>
      </c>
      <c r="AO1459">
        <v>2.60062E-2</v>
      </c>
      <c r="AR1459" s="8">
        <v>0</v>
      </c>
      <c r="AS1459">
        <v>1.3456680000000001</v>
      </c>
    </row>
    <row r="1460" spans="1:45" x14ac:dyDescent="0.25">
      <c r="A1460">
        <v>275</v>
      </c>
      <c r="B1460">
        <v>2001</v>
      </c>
      <c r="C1460" s="8">
        <v>0</v>
      </c>
      <c r="D1460">
        <v>3.5391199999999998E-2</v>
      </c>
      <c r="E1460">
        <v>5.1256000000000003E-2</v>
      </c>
      <c r="F1460">
        <v>5.2603499999999997E-2</v>
      </c>
      <c r="G1460">
        <v>0.6027747</v>
      </c>
      <c r="H1460">
        <v>0.12292790000000001</v>
      </c>
      <c r="Q1460" s="10">
        <f t="shared" si="64"/>
        <v>1.967541971627855E-2</v>
      </c>
      <c r="AI1460">
        <v>5.8085499999999998E-2</v>
      </c>
      <c r="AJ1460">
        <f t="shared" si="63"/>
        <v>5.8085499999999998E-2</v>
      </c>
      <c r="AO1460">
        <v>5.8085499999999998E-2</v>
      </c>
      <c r="AR1460" s="8">
        <v>0</v>
      </c>
      <c r="AS1460">
        <v>0.47547590000000001</v>
      </c>
    </row>
    <row r="1461" spans="1:45" x14ac:dyDescent="0.25">
      <c r="A1461">
        <v>275</v>
      </c>
      <c r="B1461">
        <v>2002</v>
      </c>
      <c r="C1461" s="8">
        <v>0</v>
      </c>
      <c r="D1461">
        <v>2.60062E-2</v>
      </c>
      <c r="E1461">
        <v>7.5293100000000002E-2</v>
      </c>
      <c r="F1461">
        <v>5.2896699999999998E-2</v>
      </c>
      <c r="G1461">
        <v>0.78956660000000001</v>
      </c>
      <c r="H1461">
        <v>0.13763819999999999</v>
      </c>
      <c r="Q1461" s="10">
        <f t="shared" si="64"/>
        <v>1.422744708485415E-2</v>
      </c>
      <c r="AI1461">
        <v>8.8965299999999997E-2</v>
      </c>
      <c r="AJ1461">
        <f t="shared" si="63"/>
        <v>8.8965299999999997E-2</v>
      </c>
      <c r="AO1461">
        <v>8.8965299999999997E-2</v>
      </c>
      <c r="AR1461" s="8">
        <v>0</v>
      </c>
      <c r="AS1461">
        <v>0.55262449999999996</v>
      </c>
    </row>
    <row r="1462" spans="1:45" x14ac:dyDescent="0.25">
      <c r="A1462">
        <v>275</v>
      </c>
      <c r="B1462">
        <v>2003</v>
      </c>
      <c r="C1462" s="8">
        <v>0</v>
      </c>
      <c r="D1462">
        <v>5.8085499999999998E-2</v>
      </c>
      <c r="E1462">
        <v>9.4380800000000001E-2</v>
      </c>
      <c r="F1462">
        <v>4.8204200000000003E-2</v>
      </c>
      <c r="G1462">
        <v>1.121661</v>
      </c>
      <c r="H1462">
        <v>0.15551419999999999</v>
      </c>
      <c r="Q1462" s="10">
        <f t="shared" si="64"/>
        <v>8.7204728820915421E-3</v>
      </c>
      <c r="AI1462">
        <v>9.5161599999999999E-2</v>
      </c>
      <c r="AJ1462">
        <f t="shared" si="63"/>
        <v>9.5161599999999999E-2</v>
      </c>
      <c r="AO1462">
        <v>9.5161599999999999E-2</v>
      </c>
      <c r="AR1462" s="8">
        <v>0</v>
      </c>
      <c r="AS1462">
        <v>0.6027747</v>
      </c>
    </row>
    <row r="1463" spans="1:45" x14ac:dyDescent="0.25">
      <c r="A1463">
        <v>275</v>
      </c>
      <c r="B1463">
        <v>2004</v>
      </c>
      <c r="C1463" s="8">
        <v>0</v>
      </c>
      <c r="D1463">
        <v>8.8965299999999997E-2</v>
      </c>
      <c r="E1463">
        <v>0.10574600000000001</v>
      </c>
      <c r="F1463">
        <v>5.78703E-2</v>
      </c>
      <c r="G1463">
        <v>1.5774049999999999</v>
      </c>
      <c r="H1463">
        <v>0.15757869999999999</v>
      </c>
      <c r="Q1463" s="10">
        <f t="shared" si="64"/>
        <v>3.9136511336608972E-3</v>
      </c>
      <c r="AI1463">
        <v>0.12898180000000001</v>
      </c>
      <c r="AJ1463">
        <f t="shared" si="63"/>
        <v>0.12898180000000001</v>
      </c>
      <c r="AO1463">
        <v>0.12898180000000001</v>
      </c>
      <c r="AR1463" s="8">
        <v>0</v>
      </c>
      <c r="AS1463">
        <v>0.78956660000000001</v>
      </c>
    </row>
    <row r="1464" spans="1:45" x14ac:dyDescent="0.25">
      <c r="A1464">
        <v>276</v>
      </c>
      <c r="B1464">
        <v>2002</v>
      </c>
      <c r="C1464" s="8">
        <v>0</v>
      </c>
      <c r="D1464">
        <v>9.5161599999999999E-2</v>
      </c>
      <c r="E1464">
        <v>0.1198607</v>
      </c>
      <c r="F1464">
        <v>2.7246200000000002E-2</v>
      </c>
      <c r="G1464">
        <v>0.20028509999999999</v>
      </c>
      <c r="H1464">
        <v>0.25421490000000002</v>
      </c>
      <c r="Q1464" s="10">
        <f t="shared" si="64"/>
        <v>4.4877767105038893E-2</v>
      </c>
      <c r="AI1464">
        <v>0.17132610000000001</v>
      </c>
      <c r="AJ1464">
        <f t="shared" si="63"/>
        <v>0.17132610000000001</v>
      </c>
      <c r="AO1464">
        <v>0.17132610000000001</v>
      </c>
      <c r="AR1464" s="8">
        <v>0</v>
      </c>
      <c r="AS1464">
        <v>1.121661</v>
      </c>
    </row>
    <row r="1465" spans="1:45" x14ac:dyDescent="0.25">
      <c r="A1465">
        <v>276</v>
      </c>
      <c r="B1465">
        <v>2003</v>
      </c>
      <c r="C1465" s="8">
        <v>0</v>
      </c>
      <c r="D1465">
        <v>0.12898180000000001</v>
      </c>
      <c r="E1465">
        <v>0.1584546</v>
      </c>
      <c r="F1465">
        <v>4.7031700000000003E-2</v>
      </c>
      <c r="G1465">
        <v>0.40490900000000002</v>
      </c>
      <c r="H1465">
        <v>0.31152609999999997</v>
      </c>
      <c r="Q1465" s="10">
        <f t="shared" si="64"/>
        <v>2.7954235306580349E-2</v>
      </c>
      <c r="AI1465">
        <v>3.5773600000000003E-2</v>
      </c>
      <c r="AJ1465">
        <f t="shared" si="63"/>
        <v>3.5773600000000003E-2</v>
      </c>
      <c r="AO1465">
        <v>3.5773600000000003E-2</v>
      </c>
      <c r="AR1465" s="8">
        <v>0</v>
      </c>
      <c r="AS1465">
        <v>1.5774049999999999</v>
      </c>
    </row>
    <row r="1466" spans="1:45" x14ac:dyDescent="0.25">
      <c r="A1466">
        <v>276</v>
      </c>
      <c r="B1466">
        <v>2004</v>
      </c>
      <c r="C1466" s="8">
        <v>0</v>
      </c>
      <c r="D1466">
        <v>0.17132610000000001</v>
      </c>
      <c r="E1466">
        <v>0.18431169999999999</v>
      </c>
      <c r="F1466">
        <v>5.4196000000000001E-2</v>
      </c>
      <c r="G1466">
        <v>0.33259460000000002</v>
      </c>
      <c r="H1466">
        <v>0.29149819999999999</v>
      </c>
      <c r="Q1466" s="10">
        <f t="shared" si="64"/>
        <v>2.8654735769633628E-2</v>
      </c>
      <c r="AI1466">
        <v>-3.3647999999999998E-3</v>
      </c>
      <c r="AJ1466">
        <f t="shared" si="63"/>
        <v>-3.3647999999999998E-3</v>
      </c>
      <c r="AO1466">
        <v>-3.3647999999999998E-3</v>
      </c>
      <c r="AR1466" s="8">
        <v>0</v>
      </c>
      <c r="AS1466">
        <v>0.20028509999999999</v>
      </c>
    </row>
    <row r="1467" spans="1:45" x14ac:dyDescent="0.25">
      <c r="A1467">
        <v>277</v>
      </c>
      <c r="B1467">
        <v>1997</v>
      </c>
      <c r="C1467" s="8">
        <v>0</v>
      </c>
      <c r="D1467">
        <v>3.5773600000000003E-2</v>
      </c>
      <c r="E1467">
        <v>1.7212499999999999E-2</v>
      </c>
      <c r="F1467">
        <v>5.7371900000000003E-2</v>
      </c>
      <c r="G1467">
        <v>2.9545689999999998</v>
      </c>
      <c r="H1467">
        <v>0.23712820000000001</v>
      </c>
      <c r="Q1467" s="10">
        <f t="shared" si="64"/>
        <v>5.1335401641927484E-4</v>
      </c>
      <c r="AI1467">
        <v>0.30596699999999999</v>
      </c>
      <c r="AJ1467">
        <f t="shared" si="63"/>
        <v>0.30596699999999999</v>
      </c>
      <c r="AO1467">
        <v>0.30596699999999999</v>
      </c>
      <c r="AR1467" s="8">
        <v>0</v>
      </c>
      <c r="AS1467">
        <v>0.40490900000000002</v>
      </c>
    </row>
    <row r="1468" spans="1:45" x14ac:dyDescent="0.25">
      <c r="A1468">
        <v>277</v>
      </c>
      <c r="B1468">
        <v>1998</v>
      </c>
      <c r="C1468" s="8">
        <v>0</v>
      </c>
      <c r="D1468">
        <v>-3.3647999999999998E-3</v>
      </c>
      <c r="E1468">
        <v>3.9152399999999997E-2</v>
      </c>
      <c r="F1468">
        <v>4.7760299999999999E-2</v>
      </c>
      <c r="G1468">
        <v>0.36060360000000002</v>
      </c>
      <c r="H1468">
        <v>0.20314989999999999</v>
      </c>
      <c r="Q1468" s="10">
        <f t="shared" si="64"/>
        <v>3.1292137298458887E-2</v>
      </c>
      <c r="AI1468">
        <v>0.17504459999999999</v>
      </c>
      <c r="AJ1468">
        <f t="shared" si="63"/>
        <v>0.17504459999999999</v>
      </c>
      <c r="AO1468">
        <v>0.17504459999999999</v>
      </c>
      <c r="AR1468" s="8">
        <v>0</v>
      </c>
      <c r="AS1468">
        <v>0.33259460000000002</v>
      </c>
    </row>
    <row r="1469" spans="1:45" x14ac:dyDescent="0.25">
      <c r="A1469">
        <v>277</v>
      </c>
      <c r="B1469">
        <v>1999</v>
      </c>
      <c r="C1469" s="8">
        <v>0</v>
      </c>
      <c r="D1469">
        <v>0.30596699999999999</v>
      </c>
      <c r="E1469">
        <v>8.9963000000000001E-2</v>
      </c>
      <c r="F1469">
        <v>3.2089899999999998E-2</v>
      </c>
      <c r="G1469">
        <v>0.79700720000000003</v>
      </c>
      <c r="H1469">
        <v>0.18374289999999999</v>
      </c>
      <c r="Q1469" s="10">
        <f t="shared" si="64"/>
        <v>1.8698814247129564E-2</v>
      </c>
      <c r="AI1469">
        <v>0.1926197</v>
      </c>
      <c r="AJ1469">
        <f t="shared" si="63"/>
        <v>0.1926197</v>
      </c>
      <c r="AO1469">
        <v>0.1926197</v>
      </c>
      <c r="AR1469" s="8">
        <v>0</v>
      </c>
      <c r="AS1469">
        <v>2.9545689999999998</v>
      </c>
    </row>
    <row r="1470" spans="1:45" x14ac:dyDescent="0.25">
      <c r="A1470">
        <v>277</v>
      </c>
      <c r="B1470">
        <v>2000</v>
      </c>
      <c r="C1470" s="8">
        <v>0</v>
      </c>
      <c r="D1470">
        <v>0.17504459999999999</v>
      </c>
      <c r="E1470">
        <v>0.17139480000000001</v>
      </c>
      <c r="F1470">
        <v>4.08537E-2</v>
      </c>
      <c r="G1470">
        <v>0.6066066</v>
      </c>
      <c r="H1470">
        <v>0.16382969999999999</v>
      </c>
      <c r="Q1470" s="10">
        <f t="shared" si="64"/>
        <v>1.960640547263625E-2</v>
      </c>
      <c r="AI1470">
        <v>0.1230319</v>
      </c>
      <c r="AJ1470">
        <f t="shared" si="63"/>
        <v>0.1230319</v>
      </c>
      <c r="AO1470">
        <v>0.1230319</v>
      </c>
      <c r="AR1470" s="8">
        <v>0</v>
      </c>
      <c r="AS1470">
        <v>0.36060360000000002</v>
      </c>
    </row>
    <row r="1471" spans="1:45" x14ac:dyDescent="0.25">
      <c r="A1471">
        <v>277</v>
      </c>
      <c r="B1471">
        <v>2001</v>
      </c>
      <c r="C1471" s="8">
        <v>0</v>
      </c>
      <c r="D1471">
        <v>0.1926197</v>
      </c>
      <c r="E1471">
        <v>0.1369998</v>
      </c>
      <c r="F1471">
        <v>3.5041700000000002E-2</v>
      </c>
      <c r="G1471">
        <v>0.27615390000000001</v>
      </c>
      <c r="H1471">
        <v>0.1452532</v>
      </c>
      <c r="Q1471" s="10">
        <f t="shared" si="64"/>
        <v>3.5804588163953044E-2</v>
      </c>
      <c r="AI1471">
        <v>7.3428999999999994E-2</v>
      </c>
      <c r="AJ1471">
        <f t="shared" si="63"/>
        <v>7.3428999999999994E-2</v>
      </c>
      <c r="AO1471">
        <v>7.3428999999999994E-2</v>
      </c>
      <c r="AR1471" s="8">
        <v>0</v>
      </c>
      <c r="AS1471">
        <v>0.79700720000000003</v>
      </c>
    </row>
    <row r="1472" spans="1:45" x14ac:dyDescent="0.25">
      <c r="A1472">
        <v>277</v>
      </c>
      <c r="B1472">
        <v>2002</v>
      </c>
      <c r="C1472" s="8">
        <v>0</v>
      </c>
      <c r="D1472">
        <v>0.1230319</v>
      </c>
      <c r="E1472">
        <v>5.9874700000000003E-2</v>
      </c>
      <c r="F1472">
        <v>4.5137900000000002E-2</v>
      </c>
      <c r="G1472">
        <v>0.32176969999999999</v>
      </c>
      <c r="H1472">
        <v>0.1763747</v>
      </c>
      <c r="Q1472" s="10">
        <f t="shared" si="64"/>
        <v>3.4089565800741829E-2</v>
      </c>
      <c r="AI1472">
        <v>0.10728939999999999</v>
      </c>
      <c r="AJ1472">
        <f t="shared" si="63"/>
        <v>0.10728939999999999</v>
      </c>
      <c r="AO1472">
        <v>0.10728939999999999</v>
      </c>
      <c r="AR1472" s="8">
        <v>0</v>
      </c>
      <c r="AS1472">
        <v>0.6066066</v>
      </c>
    </row>
    <row r="1473" spans="1:45" x14ac:dyDescent="0.25">
      <c r="A1473">
        <v>277</v>
      </c>
      <c r="B1473">
        <v>2003</v>
      </c>
      <c r="C1473" s="8">
        <v>0</v>
      </c>
      <c r="D1473">
        <v>7.3428999999999994E-2</v>
      </c>
      <c r="E1473">
        <v>2.0519099999999998E-2</v>
      </c>
      <c r="F1473">
        <v>4.5816299999999997E-2</v>
      </c>
      <c r="G1473">
        <v>0.33842410000000001</v>
      </c>
      <c r="H1473">
        <v>0.15598670000000001</v>
      </c>
      <c r="Q1473" s="10">
        <f t="shared" si="64"/>
        <v>3.3829312911056959E-2</v>
      </c>
      <c r="AI1473">
        <v>0.18353839999999999</v>
      </c>
      <c r="AJ1473">
        <f t="shared" si="63"/>
        <v>0.18353839999999999</v>
      </c>
      <c r="AO1473">
        <v>0.18353839999999999</v>
      </c>
      <c r="AR1473" s="8">
        <v>0</v>
      </c>
      <c r="AS1473">
        <v>0.27615390000000001</v>
      </c>
    </row>
    <row r="1474" spans="1:45" x14ac:dyDescent="0.25">
      <c r="A1474">
        <v>277</v>
      </c>
      <c r="B1474">
        <v>2004</v>
      </c>
      <c r="C1474" s="8">
        <v>0</v>
      </c>
      <c r="D1474">
        <v>0.10728939999999999</v>
      </c>
      <c r="E1474">
        <v>4.2527500000000003E-2</v>
      </c>
      <c r="F1474">
        <v>2.1659999999999999E-2</v>
      </c>
      <c r="G1474">
        <v>1.013609</v>
      </c>
      <c r="H1474">
        <v>0.14080129999999999</v>
      </c>
      <c r="Q1474" s="10">
        <f t="shared" si="64"/>
        <v>1.3896343456276371E-2</v>
      </c>
      <c r="AI1474">
        <v>0.23874680000000001</v>
      </c>
      <c r="AJ1474">
        <f t="shared" si="63"/>
        <v>0.23874680000000001</v>
      </c>
      <c r="AO1474">
        <v>0.23874680000000001</v>
      </c>
      <c r="AR1474" s="8">
        <v>0</v>
      </c>
      <c r="AS1474">
        <v>0.32176969999999999</v>
      </c>
    </row>
    <row r="1475" spans="1:45" x14ac:dyDescent="0.25">
      <c r="A1475">
        <v>278</v>
      </c>
      <c r="B1475">
        <v>1995</v>
      </c>
      <c r="C1475" s="8">
        <v>0</v>
      </c>
      <c r="D1475">
        <v>0.18353839999999999</v>
      </c>
      <c r="E1475">
        <v>0.3734188</v>
      </c>
      <c r="F1475">
        <v>6.6791199999999995E-2</v>
      </c>
      <c r="G1475">
        <v>9.3119449999999997</v>
      </c>
      <c r="H1475">
        <v>0.5340009</v>
      </c>
      <c r="Q1475" s="10">
        <f t="shared" si="64"/>
        <v>1.4441283994884074E-8</v>
      </c>
      <c r="AI1475">
        <v>0.2197654</v>
      </c>
      <c r="AJ1475">
        <f t="shared" si="63"/>
        <v>0.2197654</v>
      </c>
      <c r="AO1475">
        <v>0.2197654</v>
      </c>
      <c r="AR1475" s="8">
        <v>0</v>
      </c>
      <c r="AS1475">
        <v>0.33842410000000001</v>
      </c>
    </row>
    <row r="1476" spans="1:45" x14ac:dyDescent="0.25">
      <c r="A1476">
        <v>278</v>
      </c>
      <c r="B1476">
        <v>1996</v>
      </c>
      <c r="C1476" s="8">
        <v>0</v>
      </c>
      <c r="D1476">
        <v>0.23874680000000001</v>
      </c>
      <c r="E1476">
        <v>0.40074549999999998</v>
      </c>
      <c r="F1476">
        <v>7.3288699999999998E-2</v>
      </c>
      <c r="G1476">
        <v>7.0470079999999999</v>
      </c>
      <c r="H1476">
        <v>0.57328100000000004</v>
      </c>
      <c r="Q1476" s="10">
        <f t="shared" si="64"/>
        <v>5.1029770671034761E-7</v>
      </c>
      <c r="AI1476">
        <v>0.18685640000000001</v>
      </c>
      <c r="AJ1476">
        <f t="shared" si="63"/>
        <v>0.18685640000000001</v>
      </c>
      <c r="AO1476">
        <v>0.18685640000000001</v>
      </c>
      <c r="AR1476" s="8">
        <v>0</v>
      </c>
      <c r="AS1476">
        <v>1.013609</v>
      </c>
    </row>
    <row r="1477" spans="1:45" x14ac:dyDescent="0.25">
      <c r="A1477">
        <v>278</v>
      </c>
      <c r="B1477">
        <v>1997</v>
      </c>
      <c r="C1477" s="8">
        <v>0</v>
      </c>
      <c r="D1477">
        <v>0.2197654</v>
      </c>
      <c r="E1477">
        <v>0.40558860000000002</v>
      </c>
      <c r="F1477">
        <v>8.04343E-2</v>
      </c>
      <c r="G1477">
        <v>10.75517</v>
      </c>
      <c r="H1477">
        <v>0.53564979999999995</v>
      </c>
      <c r="Q1477" s="10">
        <f t="shared" si="64"/>
        <v>1.2589809829882182E-9</v>
      </c>
      <c r="AI1477">
        <v>0.19791909999999999</v>
      </c>
      <c r="AJ1477">
        <f t="shared" ref="AJ1477:AJ1540" si="65">MAX(MIN(AI1477,AM$5),AM$4)</f>
        <v>0.19791909999999999</v>
      </c>
      <c r="AO1477">
        <v>0.19791909999999999</v>
      </c>
      <c r="AR1477" s="8">
        <v>0</v>
      </c>
      <c r="AS1477">
        <v>9.3119449999999997</v>
      </c>
    </row>
    <row r="1478" spans="1:45" x14ac:dyDescent="0.25">
      <c r="A1478">
        <v>278</v>
      </c>
      <c r="B1478">
        <v>1998</v>
      </c>
      <c r="C1478" s="8">
        <v>0</v>
      </c>
      <c r="D1478">
        <v>0.18685640000000001</v>
      </c>
      <c r="E1478">
        <v>0.47088629999999998</v>
      </c>
      <c r="F1478">
        <v>9.3429999999999999E-2</v>
      </c>
      <c r="G1478">
        <v>18.914529999999999</v>
      </c>
      <c r="H1478">
        <v>0.57070419999999999</v>
      </c>
      <c r="Q1478" s="10">
        <f t="shared" si="64"/>
        <v>2.3450188138725208E-15</v>
      </c>
      <c r="AI1478">
        <v>0.1870203</v>
      </c>
      <c r="AJ1478">
        <f t="shared" si="65"/>
        <v>0.1870203</v>
      </c>
      <c r="AO1478">
        <v>0.1870203</v>
      </c>
      <c r="AR1478" s="8">
        <v>0</v>
      </c>
      <c r="AS1478">
        <v>7.0470079999999999</v>
      </c>
    </row>
    <row r="1479" spans="1:45" x14ac:dyDescent="0.25">
      <c r="A1479">
        <v>278</v>
      </c>
      <c r="B1479">
        <v>1999</v>
      </c>
      <c r="C1479" s="8">
        <v>0</v>
      </c>
      <c r="D1479">
        <v>0.19791909999999999</v>
      </c>
      <c r="E1479">
        <v>0.48913810000000002</v>
      </c>
      <c r="F1479">
        <v>8.9363999999999999E-2</v>
      </c>
      <c r="G1479">
        <v>27.542770000000001</v>
      </c>
      <c r="H1479">
        <v>0.57048209999999999</v>
      </c>
      <c r="Q1479" s="10">
        <f t="shared" ref="Q1479:Q1542" si="66">1/(1+EXP(-(J$6+SUMPRODUCT(K$6:O$6,D1479:H1479))))</f>
        <v>2.5302624752838044E-21</v>
      </c>
      <c r="AI1479">
        <v>0.16782649999999999</v>
      </c>
      <c r="AJ1479">
        <f t="shared" si="65"/>
        <v>0.16782649999999999</v>
      </c>
      <c r="AO1479">
        <v>0.16782649999999999</v>
      </c>
      <c r="AR1479" s="8">
        <v>0</v>
      </c>
      <c r="AS1479">
        <v>10.75517</v>
      </c>
    </row>
    <row r="1480" spans="1:45" x14ac:dyDescent="0.25">
      <c r="A1480">
        <v>278</v>
      </c>
      <c r="B1480">
        <v>2000</v>
      </c>
      <c r="C1480" s="8">
        <v>0</v>
      </c>
      <c r="D1480">
        <v>0.1870203</v>
      </c>
      <c r="E1480">
        <v>0.49645109999999998</v>
      </c>
      <c r="F1480">
        <v>7.7915399999999996E-2</v>
      </c>
      <c r="G1480">
        <v>17.55969</v>
      </c>
      <c r="H1480">
        <v>0.50274649999999999</v>
      </c>
      <c r="Q1480" s="10">
        <f t="shared" si="66"/>
        <v>2.1247562566781201E-14</v>
      </c>
      <c r="AI1480">
        <v>0.14929310000000001</v>
      </c>
      <c r="AJ1480">
        <f t="shared" si="65"/>
        <v>0.14929310000000001</v>
      </c>
      <c r="AO1480">
        <v>0.14929310000000001</v>
      </c>
      <c r="AR1480" s="8">
        <v>0</v>
      </c>
      <c r="AS1480">
        <v>18.914529999999999</v>
      </c>
    </row>
    <row r="1481" spans="1:45" x14ac:dyDescent="0.25">
      <c r="A1481">
        <v>278</v>
      </c>
      <c r="B1481">
        <v>2001</v>
      </c>
      <c r="C1481" s="8">
        <v>0</v>
      </c>
      <c r="D1481">
        <v>0.16782649999999999</v>
      </c>
      <c r="E1481">
        <v>0.50296529999999995</v>
      </c>
      <c r="F1481">
        <v>7.3828900000000003E-2</v>
      </c>
      <c r="G1481">
        <v>14.154170000000001</v>
      </c>
      <c r="H1481">
        <v>0.54501940000000004</v>
      </c>
      <c r="Q1481" s="10">
        <f t="shared" si="66"/>
        <v>5.0377715420991819E-12</v>
      </c>
      <c r="AI1481">
        <v>0.13180710000000001</v>
      </c>
      <c r="AJ1481">
        <f t="shared" si="65"/>
        <v>0.13180710000000001</v>
      </c>
      <c r="AO1481">
        <v>0.13180710000000001</v>
      </c>
      <c r="AR1481" s="8">
        <v>0</v>
      </c>
      <c r="AS1481">
        <v>27.542770000000001</v>
      </c>
    </row>
    <row r="1482" spans="1:45" x14ac:dyDescent="0.25">
      <c r="A1482">
        <v>278</v>
      </c>
      <c r="B1482">
        <v>2002</v>
      </c>
      <c r="C1482" s="8">
        <v>0</v>
      </c>
      <c r="D1482">
        <v>0.14929310000000001</v>
      </c>
      <c r="E1482">
        <v>0.55329660000000003</v>
      </c>
      <c r="F1482">
        <v>7.48973E-2</v>
      </c>
      <c r="G1482">
        <v>4.7817800000000004</v>
      </c>
      <c r="H1482">
        <v>0.47590369999999999</v>
      </c>
      <c r="Q1482" s="10">
        <f t="shared" si="66"/>
        <v>1.3531017746084284E-5</v>
      </c>
      <c r="AI1482">
        <v>0.1213902</v>
      </c>
      <c r="AJ1482">
        <f t="shared" si="65"/>
        <v>0.1213902</v>
      </c>
      <c r="AO1482">
        <v>0.1213902</v>
      </c>
      <c r="AR1482" s="8">
        <v>0</v>
      </c>
      <c r="AS1482">
        <v>17.55969</v>
      </c>
    </row>
    <row r="1483" spans="1:45" x14ac:dyDescent="0.25">
      <c r="A1483">
        <v>278</v>
      </c>
      <c r="B1483">
        <v>2003</v>
      </c>
      <c r="C1483" s="8">
        <v>0</v>
      </c>
      <c r="D1483">
        <v>0.13180710000000001</v>
      </c>
      <c r="E1483">
        <v>0.59694449999999999</v>
      </c>
      <c r="F1483">
        <v>7.84305E-2</v>
      </c>
      <c r="G1483">
        <v>6.7333920000000003</v>
      </c>
      <c r="H1483">
        <v>0.46682170000000001</v>
      </c>
      <c r="Q1483" s="10">
        <f t="shared" si="66"/>
        <v>5.4352392259530929E-7</v>
      </c>
      <c r="AI1483">
        <v>0.23379720000000001</v>
      </c>
      <c r="AJ1483">
        <f t="shared" si="65"/>
        <v>0.23379720000000001</v>
      </c>
      <c r="AO1483">
        <v>0.23379720000000001</v>
      </c>
      <c r="AR1483" s="8">
        <v>0</v>
      </c>
      <c r="AS1483">
        <v>14.154170000000001</v>
      </c>
    </row>
    <row r="1484" spans="1:45" x14ac:dyDescent="0.25">
      <c r="A1484">
        <v>278</v>
      </c>
      <c r="B1484">
        <v>2004</v>
      </c>
      <c r="C1484" s="8">
        <v>0</v>
      </c>
      <c r="D1484">
        <v>0.1213902</v>
      </c>
      <c r="E1484">
        <v>0.65804339999999995</v>
      </c>
      <c r="F1484">
        <v>7.2194499999999995E-2</v>
      </c>
      <c r="G1484">
        <v>6.1687620000000001</v>
      </c>
      <c r="H1484">
        <v>0.47319929999999999</v>
      </c>
      <c r="Q1484" s="10">
        <f t="shared" si="66"/>
        <v>1.2850369863997048E-6</v>
      </c>
      <c r="AI1484">
        <v>0.21476310000000001</v>
      </c>
      <c r="AJ1484">
        <f t="shared" si="65"/>
        <v>0.21476310000000001</v>
      </c>
      <c r="AO1484">
        <v>0.21476310000000001</v>
      </c>
      <c r="AR1484" s="8">
        <v>0</v>
      </c>
      <c r="AS1484">
        <v>4.7817800000000004</v>
      </c>
    </row>
    <row r="1485" spans="1:45" x14ac:dyDescent="0.25">
      <c r="A1485">
        <v>279</v>
      </c>
      <c r="B1485">
        <v>1995</v>
      </c>
      <c r="C1485" s="8">
        <v>0</v>
      </c>
      <c r="D1485">
        <v>0.23379720000000001</v>
      </c>
      <c r="E1485">
        <v>0.1152393</v>
      </c>
      <c r="F1485">
        <v>4.6764800000000002E-2</v>
      </c>
      <c r="G1485">
        <v>3.22</v>
      </c>
      <c r="H1485">
        <v>0.17568619999999999</v>
      </c>
      <c r="Q1485" s="10">
        <f t="shared" si="66"/>
        <v>3.3177426427066206E-4</v>
      </c>
      <c r="AI1485">
        <v>0.23664959999999999</v>
      </c>
      <c r="AJ1485">
        <f t="shared" si="65"/>
        <v>0.23664959999999999</v>
      </c>
      <c r="AO1485">
        <v>0.23664959999999999</v>
      </c>
      <c r="AR1485" s="8">
        <v>0</v>
      </c>
      <c r="AS1485">
        <v>6.7333920000000003</v>
      </c>
    </row>
    <row r="1486" spans="1:45" x14ac:dyDescent="0.25">
      <c r="A1486">
        <v>279</v>
      </c>
      <c r="B1486">
        <v>1996</v>
      </c>
      <c r="C1486" s="8">
        <v>0</v>
      </c>
      <c r="D1486">
        <v>0.21476310000000001</v>
      </c>
      <c r="E1486">
        <v>0.1369022</v>
      </c>
      <c r="F1486">
        <v>4.8189599999999999E-2</v>
      </c>
      <c r="G1486">
        <v>2.9532829999999999</v>
      </c>
      <c r="H1486">
        <v>0.1475805</v>
      </c>
      <c r="Q1486" s="10">
        <f t="shared" si="66"/>
        <v>4.7397309233598417E-4</v>
      </c>
      <c r="AI1486">
        <v>0.215915</v>
      </c>
      <c r="AJ1486">
        <f t="shared" si="65"/>
        <v>0.215915</v>
      </c>
      <c r="AO1486">
        <v>0.215915</v>
      </c>
      <c r="AR1486" s="8">
        <v>0</v>
      </c>
      <c r="AS1486">
        <v>6.1687620000000001</v>
      </c>
    </row>
    <row r="1487" spans="1:45" x14ac:dyDescent="0.25">
      <c r="A1487">
        <v>279</v>
      </c>
      <c r="B1487">
        <v>1997</v>
      </c>
      <c r="C1487" s="8">
        <v>0</v>
      </c>
      <c r="D1487">
        <v>0.23664959999999999</v>
      </c>
      <c r="E1487">
        <v>-2.5876900000000001E-2</v>
      </c>
      <c r="F1487">
        <v>1.4050200000000001E-2</v>
      </c>
      <c r="G1487">
        <v>1.698472</v>
      </c>
      <c r="H1487">
        <v>0.20013130000000001</v>
      </c>
      <c r="Q1487" s="10">
        <f t="shared" si="66"/>
        <v>6.0428241022956767E-3</v>
      </c>
      <c r="AI1487">
        <v>0.16255339999999999</v>
      </c>
      <c r="AJ1487">
        <f t="shared" si="65"/>
        <v>0.16255339999999999</v>
      </c>
      <c r="AO1487">
        <v>0.16255339999999999</v>
      </c>
      <c r="AR1487" s="8">
        <v>0</v>
      </c>
      <c r="AS1487">
        <v>3.22</v>
      </c>
    </row>
    <row r="1488" spans="1:45" x14ac:dyDescent="0.25">
      <c r="A1488">
        <v>279</v>
      </c>
      <c r="B1488">
        <v>1998</v>
      </c>
      <c r="C1488" s="8">
        <v>0</v>
      </c>
      <c r="D1488">
        <v>0.215915</v>
      </c>
      <c r="E1488">
        <v>-0.20815120000000001</v>
      </c>
      <c r="F1488">
        <v>3.3295999999999999E-2</v>
      </c>
      <c r="G1488">
        <v>2.420064</v>
      </c>
      <c r="H1488">
        <v>0.1534179</v>
      </c>
      <c r="Q1488" s="10">
        <f t="shared" si="66"/>
        <v>2.0677862753243695E-3</v>
      </c>
      <c r="AI1488">
        <v>0.1854124</v>
      </c>
      <c r="AJ1488">
        <f t="shared" si="65"/>
        <v>0.1854124</v>
      </c>
      <c r="AO1488">
        <v>0.1854124</v>
      </c>
      <c r="AR1488" s="8">
        <v>0</v>
      </c>
      <c r="AS1488">
        <v>2.9532829999999999</v>
      </c>
    </row>
    <row r="1489" spans="1:45" x14ac:dyDescent="0.25">
      <c r="A1489">
        <v>279</v>
      </c>
      <c r="B1489">
        <v>2000</v>
      </c>
      <c r="C1489" s="8">
        <v>0</v>
      </c>
      <c r="D1489">
        <v>0.16255339999999999</v>
      </c>
      <c r="E1489">
        <v>-0.44794929999999999</v>
      </c>
      <c r="F1489">
        <v>2.54367E-2</v>
      </c>
      <c r="G1489">
        <v>1.363785</v>
      </c>
      <c r="H1489">
        <v>0.1486796</v>
      </c>
      <c r="Q1489" s="10">
        <f t="shared" si="66"/>
        <v>1.6151843053121531E-2</v>
      </c>
      <c r="AI1489">
        <v>0.20234659999999999</v>
      </c>
      <c r="AJ1489">
        <f t="shared" si="65"/>
        <v>0.20234659999999999</v>
      </c>
      <c r="AO1489">
        <v>0.20234659999999999</v>
      </c>
      <c r="AR1489" s="8">
        <v>0</v>
      </c>
      <c r="AS1489">
        <v>1.698472</v>
      </c>
    </row>
    <row r="1490" spans="1:45" x14ac:dyDescent="0.25">
      <c r="A1490">
        <v>280</v>
      </c>
      <c r="B1490">
        <v>1995</v>
      </c>
      <c r="C1490" s="8">
        <v>0</v>
      </c>
      <c r="D1490">
        <v>0.1854124</v>
      </c>
      <c r="E1490">
        <v>0.60753710000000005</v>
      </c>
      <c r="F1490">
        <v>6.2825800000000001E-2</v>
      </c>
      <c r="G1490">
        <v>2.0745779999999998</v>
      </c>
      <c r="H1490">
        <v>0.41908909999999999</v>
      </c>
      <c r="Q1490" s="10">
        <f t="shared" si="66"/>
        <v>1.0078992487093177E-3</v>
      </c>
      <c r="AI1490">
        <v>0.1923067</v>
      </c>
      <c r="AJ1490">
        <f t="shared" si="65"/>
        <v>0.1923067</v>
      </c>
      <c r="AO1490">
        <v>0.1923067</v>
      </c>
      <c r="AR1490" s="8">
        <v>0</v>
      </c>
      <c r="AS1490">
        <v>2.420064</v>
      </c>
    </row>
    <row r="1491" spans="1:45" x14ac:dyDescent="0.25">
      <c r="A1491">
        <v>280</v>
      </c>
      <c r="B1491">
        <v>1996</v>
      </c>
      <c r="C1491" s="8">
        <v>0</v>
      </c>
      <c r="D1491">
        <v>0.20234659999999999</v>
      </c>
      <c r="E1491">
        <v>0.59496519999999997</v>
      </c>
      <c r="F1491">
        <v>6.6884600000000002E-2</v>
      </c>
      <c r="G1491">
        <v>2.5504009999999999</v>
      </c>
      <c r="H1491">
        <v>0.41491299999999998</v>
      </c>
      <c r="Q1491" s="10">
        <f t="shared" si="66"/>
        <v>4.678453551176312E-4</v>
      </c>
      <c r="AI1491">
        <v>0.17916899999999999</v>
      </c>
      <c r="AJ1491">
        <f t="shared" si="65"/>
        <v>0.17916899999999999</v>
      </c>
      <c r="AO1491">
        <v>0.17916899999999999</v>
      </c>
      <c r="AR1491" s="8">
        <v>0</v>
      </c>
      <c r="AS1491">
        <v>1.363785</v>
      </c>
    </row>
    <row r="1492" spans="1:45" x14ac:dyDescent="0.25">
      <c r="A1492">
        <v>280</v>
      </c>
      <c r="B1492">
        <v>1997</v>
      </c>
      <c r="C1492" s="8">
        <v>0</v>
      </c>
      <c r="D1492">
        <v>0.1923067</v>
      </c>
      <c r="E1492">
        <v>0.55705590000000005</v>
      </c>
      <c r="F1492">
        <v>8.5747599999999993E-2</v>
      </c>
      <c r="G1492">
        <v>2.1751740000000002</v>
      </c>
      <c r="H1492">
        <v>0.38974039999999999</v>
      </c>
      <c r="Q1492" s="10">
        <f t="shared" si="66"/>
        <v>7.5769546053489013E-4</v>
      </c>
      <c r="AI1492">
        <v>0.2298375</v>
      </c>
      <c r="AJ1492">
        <f t="shared" si="65"/>
        <v>0.2298375</v>
      </c>
      <c r="AO1492">
        <v>0.2298375</v>
      </c>
      <c r="AR1492" s="8">
        <v>0</v>
      </c>
      <c r="AS1492">
        <v>2.0745779999999998</v>
      </c>
    </row>
    <row r="1493" spans="1:45" x14ac:dyDescent="0.25">
      <c r="A1493">
        <v>280</v>
      </c>
      <c r="B1493">
        <v>1998</v>
      </c>
      <c r="C1493" s="8">
        <v>0</v>
      </c>
      <c r="D1493">
        <v>0.17916899999999999</v>
      </c>
      <c r="E1493">
        <v>0.55710360000000003</v>
      </c>
      <c r="F1493">
        <v>8.1701099999999999E-2</v>
      </c>
      <c r="G1493">
        <v>2.1807859999999999</v>
      </c>
      <c r="H1493">
        <v>0.34889530000000002</v>
      </c>
      <c r="Q1493" s="10">
        <f t="shared" si="66"/>
        <v>7.5211254211334313E-4</v>
      </c>
      <c r="AI1493">
        <v>0.26622020000000002</v>
      </c>
      <c r="AJ1493">
        <f t="shared" si="65"/>
        <v>0.26622020000000002</v>
      </c>
      <c r="AO1493">
        <v>0.26622020000000002</v>
      </c>
      <c r="AR1493" s="8">
        <v>0</v>
      </c>
      <c r="AS1493">
        <v>2.5504009999999999</v>
      </c>
    </row>
    <row r="1494" spans="1:45" x14ac:dyDescent="0.25">
      <c r="A1494">
        <v>281</v>
      </c>
      <c r="B1494">
        <v>2001</v>
      </c>
      <c r="C1494" s="8">
        <v>0</v>
      </c>
      <c r="D1494">
        <v>0.2298375</v>
      </c>
      <c r="E1494">
        <v>0.50252140000000001</v>
      </c>
      <c r="F1494">
        <v>7.6724000000000001E-2</v>
      </c>
      <c r="G1494">
        <v>2.9007000000000001</v>
      </c>
      <c r="H1494">
        <v>0.51492910000000003</v>
      </c>
      <c r="Q1494" s="10">
        <f t="shared" si="66"/>
        <v>3.0464585685091713E-4</v>
      </c>
      <c r="AI1494">
        <v>0.1978337</v>
      </c>
      <c r="AJ1494">
        <f t="shared" si="65"/>
        <v>0.1978337</v>
      </c>
      <c r="AO1494">
        <v>0.1978337</v>
      </c>
      <c r="AR1494" s="8">
        <v>0</v>
      </c>
      <c r="AS1494">
        <v>2.1751740000000002</v>
      </c>
    </row>
    <row r="1495" spans="1:45" x14ac:dyDescent="0.25">
      <c r="A1495">
        <v>281</v>
      </c>
      <c r="B1495">
        <v>2002</v>
      </c>
      <c r="C1495" s="8">
        <v>0</v>
      </c>
      <c r="D1495">
        <v>0.26622020000000002</v>
      </c>
      <c r="E1495">
        <v>0.5258891</v>
      </c>
      <c r="F1495">
        <v>8.8365299999999994E-2</v>
      </c>
      <c r="G1495">
        <v>3.05647</v>
      </c>
      <c r="H1495">
        <v>0.50330810000000004</v>
      </c>
      <c r="Q1495" s="10">
        <f t="shared" si="66"/>
        <v>2.1098518621681154E-4</v>
      </c>
      <c r="AI1495">
        <v>0.25537500000000002</v>
      </c>
      <c r="AJ1495">
        <f t="shared" si="65"/>
        <v>0.25537500000000002</v>
      </c>
      <c r="AO1495">
        <v>0.25537500000000002</v>
      </c>
      <c r="AR1495" s="8">
        <v>0</v>
      </c>
      <c r="AS1495">
        <v>2.1807859999999999</v>
      </c>
    </row>
    <row r="1496" spans="1:45" x14ac:dyDescent="0.25">
      <c r="A1496">
        <v>281</v>
      </c>
      <c r="B1496">
        <v>2003</v>
      </c>
      <c r="C1496" s="8">
        <v>0</v>
      </c>
      <c r="D1496">
        <v>0.1978337</v>
      </c>
      <c r="E1496">
        <v>0.54735040000000001</v>
      </c>
      <c r="F1496">
        <v>7.9312300000000002E-2</v>
      </c>
      <c r="G1496">
        <v>3.0364140000000002</v>
      </c>
      <c r="H1496">
        <v>0.5133626</v>
      </c>
      <c r="Q1496" s="10">
        <f t="shared" si="66"/>
        <v>2.2203617697039494E-4</v>
      </c>
      <c r="AI1496">
        <v>-5.47302E-2</v>
      </c>
      <c r="AJ1496">
        <f t="shared" si="65"/>
        <v>-5.47302E-2</v>
      </c>
      <c r="AO1496">
        <v>-5.47302E-2</v>
      </c>
      <c r="AR1496" s="8">
        <v>0</v>
      </c>
      <c r="AS1496">
        <v>2.9007000000000001</v>
      </c>
    </row>
    <row r="1497" spans="1:45" x14ac:dyDescent="0.25">
      <c r="A1497">
        <v>281</v>
      </c>
      <c r="B1497">
        <v>2004</v>
      </c>
      <c r="C1497" s="8">
        <v>0</v>
      </c>
      <c r="D1497">
        <v>0.25537500000000002</v>
      </c>
      <c r="E1497">
        <v>0.57429589999999997</v>
      </c>
      <c r="F1497">
        <v>6.0458600000000001E-2</v>
      </c>
      <c r="G1497">
        <v>3.4672909999999999</v>
      </c>
      <c r="H1497">
        <v>0.56347659999999999</v>
      </c>
      <c r="Q1497" s="10">
        <f t="shared" si="66"/>
        <v>1.3200255802045343E-4</v>
      </c>
      <c r="AI1497">
        <v>-2.39504E-2</v>
      </c>
      <c r="AJ1497">
        <f t="shared" si="65"/>
        <v>-2.39504E-2</v>
      </c>
      <c r="AO1497">
        <v>-2.39504E-2</v>
      </c>
      <c r="AR1497" s="8">
        <v>0</v>
      </c>
      <c r="AS1497">
        <v>3.05647</v>
      </c>
    </row>
    <row r="1498" spans="1:45" x14ac:dyDescent="0.25">
      <c r="A1498">
        <v>282</v>
      </c>
      <c r="B1498">
        <v>1999</v>
      </c>
      <c r="C1498" s="8">
        <v>0</v>
      </c>
      <c r="D1498">
        <v>-5.47302E-2</v>
      </c>
      <c r="E1498">
        <v>-4.28867E-2</v>
      </c>
      <c r="F1498">
        <v>4.2929500000000002E-2</v>
      </c>
      <c r="G1498">
        <v>0.52107999999999999</v>
      </c>
      <c r="H1498">
        <v>0.11969920000000001</v>
      </c>
      <c r="Q1498" s="10">
        <f t="shared" si="66"/>
        <v>2.6509014202455702E-2</v>
      </c>
      <c r="AI1498">
        <v>-3.2894800000000002E-2</v>
      </c>
      <c r="AJ1498">
        <f t="shared" si="65"/>
        <v>-3.2894800000000002E-2</v>
      </c>
      <c r="AO1498">
        <v>-3.2894800000000002E-2</v>
      </c>
      <c r="AR1498" s="8">
        <v>0</v>
      </c>
      <c r="AS1498">
        <v>3.0364140000000002</v>
      </c>
    </row>
    <row r="1499" spans="1:45" x14ac:dyDescent="0.25">
      <c r="A1499">
        <v>282</v>
      </c>
      <c r="B1499">
        <v>2000</v>
      </c>
      <c r="C1499" s="8">
        <v>0</v>
      </c>
      <c r="D1499">
        <v>-2.39504E-2</v>
      </c>
      <c r="E1499">
        <v>-4.6770300000000001E-2</v>
      </c>
      <c r="F1499">
        <v>5.35208E-2</v>
      </c>
      <c r="G1499">
        <v>0.81312640000000003</v>
      </c>
      <c r="H1499">
        <v>0.120366</v>
      </c>
      <c r="Q1499" s="10">
        <f t="shared" si="66"/>
        <v>1.5755069540255042E-2</v>
      </c>
      <c r="AI1499">
        <v>-8.0850599999999995E-2</v>
      </c>
      <c r="AJ1499">
        <f t="shared" si="65"/>
        <v>-8.0850599999999995E-2</v>
      </c>
      <c r="AO1499">
        <v>-8.0850599999999995E-2</v>
      </c>
      <c r="AR1499" s="8">
        <v>0</v>
      </c>
      <c r="AS1499">
        <v>3.4672909999999999</v>
      </c>
    </row>
    <row r="1500" spans="1:45" x14ac:dyDescent="0.25">
      <c r="A1500">
        <v>282</v>
      </c>
      <c r="B1500">
        <v>2001</v>
      </c>
      <c r="C1500" s="8">
        <v>0</v>
      </c>
      <c r="D1500">
        <v>-3.2894800000000002E-2</v>
      </c>
      <c r="E1500">
        <v>-5.1886500000000002E-2</v>
      </c>
      <c r="F1500">
        <v>5.1035499999999998E-2</v>
      </c>
      <c r="G1500">
        <v>0.71327450000000003</v>
      </c>
      <c r="H1500">
        <v>0.1075827</v>
      </c>
      <c r="Q1500" s="10">
        <f t="shared" si="66"/>
        <v>1.870837065870494E-2</v>
      </c>
      <c r="AI1500">
        <v>5.2970000000000003E-4</v>
      </c>
      <c r="AJ1500">
        <f t="shared" si="65"/>
        <v>5.2970000000000003E-4</v>
      </c>
      <c r="AO1500">
        <v>5.2970000000000003E-4</v>
      </c>
      <c r="AR1500" s="8">
        <v>0</v>
      </c>
      <c r="AS1500">
        <v>0.52107999999999999</v>
      </c>
    </row>
    <row r="1501" spans="1:45" x14ac:dyDescent="0.25">
      <c r="A1501">
        <v>282</v>
      </c>
      <c r="B1501">
        <v>2002</v>
      </c>
      <c r="C1501" s="8">
        <v>0</v>
      </c>
      <c r="D1501">
        <v>-8.0850599999999995E-2</v>
      </c>
      <c r="E1501">
        <v>-3.1018899999999999E-2</v>
      </c>
      <c r="F1501">
        <v>3.9364900000000001E-2</v>
      </c>
      <c r="G1501">
        <v>0.60669139999999999</v>
      </c>
      <c r="H1501">
        <v>0.124602</v>
      </c>
      <c r="Q1501" s="10">
        <f t="shared" si="66"/>
        <v>2.32855369510464E-2</v>
      </c>
      <c r="AI1501">
        <v>-8.7276000000000003E-3</v>
      </c>
      <c r="AJ1501">
        <f t="shared" si="65"/>
        <v>-8.7276000000000003E-3</v>
      </c>
      <c r="AO1501">
        <v>-8.7276000000000003E-3</v>
      </c>
      <c r="AR1501" s="8">
        <v>0</v>
      </c>
      <c r="AS1501">
        <v>0.81312640000000003</v>
      </c>
    </row>
    <row r="1502" spans="1:45" x14ac:dyDescent="0.25">
      <c r="A1502">
        <v>282</v>
      </c>
      <c r="B1502">
        <v>2003</v>
      </c>
      <c r="C1502" s="8">
        <v>0</v>
      </c>
      <c r="D1502">
        <v>5.2970000000000003E-4</v>
      </c>
      <c r="E1502">
        <v>-2.80013E-2</v>
      </c>
      <c r="F1502">
        <v>4.6283900000000003E-2</v>
      </c>
      <c r="G1502">
        <v>0.98051889999999997</v>
      </c>
      <c r="H1502">
        <v>0.13842199999999999</v>
      </c>
      <c r="Q1502" s="10">
        <f t="shared" si="66"/>
        <v>1.2748183595861311E-2</v>
      </c>
      <c r="AI1502">
        <v>5.4248999999999999E-2</v>
      </c>
      <c r="AJ1502">
        <f t="shared" si="65"/>
        <v>5.4248999999999999E-2</v>
      </c>
      <c r="AO1502">
        <v>5.4248999999999999E-2</v>
      </c>
      <c r="AR1502" s="8">
        <v>0</v>
      </c>
      <c r="AS1502">
        <v>0.71327450000000003</v>
      </c>
    </row>
    <row r="1503" spans="1:45" x14ac:dyDescent="0.25">
      <c r="A1503">
        <v>282</v>
      </c>
      <c r="B1503">
        <v>2004</v>
      </c>
      <c r="C1503" s="8">
        <v>0</v>
      </c>
      <c r="D1503">
        <v>-8.7276000000000003E-3</v>
      </c>
      <c r="E1503">
        <v>-1.2266600000000001E-2</v>
      </c>
      <c r="F1503">
        <v>5.6019699999999999E-2</v>
      </c>
      <c r="G1503">
        <v>1.652666</v>
      </c>
      <c r="H1503">
        <v>0.1523312</v>
      </c>
      <c r="Q1503" s="10">
        <f t="shared" si="66"/>
        <v>4.0032469010968501E-3</v>
      </c>
      <c r="AI1503">
        <v>0.1883368</v>
      </c>
      <c r="AJ1503">
        <f t="shared" si="65"/>
        <v>0.1883368</v>
      </c>
      <c r="AO1503">
        <v>0.1883368</v>
      </c>
      <c r="AR1503" s="8">
        <v>0</v>
      </c>
      <c r="AS1503">
        <v>0.60669139999999999</v>
      </c>
    </row>
    <row r="1504" spans="1:45" x14ac:dyDescent="0.25">
      <c r="A1504">
        <v>283</v>
      </c>
      <c r="B1504">
        <v>1995</v>
      </c>
      <c r="C1504" s="8">
        <v>0</v>
      </c>
      <c r="D1504">
        <v>5.4248999999999999E-2</v>
      </c>
      <c r="E1504">
        <v>0.22241620000000001</v>
      </c>
      <c r="F1504">
        <v>1.17074E-2</v>
      </c>
      <c r="G1504">
        <v>0.8099847</v>
      </c>
      <c r="H1504">
        <v>0.12309870000000001</v>
      </c>
      <c r="Q1504" s="10">
        <f t="shared" si="66"/>
        <v>1.5480965882026475E-2</v>
      </c>
      <c r="AI1504">
        <v>0.1230735</v>
      </c>
      <c r="AJ1504">
        <f t="shared" si="65"/>
        <v>0.1230735</v>
      </c>
      <c r="AO1504">
        <v>0.1230735</v>
      </c>
      <c r="AR1504" s="8">
        <v>0</v>
      </c>
      <c r="AS1504">
        <v>0.98051889999999997</v>
      </c>
    </row>
    <row r="1505" spans="1:45" x14ac:dyDescent="0.25">
      <c r="A1505">
        <v>283</v>
      </c>
      <c r="B1505">
        <v>1996</v>
      </c>
      <c r="C1505" s="8">
        <v>0</v>
      </c>
      <c r="D1505">
        <v>0.1883368</v>
      </c>
      <c r="E1505">
        <v>0.24194740000000001</v>
      </c>
      <c r="F1505">
        <v>6.7704000000000002E-3</v>
      </c>
      <c r="G1505">
        <v>1.1587149999999999</v>
      </c>
      <c r="H1505">
        <v>0.14578260000000001</v>
      </c>
      <c r="Q1505" s="10">
        <f t="shared" si="66"/>
        <v>9.6838844779243462E-3</v>
      </c>
      <c r="AI1505">
        <v>0.32000840000000003</v>
      </c>
      <c r="AJ1505">
        <f t="shared" si="65"/>
        <v>0.32000840000000003</v>
      </c>
      <c r="AO1505">
        <v>0.32000840000000003</v>
      </c>
      <c r="AR1505" s="8">
        <v>0</v>
      </c>
      <c r="AS1505">
        <v>1.652666</v>
      </c>
    </row>
    <row r="1506" spans="1:45" x14ac:dyDescent="0.25">
      <c r="A1506">
        <v>283</v>
      </c>
      <c r="B1506">
        <v>1997</v>
      </c>
      <c r="C1506" s="8">
        <v>0</v>
      </c>
      <c r="D1506">
        <v>0.1230735</v>
      </c>
      <c r="E1506">
        <v>0.3126796</v>
      </c>
      <c r="F1506">
        <v>1.5757299999999998E-2</v>
      </c>
      <c r="G1506">
        <v>1.7591190000000001</v>
      </c>
      <c r="H1506">
        <v>0.16277420000000001</v>
      </c>
      <c r="Q1506" s="10">
        <f t="shared" si="66"/>
        <v>3.0927134301477069E-3</v>
      </c>
      <c r="AI1506">
        <v>0.3118899</v>
      </c>
      <c r="AJ1506">
        <f t="shared" si="65"/>
        <v>0.3118899</v>
      </c>
      <c r="AO1506">
        <v>0.3118899</v>
      </c>
      <c r="AR1506" s="8">
        <v>0</v>
      </c>
      <c r="AS1506">
        <v>0.8099847</v>
      </c>
    </row>
    <row r="1507" spans="1:45" x14ac:dyDescent="0.25">
      <c r="A1507">
        <v>284</v>
      </c>
      <c r="B1507">
        <v>1995</v>
      </c>
      <c r="C1507" s="8">
        <v>0</v>
      </c>
      <c r="D1507">
        <v>0.32000840000000003</v>
      </c>
      <c r="E1507">
        <v>0.2492143</v>
      </c>
      <c r="F1507">
        <v>7.99179E-2</v>
      </c>
      <c r="G1507">
        <v>5.5910580000000003</v>
      </c>
      <c r="H1507">
        <v>0.3006819</v>
      </c>
      <c r="Q1507" s="10">
        <f t="shared" si="66"/>
        <v>5.3627064710974899E-6</v>
      </c>
      <c r="AI1507">
        <v>0.2936299</v>
      </c>
      <c r="AJ1507">
        <f t="shared" si="65"/>
        <v>0.2936299</v>
      </c>
      <c r="AO1507">
        <v>0.2936299</v>
      </c>
      <c r="AR1507" s="8">
        <v>0</v>
      </c>
      <c r="AS1507">
        <v>1.1587149999999999</v>
      </c>
    </row>
    <row r="1508" spans="1:45" x14ac:dyDescent="0.25">
      <c r="A1508">
        <v>284</v>
      </c>
      <c r="B1508">
        <v>1996</v>
      </c>
      <c r="C1508" s="8">
        <v>0</v>
      </c>
      <c r="D1508">
        <v>0.3118899</v>
      </c>
      <c r="E1508">
        <v>0.29249550000000002</v>
      </c>
      <c r="F1508">
        <v>7.5550699999999998E-2</v>
      </c>
      <c r="G1508">
        <v>6.487215</v>
      </c>
      <c r="H1508">
        <v>0.30729469999999998</v>
      </c>
      <c r="Q1508" s="10">
        <f t="shared" si="66"/>
        <v>1.2511934515076508E-6</v>
      </c>
      <c r="AI1508">
        <v>0.18560750000000001</v>
      </c>
      <c r="AJ1508">
        <f t="shared" si="65"/>
        <v>0.18560750000000001</v>
      </c>
      <c r="AO1508">
        <v>0.18560750000000001</v>
      </c>
      <c r="AR1508" s="8">
        <v>0</v>
      </c>
      <c r="AS1508">
        <v>1.7591190000000001</v>
      </c>
    </row>
    <row r="1509" spans="1:45" x14ac:dyDescent="0.25">
      <c r="A1509">
        <v>284</v>
      </c>
      <c r="B1509">
        <v>1997</v>
      </c>
      <c r="C1509" s="8">
        <v>0</v>
      </c>
      <c r="D1509">
        <v>0.2936299</v>
      </c>
      <c r="E1509">
        <v>0.3106525</v>
      </c>
      <c r="F1509">
        <v>8.8937500000000003E-2</v>
      </c>
      <c r="G1509">
        <v>7.3001389999999997</v>
      </c>
      <c r="H1509">
        <v>0.30009479999999999</v>
      </c>
      <c r="Q1509" s="10">
        <f t="shared" si="66"/>
        <v>2.9615171859862439E-7</v>
      </c>
      <c r="AI1509">
        <v>0.17823120000000001</v>
      </c>
      <c r="AJ1509">
        <f t="shared" si="65"/>
        <v>0.17823120000000001</v>
      </c>
      <c r="AO1509">
        <v>0.17823120000000001</v>
      </c>
      <c r="AR1509" s="8">
        <v>0</v>
      </c>
      <c r="AS1509">
        <v>5.5910580000000003</v>
      </c>
    </row>
    <row r="1510" spans="1:45" x14ac:dyDescent="0.25">
      <c r="A1510">
        <v>284</v>
      </c>
      <c r="B1510">
        <v>1998</v>
      </c>
      <c r="C1510" s="8">
        <v>0</v>
      </c>
      <c r="D1510">
        <v>0.18560750000000001</v>
      </c>
      <c r="E1510">
        <v>0.33977010000000002</v>
      </c>
      <c r="F1510">
        <v>7.0686100000000002E-2</v>
      </c>
      <c r="G1510">
        <v>4.5885670000000003</v>
      </c>
      <c r="H1510">
        <v>0.27576040000000002</v>
      </c>
      <c r="Q1510" s="10">
        <f t="shared" si="66"/>
        <v>2.3290629528857549E-5</v>
      </c>
      <c r="AI1510">
        <v>0.1155403</v>
      </c>
      <c r="AJ1510">
        <f t="shared" si="65"/>
        <v>0.1155403</v>
      </c>
      <c r="AO1510">
        <v>0.1155403</v>
      </c>
      <c r="AR1510" s="8">
        <v>0</v>
      </c>
      <c r="AS1510">
        <v>6.487215</v>
      </c>
    </row>
    <row r="1511" spans="1:45" x14ac:dyDescent="0.25">
      <c r="A1511">
        <v>284</v>
      </c>
      <c r="B1511">
        <v>1999</v>
      </c>
      <c r="C1511" s="8">
        <v>0</v>
      </c>
      <c r="D1511">
        <v>0.17823120000000001</v>
      </c>
      <c r="E1511">
        <v>0.38664730000000003</v>
      </c>
      <c r="F1511">
        <v>7.3783699999999994E-2</v>
      </c>
      <c r="G1511">
        <v>3.2844869999999999</v>
      </c>
      <c r="H1511">
        <v>0.27848479999999998</v>
      </c>
      <c r="Q1511" s="10">
        <f t="shared" si="66"/>
        <v>1.6931701361547552E-4</v>
      </c>
      <c r="AI1511">
        <v>0.21632009999999999</v>
      </c>
      <c r="AJ1511">
        <f t="shared" si="65"/>
        <v>0.21632009999999999</v>
      </c>
      <c r="AO1511">
        <v>0.21632009999999999</v>
      </c>
      <c r="AR1511" s="8">
        <v>0</v>
      </c>
      <c r="AS1511">
        <v>7.3001389999999997</v>
      </c>
    </row>
    <row r="1512" spans="1:45" x14ac:dyDescent="0.25">
      <c r="A1512">
        <v>284</v>
      </c>
      <c r="B1512">
        <v>2000</v>
      </c>
      <c r="C1512" s="8">
        <v>0</v>
      </c>
      <c r="D1512">
        <v>0.1155403</v>
      </c>
      <c r="E1512">
        <v>0.40773789999999999</v>
      </c>
      <c r="F1512">
        <v>5.4752799999999997E-2</v>
      </c>
      <c r="G1512">
        <v>2.3190430000000002</v>
      </c>
      <c r="H1512">
        <v>0.26269700000000001</v>
      </c>
      <c r="Q1512" s="10">
        <f t="shared" si="66"/>
        <v>8.5869121204652722E-4</v>
      </c>
      <c r="AI1512">
        <v>0.27642080000000002</v>
      </c>
      <c r="AJ1512">
        <f t="shared" si="65"/>
        <v>0.27642080000000002</v>
      </c>
      <c r="AO1512">
        <v>0.27642080000000002</v>
      </c>
      <c r="AR1512" s="8">
        <v>0</v>
      </c>
      <c r="AS1512">
        <v>4.5885670000000003</v>
      </c>
    </row>
    <row r="1513" spans="1:45" x14ac:dyDescent="0.25">
      <c r="A1513">
        <v>284</v>
      </c>
      <c r="B1513">
        <v>2001</v>
      </c>
      <c r="C1513" s="8">
        <v>0</v>
      </c>
      <c r="D1513">
        <v>0.21632009999999999</v>
      </c>
      <c r="E1513">
        <v>0.46729559999999998</v>
      </c>
      <c r="F1513">
        <v>4.9204499999999998E-2</v>
      </c>
      <c r="G1513">
        <v>3.6727949999999998</v>
      </c>
      <c r="H1513">
        <v>0.28157310000000002</v>
      </c>
      <c r="Q1513" s="10">
        <f t="shared" si="66"/>
        <v>1.0049220078161754E-4</v>
      </c>
      <c r="AI1513">
        <v>0.32193709999999998</v>
      </c>
      <c r="AJ1513">
        <f t="shared" si="65"/>
        <v>0.32193709999999998</v>
      </c>
      <c r="AO1513">
        <v>0.32193709999999998</v>
      </c>
      <c r="AR1513" s="8">
        <v>0</v>
      </c>
      <c r="AS1513">
        <v>3.2844869999999999</v>
      </c>
    </row>
    <row r="1514" spans="1:45" x14ac:dyDescent="0.25">
      <c r="A1514">
        <v>284</v>
      </c>
      <c r="B1514">
        <v>2002</v>
      </c>
      <c r="C1514" s="8">
        <v>0</v>
      </c>
      <c r="D1514">
        <v>0.27642080000000002</v>
      </c>
      <c r="E1514">
        <v>0.40121560000000001</v>
      </c>
      <c r="F1514">
        <v>5.1646400000000002E-2</v>
      </c>
      <c r="G1514">
        <v>3.1178050000000002</v>
      </c>
      <c r="H1514">
        <v>0.33085629999999999</v>
      </c>
      <c r="Q1514" s="10">
        <f t="shared" si="66"/>
        <v>2.7764068217228199E-4</v>
      </c>
      <c r="AI1514">
        <v>0.30991790000000002</v>
      </c>
      <c r="AJ1514">
        <f t="shared" si="65"/>
        <v>0.30991790000000002</v>
      </c>
      <c r="AO1514">
        <v>0.30991790000000002</v>
      </c>
      <c r="AR1514" s="8">
        <v>0</v>
      </c>
      <c r="AS1514">
        <v>2.3190430000000002</v>
      </c>
    </row>
    <row r="1515" spans="1:45" x14ac:dyDescent="0.25">
      <c r="A1515">
        <v>284</v>
      </c>
      <c r="B1515">
        <v>2003</v>
      </c>
      <c r="C1515" s="8">
        <v>0</v>
      </c>
      <c r="D1515">
        <v>0.32193709999999998</v>
      </c>
      <c r="E1515">
        <v>0.424122</v>
      </c>
      <c r="F1515">
        <v>5.7917000000000003E-2</v>
      </c>
      <c r="G1515">
        <v>3.9416769999999999</v>
      </c>
      <c r="H1515">
        <v>0.3443734</v>
      </c>
      <c r="Q1515" s="10">
        <f t="shared" si="66"/>
        <v>7.0625438844179294E-5</v>
      </c>
      <c r="AI1515">
        <v>1.90349E-2</v>
      </c>
      <c r="AJ1515">
        <f t="shared" si="65"/>
        <v>1.90349E-2</v>
      </c>
      <c r="AO1515">
        <v>1.90349E-2</v>
      </c>
      <c r="AR1515" s="8">
        <v>0</v>
      </c>
      <c r="AS1515">
        <v>3.6727949999999998</v>
      </c>
    </row>
    <row r="1516" spans="1:45" x14ac:dyDescent="0.25">
      <c r="A1516">
        <v>284</v>
      </c>
      <c r="B1516">
        <v>2004</v>
      </c>
      <c r="C1516" s="8">
        <v>0</v>
      </c>
      <c r="D1516">
        <v>0.30991790000000002</v>
      </c>
      <c r="E1516">
        <v>0.43200060000000001</v>
      </c>
      <c r="F1516">
        <v>6.0513600000000001E-2</v>
      </c>
      <c r="G1516">
        <v>4.5490589999999997</v>
      </c>
      <c r="H1516">
        <v>0.33410790000000001</v>
      </c>
      <c r="Q1516" s="10">
        <f t="shared" si="66"/>
        <v>2.5686009667662004E-5</v>
      </c>
      <c r="AI1516">
        <v>0.38730720000000002</v>
      </c>
      <c r="AJ1516">
        <f t="shared" si="65"/>
        <v>0.38730720000000002</v>
      </c>
      <c r="AO1516">
        <v>0.38730720000000002</v>
      </c>
      <c r="AR1516" s="8">
        <v>0</v>
      </c>
      <c r="AS1516">
        <v>3.1178050000000002</v>
      </c>
    </row>
    <row r="1517" spans="1:45" x14ac:dyDescent="0.25">
      <c r="A1517">
        <v>285</v>
      </c>
      <c r="B1517">
        <v>1995</v>
      </c>
      <c r="C1517" s="8">
        <v>0</v>
      </c>
      <c r="D1517">
        <v>1.90349E-2</v>
      </c>
      <c r="E1517">
        <v>0.208702</v>
      </c>
      <c r="F1517">
        <v>4.4789900000000001E-2</v>
      </c>
      <c r="G1517">
        <v>0.38747799999999999</v>
      </c>
      <c r="H1517">
        <v>0.41008139999999998</v>
      </c>
      <c r="Q1517" s="10">
        <f t="shared" si="66"/>
        <v>2.7634432755355674E-2</v>
      </c>
      <c r="AI1517">
        <v>3.4210600000000001E-2</v>
      </c>
      <c r="AJ1517">
        <f t="shared" si="65"/>
        <v>3.4210600000000001E-2</v>
      </c>
      <c r="AO1517">
        <v>3.4210600000000001E-2</v>
      </c>
      <c r="AR1517" s="8">
        <v>0</v>
      </c>
      <c r="AS1517">
        <v>3.9416769999999999</v>
      </c>
    </row>
    <row r="1518" spans="1:45" x14ac:dyDescent="0.25">
      <c r="A1518">
        <v>286</v>
      </c>
      <c r="B1518">
        <v>2004</v>
      </c>
      <c r="C1518" s="8">
        <v>0</v>
      </c>
      <c r="D1518">
        <v>0.38730720000000002</v>
      </c>
      <c r="E1518">
        <v>0.26060739999999999</v>
      </c>
      <c r="F1518">
        <v>6.0041499999999998E-2</v>
      </c>
      <c r="G1518">
        <v>1.6088180000000001</v>
      </c>
      <c r="H1518">
        <v>0.4803018</v>
      </c>
      <c r="Q1518" s="10">
        <f t="shared" si="66"/>
        <v>4.0364997403937678E-3</v>
      </c>
      <c r="AI1518">
        <v>3.9258800000000003E-2</v>
      </c>
      <c r="AJ1518">
        <f t="shared" si="65"/>
        <v>3.9258800000000003E-2</v>
      </c>
      <c r="AO1518">
        <v>3.9258800000000003E-2</v>
      </c>
      <c r="AR1518" s="8">
        <v>0</v>
      </c>
      <c r="AS1518">
        <v>4.5490589999999997</v>
      </c>
    </row>
    <row r="1519" spans="1:45" x14ac:dyDescent="0.25">
      <c r="A1519">
        <v>287</v>
      </c>
      <c r="B1519">
        <v>1995</v>
      </c>
      <c r="C1519" s="8">
        <v>0</v>
      </c>
      <c r="D1519">
        <v>3.4210600000000001E-2</v>
      </c>
      <c r="E1519">
        <v>0.2843947</v>
      </c>
      <c r="F1519">
        <v>3.7033499999999997E-2</v>
      </c>
      <c r="G1519">
        <v>0.99150709999999997</v>
      </c>
      <c r="H1519">
        <v>0.3677629</v>
      </c>
      <c r="Q1519" s="10">
        <f t="shared" si="66"/>
        <v>1.0038897790159266E-2</v>
      </c>
      <c r="AI1519">
        <v>1.5670699999999999E-2</v>
      </c>
      <c r="AJ1519">
        <f t="shared" si="65"/>
        <v>1.5670699999999999E-2</v>
      </c>
      <c r="AO1519">
        <v>1.5670699999999999E-2</v>
      </c>
      <c r="AR1519" s="8">
        <v>0</v>
      </c>
      <c r="AS1519">
        <v>0.38747799999999999</v>
      </c>
    </row>
    <row r="1520" spans="1:45" x14ac:dyDescent="0.25">
      <c r="A1520">
        <v>287</v>
      </c>
      <c r="B1520">
        <v>1996</v>
      </c>
      <c r="C1520" s="8">
        <v>0</v>
      </c>
      <c r="D1520">
        <v>3.9258800000000003E-2</v>
      </c>
      <c r="E1520">
        <v>0.29859780000000002</v>
      </c>
      <c r="F1520">
        <v>3.6516399999999997E-2</v>
      </c>
      <c r="G1520">
        <v>0.80623750000000005</v>
      </c>
      <c r="H1520">
        <v>0.4037732</v>
      </c>
      <c r="Q1520" s="10">
        <f t="shared" si="66"/>
        <v>1.3545527220014125E-2</v>
      </c>
      <c r="AI1520">
        <v>5.8251400000000002E-2</v>
      </c>
      <c r="AJ1520">
        <f t="shared" si="65"/>
        <v>5.8251400000000002E-2</v>
      </c>
      <c r="AO1520">
        <v>5.8251400000000002E-2</v>
      </c>
      <c r="AR1520" s="8">
        <v>0</v>
      </c>
      <c r="AS1520">
        <v>1.6088180000000001</v>
      </c>
    </row>
    <row r="1521" spans="1:45" x14ac:dyDescent="0.25">
      <c r="A1521">
        <v>287</v>
      </c>
      <c r="B1521">
        <v>1997</v>
      </c>
      <c r="C1521" s="8">
        <v>0</v>
      </c>
      <c r="D1521">
        <v>1.5670699999999999E-2</v>
      </c>
      <c r="E1521">
        <v>0.2979002</v>
      </c>
      <c r="F1521">
        <v>6.0203399999999997E-2</v>
      </c>
      <c r="G1521">
        <v>1.007568</v>
      </c>
      <c r="H1521">
        <v>0.43648779999999998</v>
      </c>
      <c r="Q1521" s="10">
        <f t="shared" si="66"/>
        <v>8.2696410982522929E-3</v>
      </c>
      <c r="AI1521">
        <v>4.6695800000000003E-2</v>
      </c>
      <c r="AJ1521">
        <f t="shared" si="65"/>
        <v>4.6695800000000003E-2</v>
      </c>
      <c r="AO1521">
        <v>4.6695800000000003E-2</v>
      </c>
      <c r="AR1521" s="8">
        <v>0</v>
      </c>
      <c r="AS1521">
        <v>0.99150709999999997</v>
      </c>
    </row>
    <row r="1522" spans="1:45" x14ac:dyDescent="0.25">
      <c r="A1522">
        <v>287</v>
      </c>
      <c r="B1522">
        <v>1998</v>
      </c>
      <c r="C1522" s="8">
        <v>0</v>
      </c>
      <c r="D1522">
        <v>5.8251400000000002E-2</v>
      </c>
      <c r="E1522">
        <v>0.3053517</v>
      </c>
      <c r="F1522">
        <v>5.55941E-2</v>
      </c>
      <c r="G1522">
        <v>1.064627</v>
      </c>
      <c r="H1522">
        <v>0.45278879999999999</v>
      </c>
      <c r="Q1522" s="10">
        <f t="shared" si="66"/>
        <v>7.9704942363854562E-3</v>
      </c>
      <c r="AI1522">
        <v>4.13011E-2</v>
      </c>
      <c r="AJ1522">
        <f t="shared" si="65"/>
        <v>4.13011E-2</v>
      </c>
      <c r="AO1522">
        <v>4.13011E-2</v>
      </c>
      <c r="AR1522" s="8">
        <v>0</v>
      </c>
      <c r="AS1522">
        <v>0.80623750000000005</v>
      </c>
    </row>
    <row r="1523" spans="1:45" x14ac:dyDescent="0.25">
      <c r="A1523">
        <v>287</v>
      </c>
      <c r="B1523">
        <v>1999</v>
      </c>
      <c r="C1523" s="8">
        <v>0</v>
      </c>
      <c r="D1523">
        <v>4.6695800000000003E-2</v>
      </c>
      <c r="E1523">
        <v>0.33949950000000001</v>
      </c>
      <c r="F1523">
        <v>3.30914E-2</v>
      </c>
      <c r="G1523">
        <v>0.70179689999999995</v>
      </c>
      <c r="H1523">
        <v>0.53114280000000003</v>
      </c>
      <c r="Q1523" s="10">
        <f t="shared" si="66"/>
        <v>1.6762861047763936E-2</v>
      </c>
      <c r="AI1523">
        <v>0.121785</v>
      </c>
      <c r="AJ1523">
        <f t="shared" si="65"/>
        <v>0.121785</v>
      </c>
      <c r="AO1523">
        <v>0.121785</v>
      </c>
      <c r="AR1523" s="8">
        <v>0</v>
      </c>
      <c r="AS1523">
        <v>1.007568</v>
      </c>
    </row>
    <row r="1524" spans="1:45" x14ac:dyDescent="0.25">
      <c r="A1524">
        <v>287</v>
      </c>
      <c r="B1524">
        <v>2000</v>
      </c>
      <c r="C1524" s="8">
        <v>0</v>
      </c>
      <c r="D1524">
        <v>4.13011E-2</v>
      </c>
      <c r="E1524">
        <v>0.33286060000000001</v>
      </c>
      <c r="F1524">
        <v>5.4720499999999998E-2</v>
      </c>
      <c r="G1524">
        <v>0.78681540000000005</v>
      </c>
      <c r="H1524">
        <v>0.45499840000000003</v>
      </c>
      <c r="Q1524" s="10">
        <f t="shared" si="66"/>
        <v>1.1891687534608973E-2</v>
      </c>
      <c r="AI1524">
        <v>0.1200775</v>
      </c>
      <c r="AJ1524">
        <f t="shared" si="65"/>
        <v>0.1200775</v>
      </c>
      <c r="AO1524">
        <v>0.1200775</v>
      </c>
      <c r="AR1524" s="8">
        <v>0</v>
      </c>
      <c r="AS1524">
        <v>1.064627</v>
      </c>
    </row>
    <row r="1525" spans="1:45" x14ac:dyDescent="0.25">
      <c r="A1525">
        <v>287</v>
      </c>
      <c r="B1525">
        <v>2001</v>
      </c>
      <c r="C1525" s="8">
        <v>0</v>
      </c>
      <c r="D1525">
        <v>0.121785</v>
      </c>
      <c r="E1525">
        <v>0.34319280000000002</v>
      </c>
      <c r="F1525">
        <v>7.4611399999999994E-2</v>
      </c>
      <c r="G1525">
        <v>1.0669729999999999</v>
      </c>
      <c r="H1525">
        <v>0.46544390000000002</v>
      </c>
      <c r="Q1525" s="10">
        <f t="shared" si="66"/>
        <v>6.6880886297109353E-3</v>
      </c>
      <c r="AI1525">
        <v>4.0202500000000002E-2</v>
      </c>
      <c r="AJ1525">
        <f t="shared" si="65"/>
        <v>4.0202500000000002E-2</v>
      </c>
      <c r="AO1525">
        <v>4.0202500000000002E-2</v>
      </c>
      <c r="AR1525" s="8">
        <v>0</v>
      </c>
      <c r="AS1525">
        <v>0.70179689999999995</v>
      </c>
    </row>
    <row r="1526" spans="1:45" x14ac:dyDescent="0.25">
      <c r="A1526">
        <v>287</v>
      </c>
      <c r="B1526">
        <v>2002</v>
      </c>
      <c r="C1526" s="8">
        <v>0</v>
      </c>
      <c r="D1526">
        <v>0.1200775</v>
      </c>
      <c r="E1526">
        <v>0.37365720000000002</v>
      </c>
      <c r="F1526">
        <v>5.87127E-2</v>
      </c>
      <c r="G1526">
        <v>1.6158490000000001</v>
      </c>
      <c r="H1526">
        <v>0.47288550000000001</v>
      </c>
      <c r="Q1526" s="10">
        <f t="shared" si="66"/>
        <v>3.0528587749416025E-3</v>
      </c>
      <c r="AI1526">
        <v>0.26011669999999998</v>
      </c>
      <c r="AJ1526">
        <f t="shared" si="65"/>
        <v>0.26011669999999998</v>
      </c>
      <c r="AO1526">
        <v>0.26011669999999998</v>
      </c>
      <c r="AR1526" s="8">
        <v>0</v>
      </c>
      <c r="AS1526">
        <v>0.78681540000000005</v>
      </c>
    </row>
    <row r="1527" spans="1:45" x14ac:dyDescent="0.25">
      <c r="A1527">
        <v>287</v>
      </c>
      <c r="B1527">
        <v>2003</v>
      </c>
      <c r="C1527" s="8">
        <v>0</v>
      </c>
      <c r="D1527">
        <v>4.0202500000000002E-2</v>
      </c>
      <c r="E1527">
        <v>0.4467875</v>
      </c>
      <c r="F1527">
        <v>8.6237499999999995E-2</v>
      </c>
      <c r="G1527">
        <v>3.3795860000000002</v>
      </c>
      <c r="H1527">
        <v>0.50305549999999999</v>
      </c>
      <c r="Q1527" s="10">
        <f t="shared" si="66"/>
        <v>1.3099654578982705E-4</v>
      </c>
      <c r="AI1527">
        <v>0.28470129999999999</v>
      </c>
      <c r="AJ1527">
        <f t="shared" si="65"/>
        <v>0.28470129999999999</v>
      </c>
      <c r="AO1527">
        <v>0.28470129999999999</v>
      </c>
      <c r="AR1527" s="8">
        <v>0</v>
      </c>
      <c r="AS1527">
        <v>1.0669729999999999</v>
      </c>
    </row>
    <row r="1528" spans="1:45" x14ac:dyDescent="0.25">
      <c r="A1528">
        <v>288</v>
      </c>
      <c r="B1528">
        <v>1999</v>
      </c>
      <c r="C1528" s="8">
        <v>0</v>
      </c>
      <c r="D1528">
        <v>0.26011669999999998</v>
      </c>
      <c r="E1528">
        <v>-0.10369340000000001</v>
      </c>
      <c r="F1528">
        <v>4.4922799999999999E-2</v>
      </c>
      <c r="G1528">
        <v>0.22192339999999999</v>
      </c>
      <c r="H1528">
        <v>0.2773272</v>
      </c>
      <c r="Q1528" s="10">
        <f t="shared" si="66"/>
        <v>5.5932936677512597E-2</v>
      </c>
      <c r="AI1528">
        <v>0.2652159</v>
      </c>
      <c r="AJ1528">
        <f t="shared" si="65"/>
        <v>0.2652159</v>
      </c>
      <c r="AO1528">
        <v>0.2652159</v>
      </c>
      <c r="AR1528" s="8">
        <v>0</v>
      </c>
      <c r="AS1528">
        <v>1.6158490000000001</v>
      </c>
    </row>
    <row r="1529" spans="1:45" x14ac:dyDescent="0.25">
      <c r="A1529">
        <v>288</v>
      </c>
      <c r="B1529">
        <v>2000</v>
      </c>
      <c r="C1529" s="8">
        <v>0</v>
      </c>
      <c r="D1529">
        <v>0.28470129999999999</v>
      </c>
      <c r="E1529">
        <v>-0.13479099999999999</v>
      </c>
      <c r="F1529">
        <v>5.02021E-2</v>
      </c>
      <c r="G1529">
        <v>0.23634649999999999</v>
      </c>
      <c r="H1529">
        <v>0.3159575</v>
      </c>
      <c r="Q1529" s="10">
        <f t="shared" si="66"/>
        <v>5.668377612267203E-2</v>
      </c>
      <c r="AI1529">
        <v>0.52050220000000003</v>
      </c>
      <c r="AJ1529">
        <f t="shared" si="65"/>
        <v>0.52050220000000003</v>
      </c>
      <c r="AO1529">
        <v>0.52050220000000003</v>
      </c>
      <c r="AR1529" s="8">
        <v>0</v>
      </c>
      <c r="AS1529">
        <v>3.3795860000000002</v>
      </c>
    </row>
    <row r="1530" spans="1:45" x14ac:dyDescent="0.25">
      <c r="A1530">
        <v>288</v>
      </c>
      <c r="B1530">
        <v>2001</v>
      </c>
      <c r="C1530" s="8">
        <v>0</v>
      </c>
      <c r="D1530">
        <v>0.2652159</v>
      </c>
      <c r="E1530">
        <v>-0.2034338</v>
      </c>
      <c r="F1530">
        <v>2.2821500000000002E-2</v>
      </c>
      <c r="G1530">
        <v>0.17922979999999999</v>
      </c>
      <c r="H1530">
        <v>0.18043600000000001</v>
      </c>
      <c r="Q1530" s="10">
        <f t="shared" si="66"/>
        <v>7.627101678589418E-2</v>
      </c>
      <c r="AI1530">
        <v>0.23929439999999999</v>
      </c>
      <c r="AJ1530">
        <f t="shared" si="65"/>
        <v>0.23929439999999999</v>
      </c>
      <c r="AO1530">
        <v>0.23929439999999999</v>
      </c>
      <c r="AR1530" s="8">
        <v>0</v>
      </c>
      <c r="AS1530">
        <v>0.22192339999999999</v>
      </c>
    </row>
    <row r="1531" spans="1:45" x14ac:dyDescent="0.25">
      <c r="A1531">
        <v>288</v>
      </c>
      <c r="B1531">
        <v>2002</v>
      </c>
      <c r="C1531" s="8">
        <v>0</v>
      </c>
      <c r="D1531">
        <v>0.52050220000000003</v>
      </c>
      <c r="E1531">
        <v>-6.8163600000000005E-2</v>
      </c>
      <c r="F1531">
        <v>2.4897200000000001E-2</v>
      </c>
      <c r="G1531">
        <v>0.25170700000000001</v>
      </c>
      <c r="H1531">
        <v>0.1874507</v>
      </c>
      <c r="Q1531" s="10">
        <f t="shared" si="66"/>
        <v>6.2223554080482156E-2</v>
      </c>
      <c r="AI1531">
        <v>0.25688620000000001</v>
      </c>
      <c r="AJ1531">
        <f t="shared" si="65"/>
        <v>0.25688620000000001</v>
      </c>
      <c r="AO1531">
        <v>0.25688620000000001</v>
      </c>
      <c r="AR1531" s="8">
        <v>0</v>
      </c>
      <c r="AS1531">
        <v>0.23634649999999999</v>
      </c>
    </row>
    <row r="1532" spans="1:45" x14ac:dyDescent="0.25">
      <c r="A1532">
        <v>289</v>
      </c>
      <c r="B1532">
        <v>1995</v>
      </c>
      <c r="C1532" s="8">
        <v>0</v>
      </c>
      <c r="D1532">
        <v>0.23929439999999999</v>
      </c>
      <c r="E1532">
        <v>0.3271212</v>
      </c>
      <c r="F1532">
        <v>8.5262699999999997E-2</v>
      </c>
      <c r="G1532">
        <v>2.3999069999999998</v>
      </c>
      <c r="H1532">
        <v>1.585699</v>
      </c>
      <c r="Q1532" s="10">
        <f t="shared" si="66"/>
        <v>1.5878838755022508E-3</v>
      </c>
      <c r="AI1532">
        <v>9.4192899999999996E-2</v>
      </c>
      <c r="AJ1532">
        <f t="shared" si="65"/>
        <v>9.4192899999999996E-2</v>
      </c>
      <c r="AO1532">
        <v>9.4192899999999996E-2</v>
      </c>
      <c r="AR1532" s="8">
        <v>0</v>
      </c>
      <c r="AS1532">
        <v>0.17922979999999999</v>
      </c>
    </row>
    <row r="1533" spans="1:45" x14ac:dyDescent="0.25">
      <c r="A1533">
        <v>289</v>
      </c>
      <c r="B1533">
        <v>1996</v>
      </c>
      <c r="C1533" s="8">
        <v>0</v>
      </c>
      <c r="D1533">
        <v>0.25688620000000001</v>
      </c>
      <c r="E1533">
        <v>0.40201540000000002</v>
      </c>
      <c r="F1533">
        <v>4.1371900000000003E-2</v>
      </c>
      <c r="G1533">
        <v>2.3851140000000002</v>
      </c>
      <c r="H1533">
        <v>1.431856</v>
      </c>
      <c r="Q1533" s="10">
        <f t="shared" si="66"/>
        <v>1.8961113887482916E-3</v>
      </c>
      <c r="AI1533">
        <v>0.1079746</v>
      </c>
      <c r="AJ1533">
        <f t="shared" si="65"/>
        <v>0.1079746</v>
      </c>
      <c r="AO1533">
        <v>0.1079746</v>
      </c>
      <c r="AR1533" s="8">
        <v>0</v>
      </c>
      <c r="AS1533">
        <v>0.25170700000000001</v>
      </c>
    </row>
    <row r="1534" spans="1:45" x14ac:dyDescent="0.25">
      <c r="A1534">
        <v>289</v>
      </c>
      <c r="B1534">
        <v>1997</v>
      </c>
      <c r="C1534" s="8">
        <v>0</v>
      </c>
      <c r="D1534">
        <v>9.4192899999999996E-2</v>
      </c>
      <c r="E1534">
        <v>0.34769270000000002</v>
      </c>
      <c r="F1534">
        <v>4.0103600000000003E-2</v>
      </c>
      <c r="G1534">
        <v>1.240604</v>
      </c>
      <c r="H1534">
        <v>1.180518</v>
      </c>
      <c r="Q1534" s="10">
        <f t="shared" si="66"/>
        <v>1.0188905352357971E-2</v>
      </c>
      <c r="AI1534">
        <v>9.0150800000000003E-2</v>
      </c>
      <c r="AJ1534">
        <f t="shared" si="65"/>
        <v>9.0150800000000003E-2</v>
      </c>
      <c r="AO1534">
        <v>9.0150800000000003E-2</v>
      </c>
      <c r="AR1534" s="8">
        <v>0</v>
      </c>
      <c r="AS1534">
        <v>2.3999069999999998</v>
      </c>
    </row>
    <row r="1535" spans="1:45" x14ac:dyDescent="0.25">
      <c r="A1535">
        <v>289</v>
      </c>
      <c r="B1535">
        <v>1998</v>
      </c>
      <c r="C1535" s="8">
        <v>0</v>
      </c>
      <c r="D1535">
        <v>0.1079746</v>
      </c>
      <c r="E1535">
        <v>0.37865890000000002</v>
      </c>
      <c r="F1535">
        <v>7.9719799999999993E-2</v>
      </c>
      <c r="G1535">
        <v>1.706593</v>
      </c>
      <c r="H1535">
        <v>1.063655</v>
      </c>
      <c r="Q1535" s="10">
        <f t="shared" si="66"/>
        <v>3.1807854134140215E-3</v>
      </c>
      <c r="AI1535">
        <v>8.2532999999999999E-3</v>
      </c>
      <c r="AJ1535">
        <f t="shared" si="65"/>
        <v>8.2532999999999999E-3</v>
      </c>
      <c r="AO1535">
        <v>8.2532999999999999E-3</v>
      </c>
      <c r="AR1535" s="8">
        <v>0</v>
      </c>
      <c r="AS1535">
        <v>2.3851140000000002</v>
      </c>
    </row>
    <row r="1536" spans="1:45" x14ac:dyDescent="0.25">
      <c r="A1536">
        <v>289</v>
      </c>
      <c r="B1536">
        <v>1999</v>
      </c>
      <c r="C1536" s="8">
        <v>0</v>
      </c>
      <c r="D1536">
        <v>9.0150800000000003E-2</v>
      </c>
      <c r="E1536">
        <v>0.39549990000000002</v>
      </c>
      <c r="F1536">
        <v>7.5657100000000005E-2</v>
      </c>
      <c r="G1536">
        <v>0.85655800000000004</v>
      </c>
      <c r="H1536">
        <v>1.134147</v>
      </c>
      <c r="Q1536" s="10">
        <f t="shared" si="66"/>
        <v>1.2760974677412516E-2</v>
      </c>
      <c r="AI1536">
        <v>5.0264999999999997E-3</v>
      </c>
      <c r="AJ1536">
        <f t="shared" si="65"/>
        <v>5.0264999999999997E-3</v>
      </c>
      <c r="AO1536">
        <v>5.0264999999999997E-3</v>
      </c>
      <c r="AR1536" s="8">
        <v>0</v>
      </c>
      <c r="AS1536">
        <v>1.240604</v>
      </c>
    </row>
    <row r="1537" spans="1:45" x14ac:dyDescent="0.25">
      <c r="A1537">
        <v>289</v>
      </c>
      <c r="B1537">
        <v>2000</v>
      </c>
      <c r="C1537" s="8">
        <v>0</v>
      </c>
      <c r="D1537">
        <v>8.2532999999999999E-3</v>
      </c>
      <c r="E1537">
        <v>0.35651359999999999</v>
      </c>
      <c r="F1537">
        <v>5.1074500000000002E-2</v>
      </c>
      <c r="G1537">
        <v>1.1295949999999999</v>
      </c>
      <c r="H1537">
        <v>1.038157</v>
      </c>
      <c r="Q1537" s="10">
        <f t="shared" si="66"/>
        <v>9.7206847426556386E-3</v>
      </c>
      <c r="AI1537">
        <v>-8.5094999999999997E-3</v>
      </c>
      <c r="AJ1537">
        <f t="shared" si="65"/>
        <v>-8.5094999999999997E-3</v>
      </c>
      <c r="AO1537">
        <v>-8.5094999999999997E-3</v>
      </c>
      <c r="AR1537" s="8">
        <v>0</v>
      </c>
      <c r="AS1537">
        <v>1.706593</v>
      </c>
    </row>
    <row r="1538" spans="1:45" x14ac:dyDescent="0.25">
      <c r="A1538">
        <v>290</v>
      </c>
      <c r="B1538">
        <v>1995</v>
      </c>
      <c r="C1538" s="8">
        <v>0</v>
      </c>
      <c r="D1538">
        <v>5.0264999999999997E-3</v>
      </c>
      <c r="E1538">
        <v>5.88196E-2</v>
      </c>
      <c r="F1538">
        <v>4.5137299999999998E-2</v>
      </c>
      <c r="G1538">
        <v>0.5626487</v>
      </c>
      <c r="H1538">
        <v>0.4035532</v>
      </c>
      <c r="Q1538" s="10">
        <f t="shared" si="66"/>
        <v>2.5717798032827564E-2</v>
      </c>
      <c r="AI1538">
        <v>8.6506100000000002E-2</v>
      </c>
      <c r="AJ1538">
        <f t="shared" si="65"/>
        <v>8.6506100000000002E-2</v>
      </c>
      <c r="AO1538">
        <v>8.6506100000000002E-2</v>
      </c>
      <c r="AR1538" s="8">
        <v>0</v>
      </c>
      <c r="AS1538">
        <v>0.85655800000000004</v>
      </c>
    </row>
    <row r="1539" spans="1:45" x14ac:dyDescent="0.25">
      <c r="A1539">
        <v>290</v>
      </c>
      <c r="B1539">
        <v>1996</v>
      </c>
      <c r="C1539" s="8">
        <v>0</v>
      </c>
      <c r="D1539">
        <v>-8.5094999999999997E-3</v>
      </c>
      <c r="E1539">
        <v>7.3706400000000005E-2</v>
      </c>
      <c r="F1539">
        <v>6.2191700000000003E-2</v>
      </c>
      <c r="G1539">
        <v>0.64097669999999995</v>
      </c>
      <c r="H1539">
        <v>0.44144729999999999</v>
      </c>
      <c r="Q1539" s="10">
        <f t="shared" si="66"/>
        <v>1.9849426056058848E-2</v>
      </c>
      <c r="AI1539">
        <v>-8.7848399999999993E-2</v>
      </c>
      <c r="AJ1539">
        <f t="shared" si="65"/>
        <v>-8.7848399999999993E-2</v>
      </c>
      <c r="AO1539">
        <v>-8.7848399999999993E-2</v>
      </c>
      <c r="AR1539" s="8">
        <v>0</v>
      </c>
      <c r="AS1539">
        <v>1.1295949999999999</v>
      </c>
    </row>
    <row r="1540" spans="1:45" x14ac:dyDescent="0.25">
      <c r="A1540">
        <v>290</v>
      </c>
      <c r="B1540">
        <v>1998</v>
      </c>
      <c r="C1540" s="8">
        <v>0</v>
      </c>
      <c r="D1540">
        <v>8.6506100000000002E-2</v>
      </c>
      <c r="E1540">
        <v>0.27655059999999998</v>
      </c>
      <c r="F1540">
        <v>4.4953899999999998E-2</v>
      </c>
      <c r="G1540">
        <v>1.139113</v>
      </c>
      <c r="H1540">
        <v>0.26582539999999999</v>
      </c>
      <c r="Q1540" s="10">
        <f t="shared" si="66"/>
        <v>7.2471436267703372E-3</v>
      </c>
      <c r="AI1540">
        <v>-0.1341706</v>
      </c>
      <c r="AJ1540">
        <f t="shared" si="65"/>
        <v>-0.113345184</v>
      </c>
      <c r="AO1540">
        <v>-0.113345184</v>
      </c>
      <c r="AR1540" s="8">
        <v>0</v>
      </c>
      <c r="AS1540">
        <v>0.5626487</v>
      </c>
    </row>
    <row r="1541" spans="1:45" x14ac:dyDescent="0.25">
      <c r="A1541">
        <v>290</v>
      </c>
      <c r="B1541">
        <v>1999</v>
      </c>
      <c r="C1541" s="8">
        <v>0</v>
      </c>
      <c r="D1541">
        <v>-8.7848399999999993E-2</v>
      </c>
      <c r="E1541">
        <v>0.25291970000000003</v>
      </c>
      <c r="F1541">
        <v>5.9802399999999999E-2</v>
      </c>
      <c r="G1541">
        <v>0.89795749999999996</v>
      </c>
      <c r="H1541">
        <v>0.2966028</v>
      </c>
      <c r="Q1541" s="10">
        <f t="shared" si="66"/>
        <v>9.2561976700012618E-3</v>
      </c>
      <c r="AI1541">
        <v>-5.8957000000000002E-2</v>
      </c>
      <c r="AJ1541">
        <f t="shared" ref="AJ1541:AJ1604" si="67">MAX(MIN(AI1541,AM$5),AM$4)</f>
        <v>-5.8957000000000002E-2</v>
      </c>
      <c r="AO1541">
        <v>-5.8957000000000002E-2</v>
      </c>
      <c r="AR1541" s="8">
        <v>0</v>
      </c>
      <c r="AS1541">
        <v>0.64097669999999995</v>
      </c>
    </row>
    <row r="1542" spans="1:45" x14ac:dyDescent="0.25">
      <c r="A1542">
        <v>290</v>
      </c>
      <c r="B1542">
        <v>2000</v>
      </c>
      <c r="C1542" s="8">
        <v>0</v>
      </c>
      <c r="D1542">
        <v>-0.1341706</v>
      </c>
      <c r="E1542">
        <v>0.26084869999999999</v>
      </c>
      <c r="F1542">
        <v>6.0256900000000002E-2</v>
      </c>
      <c r="G1542">
        <v>1.038392</v>
      </c>
      <c r="H1542">
        <v>0.29498289999999999</v>
      </c>
      <c r="Q1542" s="10">
        <f t="shared" si="66"/>
        <v>7.1581325702270672E-3</v>
      </c>
      <c r="AI1542">
        <v>2.1665899999999998E-2</v>
      </c>
      <c r="AJ1542">
        <f t="shared" si="67"/>
        <v>2.1665899999999998E-2</v>
      </c>
      <c r="AO1542">
        <v>2.1665899999999998E-2</v>
      </c>
      <c r="AR1542" s="8">
        <v>0</v>
      </c>
      <c r="AS1542">
        <v>1.139113</v>
      </c>
    </row>
    <row r="1543" spans="1:45" x14ac:dyDescent="0.25">
      <c r="A1543">
        <v>290</v>
      </c>
      <c r="B1543">
        <v>2001</v>
      </c>
      <c r="C1543" s="8">
        <v>0</v>
      </c>
      <c r="D1543">
        <v>-5.8957000000000002E-2</v>
      </c>
      <c r="E1543">
        <v>0.31874799999999998</v>
      </c>
      <c r="F1543">
        <v>6.0906799999999997E-2</v>
      </c>
      <c r="G1543">
        <v>1.4687619999999999</v>
      </c>
      <c r="H1543">
        <v>0.28679310000000002</v>
      </c>
      <c r="Q1543" s="10">
        <f t="shared" ref="Q1543:Q1606" si="68">1/(1+EXP(-(J$6+SUMPRODUCT(K$6:O$6,D1543:H1543))))</f>
        <v>3.3970328805951514E-3</v>
      </c>
      <c r="AI1543">
        <v>9.7127900000000003E-2</v>
      </c>
      <c r="AJ1543">
        <f t="shared" si="67"/>
        <v>9.7127900000000003E-2</v>
      </c>
      <c r="AO1543">
        <v>9.7127900000000003E-2</v>
      </c>
      <c r="AR1543" s="8">
        <v>0</v>
      </c>
      <c r="AS1543">
        <v>0.89795749999999996</v>
      </c>
    </row>
    <row r="1544" spans="1:45" x14ac:dyDescent="0.25">
      <c r="A1544">
        <v>290</v>
      </c>
      <c r="B1544">
        <v>2002</v>
      </c>
      <c r="C1544" s="8">
        <v>0</v>
      </c>
      <c r="D1544">
        <v>2.1665899999999998E-2</v>
      </c>
      <c r="E1544">
        <v>0.22004679999999999</v>
      </c>
      <c r="F1544">
        <v>6.1917899999999998E-2</v>
      </c>
      <c r="G1544">
        <v>1.342843</v>
      </c>
      <c r="H1544">
        <v>0.2546332</v>
      </c>
      <c r="Q1544" s="10">
        <f t="shared" si="68"/>
        <v>4.8117020996328169E-3</v>
      </c>
      <c r="AI1544">
        <v>6.4619999999999999E-4</v>
      </c>
      <c r="AJ1544">
        <f t="shared" si="67"/>
        <v>6.4619999999999999E-4</v>
      </c>
      <c r="AO1544">
        <v>6.4619999999999999E-4</v>
      </c>
      <c r="AR1544" s="8">
        <v>0</v>
      </c>
      <c r="AS1544">
        <v>1.038392</v>
      </c>
    </row>
    <row r="1545" spans="1:45" x14ac:dyDescent="0.25">
      <c r="A1545">
        <v>290</v>
      </c>
      <c r="B1545">
        <v>2003</v>
      </c>
      <c r="C1545" s="8">
        <v>0</v>
      </c>
      <c r="D1545">
        <v>9.7127900000000003E-2</v>
      </c>
      <c r="E1545">
        <v>0.3275672</v>
      </c>
      <c r="F1545">
        <v>5.3192200000000002E-2</v>
      </c>
      <c r="G1545">
        <v>1.6977359999999999</v>
      </c>
      <c r="H1545">
        <v>0.28781610000000002</v>
      </c>
      <c r="Q1545" s="10">
        <f t="shared" si="68"/>
        <v>2.6457779452844208E-3</v>
      </c>
      <c r="AI1545">
        <v>0.1314553</v>
      </c>
      <c r="AJ1545">
        <f t="shared" si="67"/>
        <v>0.1314553</v>
      </c>
      <c r="AO1545">
        <v>0.1314553</v>
      </c>
      <c r="AR1545" s="8">
        <v>0</v>
      </c>
      <c r="AS1545">
        <v>1.4687619999999999</v>
      </c>
    </row>
    <row r="1546" spans="1:45" x14ac:dyDescent="0.25">
      <c r="A1546">
        <v>290</v>
      </c>
      <c r="B1546">
        <v>2004</v>
      </c>
      <c r="C1546" s="8">
        <v>0</v>
      </c>
      <c r="D1546">
        <v>6.4619999999999999E-4</v>
      </c>
      <c r="E1546">
        <v>0.34174130000000003</v>
      </c>
      <c r="F1546">
        <v>6.0279699999999999E-2</v>
      </c>
      <c r="G1546">
        <v>1.615367</v>
      </c>
      <c r="H1546">
        <v>0.29913719999999999</v>
      </c>
      <c r="Q1546" s="10">
        <f t="shared" si="68"/>
        <v>2.7017601702509901E-3</v>
      </c>
      <c r="AI1546">
        <v>9.9248900000000001E-2</v>
      </c>
      <c r="AJ1546">
        <f t="shared" si="67"/>
        <v>9.9248900000000001E-2</v>
      </c>
      <c r="AO1546">
        <v>9.9248900000000001E-2</v>
      </c>
      <c r="AR1546" s="8">
        <v>0</v>
      </c>
      <c r="AS1546">
        <v>1.342843</v>
      </c>
    </row>
    <row r="1547" spans="1:45" x14ac:dyDescent="0.25">
      <c r="A1547">
        <v>291</v>
      </c>
      <c r="B1547">
        <v>1995</v>
      </c>
      <c r="C1547" s="8">
        <v>0</v>
      </c>
      <c r="D1547">
        <v>0.1314553</v>
      </c>
      <c r="E1547">
        <v>0.39487810000000001</v>
      </c>
      <c r="F1547">
        <v>7.6064199999999998E-2</v>
      </c>
      <c r="G1547">
        <v>1.148228</v>
      </c>
      <c r="H1547">
        <v>0.2199043</v>
      </c>
      <c r="Q1547" s="10">
        <f t="shared" si="68"/>
        <v>4.6550565534524838E-3</v>
      </c>
      <c r="AI1547">
        <v>9.6908099999999997E-2</v>
      </c>
      <c r="AJ1547">
        <f t="shared" si="67"/>
        <v>9.6908099999999997E-2</v>
      </c>
      <c r="AO1547">
        <v>9.6908099999999997E-2</v>
      </c>
      <c r="AR1547" s="8">
        <v>0</v>
      </c>
      <c r="AS1547">
        <v>1.6977359999999999</v>
      </c>
    </row>
    <row r="1548" spans="1:45" x14ac:dyDescent="0.25">
      <c r="A1548">
        <v>291</v>
      </c>
      <c r="B1548">
        <v>1996</v>
      </c>
      <c r="C1548" s="8">
        <v>0</v>
      </c>
      <c r="D1548">
        <v>9.9248900000000001E-2</v>
      </c>
      <c r="E1548">
        <v>0.32489770000000001</v>
      </c>
      <c r="F1548">
        <v>4.9255500000000001E-2</v>
      </c>
      <c r="G1548">
        <v>1.179745</v>
      </c>
      <c r="H1548">
        <v>0.21520239999999999</v>
      </c>
      <c r="Q1548" s="10">
        <f t="shared" si="68"/>
        <v>5.9676100116161533E-3</v>
      </c>
      <c r="AI1548">
        <v>9.6805799999999997E-2</v>
      </c>
      <c r="AJ1548">
        <f t="shared" si="67"/>
        <v>9.6805799999999997E-2</v>
      </c>
      <c r="AO1548">
        <v>9.6805799999999997E-2</v>
      </c>
      <c r="AR1548" s="8">
        <v>0</v>
      </c>
      <c r="AS1548">
        <v>1.615367</v>
      </c>
    </row>
    <row r="1549" spans="1:45" x14ac:dyDescent="0.25">
      <c r="A1549">
        <v>291</v>
      </c>
      <c r="B1549">
        <v>1997</v>
      </c>
      <c r="C1549" s="8">
        <v>0</v>
      </c>
      <c r="D1549">
        <v>9.6908099999999997E-2</v>
      </c>
      <c r="E1549">
        <v>0.34398309999999999</v>
      </c>
      <c r="F1549">
        <v>4.0975299999999999E-2</v>
      </c>
      <c r="G1549">
        <v>1.280313</v>
      </c>
      <c r="H1549">
        <v>0.2099702</v>
      </c>
      <c r="Q1549" s="10">
        <f t="shared" si="68"/>
        <v>5.2648852761841107E-3</v>
      </c>
      <c r="AI1549">
        <v>5.47623E-2</v>
      </c>
      <c r="AJ1549">
        <f t="shared" si="67"/>
        <v>5.47623E-2</v>
      </c>
      <c r="AO1549">
        <v>5.47623E-2</v>
      </c>
      <c r="AR1549" s="8">
        <v>0</v>
      </c>
      <c r="AS1549">
        <v>1.148228</v>
      </c>
    </row>
    <row r="1550" spans="1:45" x14ac:dyDescent="0.25">
      <c r="A1550">
        <v>291</v>
      </c>
      <c r="B1550">
        <v>1998</v>
      </c>
      <c r="C1550" s="8">
        <v>0</v>
      </c>
      <c r="D1550">
        <v>9.6805799999999997E-2</v>
      </c>
      <c r="E1550">
        <v>0.39018960000000003</v>
      </c>
      <c r="F1550">
        <v>5.0782000000000001E-2</v>
      </c>
      <c r="G1550">
        <v>1.370689</v>
      </c>
      <c r="H1550">
        <v>0.19151009999999999</v>
      </c>
      <c r="Q1550" s="10">
        <f t="shared" si="68"/>
        <v>3.9012402962403615E-3</v>
      </c>
      <c r="AI1550">
        <v>6.3605900000000007E-2</v>
      </c>
      <c r="AJ1550">
        <f t="shared" si="67"/>
        <v>6.3605900000000007E-2</v>
      </c>
      <c r="AO1550">
        <v>6.3605900000000007E-2</v>
      </c>
      <c r="AR1550" s="8">
        <v>0</v>
      </c>
      <c r="AS1550">
        <v>1.179745</v>
      </c>
    </row>
    <row r="1551" spans="1:45" x14ac:dyDescent="0.25">
      <c r="A1551">
        <v>291</v>
      </c>
      <c r="B1551">
        <v>1999</v>
      </c>
      <c r="C1551" s="8">
        <v>0</v>
      </c>
      <c r="D1551">
        <v>5.47623E-2</v>
      </c>
      <c r="E1551">
        <v>0.2851341</v>
      </c>
      <c r="F1551">
        <v>3.84959E-2</v>
      </c>
      <c r="G1551">
        <v>0.85501039999999995</v>
      </c>
      <c r="H1551">
        <v>0.1701637</v>
      </c>
      <c r="Q1551" s="10">
        <f t="shared" si="68"/>
        <v>1.0982697729246709E-2</v>
      </c>
      <c r="AI1551">
        <v>7.31184E-2</v>
      </c>
      <c r="AJ1551">
        <f t="shared" si="67"/>
        <v>7.31184E-2</v>
      </c>
      <c r="AO1551">
        <v>7.31184E-2</v>
      </c>
      <c r="AR1551" s="8">
        <v>0</v>
      </c>
      <c r="AS1551">
        <v>1.280313</v>
      </c>
    </row>
    <row r="1552" spans="1:45" x14ac:dyDescent="0.25">
      <c r="A1552">
        <v>291</v>
      </c>
      <c r="B1552">
        <v>2000</v>
      </c>
      <c r="C1552" s="8">
        <v>0</v>
      </c>
      <c r="D1552">
        <v>6.3605900000000007E-2</v>
      </c>
      <c r="E1552">
        <v>0.31748120000000002</v>
      </c>
      <c r="F1552">
        <v>3.7880299999999999E-2</v>
      </c>
      <c r="G1552">
        <v>0.76780590000000004</v>
      </c>
      <c r="H1552">
        <v>0.175566</v>
      </c>
      <c r="Q1552" s="10">
        <f t="shared" si="68"/>
        <v>1.2170217534712018E-2</v>
      </c>
      <c r="AI1552">
        <v>7.2351499999999999E-2</v>
      </c>
      <c r="AJ1552">
        <f t="shared" si="67"/>
        <v>7.2351499999999999E-2</v>
      </c>
      <c r="AO1552">
        <v>7.2351499999999999E-2</v>
      </c>
      <c r="AR1552" s="8">
        <v>0</v>
      </c>
      <c r="AS1552">
        <v>1.370689</v>
      </c>
    </row>
    <row r="1553" spans="1:45" x14ac:dyDescent="0.25">
      <c r="A1553">
        <v>291</v>
      </c>
      <c r="B1553">
        <v>2001</v>
      </c>
      <c r="C1553" s="8">
        <v>0</v>
      </c>
      <c r="D1553">
        <v>7.31184E-2</v>
      </c>
      <c r="E1553">
        <v>0.36118869999999997</v>
      </c>
      <c r="F1553">
        <v>4.23457E-2</v>
      </c>
      <c r="G1553">
        <v>1.090814</v>
      </c>
      <c r="H1553">
        <v>0.15709300000000001</v>
      </c>
      <c r="Q1553" s="10">
        <f t="shared" si="68"/>
        <v>6.5739860251917753E-3</v>
      </c>
      <c r="AI1553">
        <v>6.8810300000000005E-2</v>
      </c>
      <c r="AJ1553">
        <f t="shared" si="67"/>
        <v>6.8810300000000005E-2</v>
      </c>
      <c r="AO1553">
        <v>6.8810300000000005E-2</v>
      </c>
      <c r="AR1553" s="8">
        <v>0</v>
      </c>
      <c r="AS1553">
        <v>0.85501039999999995</v>
      </c>
    </row>
    <row r="1554" spans="1:45" x14ac:dyDescent="0.25">
      <c r="A1554">
        <v>291</v>
      </c>
      <c r="B1554">
        <v>2002</v>
      </c>
      <c r="C1554" s="8">
        <v>0</v>
      </c>
      <c r="D1554">
        <v>7.2351499999999999E-2</v>
      </c>
      <c r="E1554">
        <v>0.37106519999999998</v>
      </c>
      <c r="F1554">
        <v>4.3208400000000001E-2</v>
      </c>
      <c r="G1554">
        <v>1.097893</v>
      </c>
      <c r="H1554">
        <v>0.18467020000000001</v>
      </c>
      <c r="Q1554" s="10">
        <f t="shared" si="68"/>
        <v>6.4717923937628466E-3</v>
      </c>
      <c r="AI1554">
        <v>6.50115E-2</v>
      </c>
      <c r="AJ1554">
        <f t="shared" si="67"/>
        <v>6.50115E-2</v>
      </c>
      <c r="AO1554">
        <v>6.50115E-2</v>
      </c>
      <c r="AR1554" s="8">
        <v>0</v>
      </c>
      <c r="AS1554">
        <v>0.76780590000000004</v>
      </c>
    </row>
    <row r="1555" spans="1:45" x14ac:dyDescent="0.25">
      <c r="A1555">
        <v>291</v>
      </c>
      <c r="B1555">
        <v>2003</v>
      </c>
      <c r="C1555" s="8">
        <v>0</v>
      </c>
      <c r="D1555">
        <v>6.8810300000000005E-2</v>
      </c>
      <c r="E1555">
        <v>0.22299160000000001</v>
      </c>
      <c r="F1555">
        <v>3.43568E-2</v>
      </c>
      <c r="G1555">
        <v>1.583828</v>
      </c>
      <c r="H1555">
        <v>0.17813519999999999</v>
      </c>
      <c r="Q1555" s="10">
        <f t="shared" si="68"/>
        <v>3.9597635748701366E-3</v>
      </c>
      <c r="AI1555">
        <v>4.4805499999999998E-2</v>
      </c>
      <c r="AJ1555">
        <f t="shared" si="67"/>
        <v>4.4805499999999998E-2</v>
      </c>
      <c r="AO1555">
        <v>4.4805499999999998E-2</v>
      </c>
      <c r="AR1555" s="8">
        <v>0</v>
      </c>
      <c r="AS1555">
        <v>1.090814</v>
      </c>
    </row>
    <row r="1556" spans="1:45" x14ac:dyDescent="0.25">
      <c r="A1556">
        <v>291</v>
      </c>
      <c r="B1556">
        <v>2004</v>
      </c>
      <c r="C1556" s="8">
        <v>0</v>
      </c>
      <c r="D1556">
        <v>6.50115E-2</v>
      </c>
      <c r="E1556">
        <v>0.24428420000000001</v>
      </c>
      <c r="F1556">
        <v>3.8876300000000003E-2</v>
      </c>
      <c r="G1556">
        <v>2.183338</v>
      </c>
      <c r="H1556">
        <v>0.17551810000000001</v>
      </c>
      <c r="Q1556" s="10">
        <f t="shared" si="68"/>
        <v>1.423394014831916E-3</v>
      </c>
      <c r="AI1556">
        <v>2.4294400000000001E-2</v>
      </c>
      <c r="AJ1556">
        <f t="shared" si="67"/>
        <v>2.4294400000000001E-2</v>
      </c>
      <c r="AO1556">
        <v>2.4294400000000001E-2</v>
      </c>
      <c r="AR1556" s="8">
        <v>0</v>
      </c>
      <c r="AS1556">
        <v>1.097893</v>
      </c>
    </row>
    <row r="1557" spans="1:45" x14ac:dyDescent="0.25">
      <c r="A1557">
        <v>292</v>
      </c>
      <c r="B1557">
        <v>1999</v>
      </c>
      <c r="C1557" s="8">
        <v>0</v>
      </c>
      <c r="D1557">
        <v>4.4805499999999998E-2</v>
      </c>
      <c r="E1557">
        <v>0.13233880000000001</v>
      </c>
      <c r="F1557">
        <v>3.4269500000000001E-2</v>
      </c>
      <c r="G1557">
        <v>0.59427030000000003</v>
      </c>
      <c r="H1557">
        <v>8.5428299999999999E-2</v>
      </c>
      <c r="Q1557" s="10">
        <f t="shared" si="68"/>
        <v>2.012345791397541E-2</v>
      </c>
      <c r="AI1557">
        <v>-4.5897899999999998E-2</v>
      </c>
      <c r="AJ1557">
        <f t="shared" si="67"/>
        <v>-4.5897899999999998E-2</v>
      </c>
      <c r="AO1557">
        <v>-4.5897899999999998E-2</v>
      </c>
      <c r="AR1557" s="8">
        <v>0</v>
      </c>
      <c r="AS1557">
        <v>1.583828</v>
      </c>
    </row>
    <row r="1558" spans="1:45" x14ac:dyDescent="0.25">
      <c r="A1558">
        <v>292</v>
      </c>
      <c r="B1558">
        <v>2000</v>
      </c>
      <c r="C1558" s="8">
        <v>0</v>
      </c>
      <c r="D1558">
        <v>2.4294400000000001E-2</v>
      </c>
      <c r="E1558">
        <v>0.1108007</v>
      </c>
      <c r="F1558">
        <v>2.71991E-2</v>
      </c>
      <c r="G1558">
        <v>0.52245149999999996</v>
      </c>
      <c r="H1558">
        <v>8.1409200000000001E-2</v>
      </c>
      <c r="Q1558" s="10">
        <f t="shared" si="68"/>
        <v>2.4263784886000672E-2</v>
      </c>
      <c r="AI1558">
        <v>-2.5330999999999999E-3</v>
      </c>
      <c r="AJ1558">
        <f t="shared" si="67"/>
        <v>-2.5330999999999999E-3</v>
      </c>
      <c r="AO1558">
        <v>-2.5330999999999999E-3</v>
      </c>
      <c r="AR1558" s="8">
        <v>0</v>
      </c>
      <c r="AS1558">
        <v>2.183338</v>
      </c>
    </row>
    <row r="1559" spans="1:45" x14ac:dyDescent="0.25">
      <c r="A1559">
        <v>292</v>
      </c>
      <c r="B1559">
        <v>2001</v>
      </c>
      <c r="C1559" s="8">
        <v>0</v>
      </c>
      <c r="D1559">
        <v>-4.5897899999999998E-2</v>
      </c>
      <c r="E1559">
        <v>0.15578339999999999</v>
      </c>
      <c r="F1559">
        <v>4.0874399999999998E-2</v>
      </c>
      <c r="G1559">
        <v>0.59896179999999999</v>
      </c>
      <c r="H1559">
        <v>8.7829900000000002E-2</v>
      </c>
      <c r="Q1559" s="10">
        <f t="shared" si="68"/>
        <v>1.7705126843888846E-2</v>
      </c>
      <c r="AI1559">
        <v>1.7448000000000002E-2</v>
      </c>
      <c r="AJ1559">
        <f t="shared" si="67"/>
        <v>1.7448000000000002E-2</v>
      </c>
      <c r="AO1559">
        <v>1.7448000000000002E-2</v>
      </c>
      <c r="AR1559" s="8">
        <v>0</v>
      </c>
      <c r="AS1559">
        <v>0.59427030000000003</v>
      </c>
    </row>
    <row r="1560" spans="1:45" x14ac:dyDescent="0.25">
      <c r="A1560">
        <v>292</v>
      </c>
      <c r="B1560">
        <v>2002</v>
      </c>
      <c r="C1560" s="8">
        <v>0</v>
      </c>
      <c r="D1560">
        <v>-2.5330999999999999E-3</v>
      </c>
      <c r="E1560">
        <v>0.15899630000000001</v>
      </c>
      <c r="F1560">
        <v>2.6792400000000001E-2</v>
      </c>
      <c r="G1560">
        <v>0.42630000000000001</v>
      </c>
      <c r="H1560">
        <v>9.8361699999999996E-2</v>
      </c>
      <c r="Q1560" s="10">
        <f t="shared" si="68"/>
        <v>2.6379961851305238E-2</v>
      </c>
      <c r="AI1560">
        <v>2.18677E-2</v>
      </c>
      <c r="AJ1560">
        <f t="shared" si="67"/>
        <v>2.18677E-2</v>
      </c>
      <c r="AO1560">
        <v>2.18677E-2</v>
      </c>
      <c r="AR1560" s="8">
        <v>0</v>
      </c>
      <c r="AS1560">
        <v>0.52245149999999996</v>
      </c>
    </row>
    <row r="1561" spans="1:45" x14ac:dyDescent="0.25">
      <c r="A1561">
        <v>292</v>
      </c>
      <c r="B1561">
        <v>2003</v>
      </c>
      <c r="C1561" s="8">
        <v>0</v>
      </c>
      <c r="D1561">
        <v>1.7448000000000002E-2</v>
      </c>
      <c r="E1561">
        <v>0.15018790000000001</v>
      </c>
      <c r="F1561">
        <v>3.5018300000000002E-2</v>
      </c>
      <c r="G1561">
        <v>0.54964230000000003</v>
      </c>
      <c r="H1561">
        <v>8.4556300000000001E-2</v>
      </c>
      <c r="Q1561" s="10">
        <f t="shared" si="68"/>
        <v>2.0668866090400351E-2</v>
      </c>
      <c r="AI1561">
        <v>-2.1962499999999999E-2</v>
      </c>
      <c r="AJ1561">
        <f t="shared" si="67"/>
        <v>-2.1962499999999999E-2</v>
      </c>
      <c r="AO1561">
        <v>-2.1962499999999999E-2</v>
      </c>
      <c r="AR1561" s="8">
        <v>0</v>
      </c>
      <c r="AS1561">
        <v>0.59896179999999999</v>
      </c>
    </row>
    <row r="1562" spans="1:45" x14ac:dyDescent="0.25">
      <c r="A1562">
        <v>292</v>
      </c>
      <c r="B1562">
        <v>2004</v>
      </c>
      <c r="C1562" s="8">
        <v>0</v>
      </c>
      <c r="D1562">
        <v>2.18677E-2</v>
      </c>
      <c r="E1562">
        <v>0.15212890000000001</v>
      </c>
      <c r="F1562">
        <v>4.6522800000000003E-2</v>
      </c>
      <c r="G1562">
        <v>0.5952134</v>
      </c>
      <c r="H1562">
        <v>9.4191300000000006E-2</v>
      </c>
      <c r="Q1562" s="10">
        <f t="shared" si="68"/>
        <v>1.7672620151901727E-2</v>
      </c>
      <c r="AI1562">
        <v>-3.2003000000000001E-3</v>
      </c>
      <c r="AJ1562">
        <f t="shared" si="67"/>
        <v>-3.2003000000000001E-3</v>
      </c>
      <c r="AO1562">
        <v>-3.2003000000000001E-3</v>
      </c>
      <c r="AR1562" s="8">
        <v>0</v>
      </c>
      <c r="AS1562">
        <v>0.42630000000000001</v>
      </c>
    </row>
    <row r="1563" spans="1:45" x14ac:dyDescent="0.25">
      <c r="A1563">
        <v>293</v>
      </c>
      <c r="B1563">
        <v>1997</v>
      </c>
      <c r="C1563" s="8">
        <v>0</v>
      </c>
      <c r="D1563">
        <v>-2.1962499999999999E-2</v>
      </c>
      <c r="E1563">
        <v>4.4517599999999997E-2</v>
      </c>
      <c r="F1563">
        <v>1.7712800000000001E-2</v>
      </c>
      <c r="G1563">
        <v>0.51531749999999998</v>
      </c>
      <c r="H1563">
        <v>0.13266749999999999</v>
      </c>
      <c r="Q1563" s="10">
        <f t="shared" si="68"/>
        <v>2.9369676378641636E-2</v>
      </c>
      <c r="AI1563">
        <v>0.2141026</v>
      </c>
      <c r="AJ1563">
        <f t="shared" si="67"/>
        <v>0.2141026</v>
      </c>
      <c r="AO1563">
        <v>0.2141026</v>
      </c>
      <c r="AR1563" s="8">
        <v>0</v>
      </c>
      <c r="AS1563">
        <v>0.54964230000000003</v>
      </c>
    </row>
    <row r="1564" spans="1:45" x14ac:dyDescent="0.25">
      <c r="A1564">
        <v>293</v>
      </c>
      <c r="B1564">
        <v>1998</v>
      </c>
      <c r="C1564" s="8">
        <v>0</v>
      </c>
      <c r="D1564">
        <v>-3.2003000000000001E-3</v>
      </c>
      <c r="E1564">
        <v>2.0909799999999999E-2</v>
      </c>
      <c r="F1564">
        <v>-0.39454610000000001</v>
      </c>
      <c r="G1564">
        <v>0.3785673</v>
      </c>
      <c r="H1564">
        <v>0.1017647</v>
      </c>
      <c r="Q1564" s="10">
        <f t="shared" si="68"/>
        <v>0.51014233520397667</v>
      </c>
      <c r="AI1564">
        <v>0.1117132</v>
      </c>
      <c r="AJ1564">
        <f t="shared" si="67"/>
        <v>0.1117132</v>
      </c>
      <c r="AO1564">
        <v>0.1117132</v>
      </c>
      <c r="AR1564" s="8">
        <v>0</v>
      </c>
      <c r="AS1564">
        <v>0.5952134</v>
      </c>
    </row>
    <row r="1565" spans="1:45" x14ac:dyDescent="0.25">
      <c r="A1565">
        <v>294</v>
      </c>
      <c r="B1565">
        <v>1995</v>
      </c>
      <c r="C1565" s="8">
        <v>0</v>
      </c>
      <c r="D1565">
        <v>0.2141026</v>
      </c>
      <c r="E1565">
        <v>0.48262929999999998</v>
      </c>
      <c r="F1565">
        <v>7.1540599999999996E-2</v>
      </c>
      <c r="G1565">
        <v>4.0326089999999999</v>
      </c>
      <c r="H1565">
        <v>0.3280633</v>
      </c>
      <c r="Q1565" s="10">
        <f t="shared" si="68"/>
        <v>4.7639592191087701E-5</v>
      </c>
      <c r="AI1565">
        <v>0.14665890000000001</v>
      </c>
      <c r="AJ1565">
        <f t="shared" si="67"/>
        <v>0.14665890000000001</v>
      </c>
      <c r="AO1565">
        <v>0.14665890000000001</v>
      </c>
      <c r="AR1565" s="8">
        <v>0</v>
      </c>
      <c r="AS1565">
        <v>0.51531749999999998</v>
      </c>
    </row>
    <row r="1566" spans="1:45" x14ac:dyDescent="0.25">
      <c r="A1566">
        <v>294</v>
      </c>
      <c r="B1566">
        <v>1996</v>
      </c>
      <c r="C1566" s="8">
        <v>0</v>
      </c>
      <c r="D1566">
        <v>0.1117132</v>
      </c>
      <c r="E1566">
        <v>0.45874409999999999</v>
      </c>
      <c r="F1566">
        <v>7.4423600000000006E-2</v>
      </c>
      <c r="G1566">
        <v>4.1486020000000003</v>
      </c>
      <c r="H1566">
        <v>0.29650870000000001</v>
      </c>
      <c r="Q1566" s="10">
        <f t="shared" si="68"/>
        <v>3.7656744530585187E-5</v>
      </c>
      <c r="AI1566">
        <v>0.1347305</v>
      </c>
      <c r="AJ1566">
        <f t="shared" si="67"/>
        <v>0.1347305</v>
      </c>
      <c r="AO1566">
        <v>0.1347305</v>
      </c>
      <c r="AR1566" s="8">
        <v>0</v>
      </c>
      <c r="AS1566">
        <v>0.3785673</v>
      </c>
    </row>
    <row r="1567" spans="1:45" x14ac:dyDescent="0.25">
      <c r="A1567">
        <v>294</v>
      </c>
      <c r="B1567">
        <v>1997</v>
      </c>
      <c r="C1567" s="8">
        <v>0</v>
      </c>
      <c r="D1567">
        <v>0.14665890000000001</v>
      </c>
      <c r="E1567">
        <v>0.50150039999999996</v>
      </c>
      <c r="F1567">
        <v>7.9324800000000001E-2</v>
      </c>
      <c r="G1567">
        <v>5.8279490000000003</v>
      </c>
      <c r="H1567">
        <v>0.27542349999999999</v>
      </c>
      <c r="Q1567" s="10">
        <f t="shared" si="68"/>
        <v>2.3452465989001346E-6</v>
      </c>
      <c r="AI1567">
        <v>0.17037849999999999</v>
      </c>
      <c r="AJ1567">
        <f t="shared" si="67"/>
        <v>0.17037849999999999</v>
      </c>
      <c r="AO1567">
        <v>0.17037849999999999</v>
      </c>
      <c r="AR1567" s="8">
        <v>0</v>
      </c>
      <c r="AS1567">
        <v>4.0326089999999999</v>
      </c>
    </row>
    <row r="1568" spans="1:45" x14ac:dyDescent="0.25">
      <c r="A1568">
        <v>294</v>
      </c>
      <c r="B1568">
        <v>1998</v>
      </c>
      <c r="C1568" s="8">
        <v>0</v>
      </c>
      <c r="D1568">
        <v>0.1347305</v>
      </c>
      <c r="E1568">
        <v>0.5221557</v>
      </c>
      <c r="F1568">
        <v>7.8257800000000002E-2</v>
      </c>
      <c r="G1568">
        <v>5.251366</v>
      </c>
      <c r="H1568">
        <v>0.26992300000000002</v>
      </c>
      <c r="Q1568" s="10">
        <f t="shared" si="68"/>
        <v>5.7051909698725335E-6</v>
      </c>
      <c r="AI1568">
        <v>0.19092629999999999</v>
      </c>
      <c r="AJ1568">
        <f t="shared" si="67"/>
        <v>0.19092629999999999</v>
      </c>
      <c r="AO1568">
        <v>0.19092629999999999</v>
      </c>
      <c r="AR1568" s="8">
        <v>0</v>
      </c>
      <c r="AS1568">
        <v>4.1486020000000003</v>
      </c>
    </row>
    <row r="1569" spans="1:45" x14ac:dyDescent="0.25">
      <c r="A1569">
        <v>294</v>
      </c>
      <c r="B1569">
        <v>1999</v>
      </c>
      <c r="C1569" s="8">
        <v>0</v>
      </c>
      <c r="D1569">
        <v>0.17037849999999999</v>
      </c>
      <c r="E1569">
        <v>0.50005169999999999</v>
      </c>
      <c r="F1569">
        <v>6.3525300000000007E-2</v>
      </c>
      <c r="G1569">
        <v>4.813777</v>
      </c>
      <c r="H1569">
        <v>0.29905809999999999</v>
      </c>
      <c r="Q1569" s="10">
        <f t="shared" si="68"/>
        <v>1.3756637919159787E-5</v>
      </c>
      <c r="AI1569">
        <v>0.2090562</v>
      </c>
      <c r="AJ1569">
        <f t="shared" si="67"/>
        <v>0.2090562</v>
      </c>
      <c r="AO1569">
        <v>0.2090562</v>
      </c>
      <c r="AR1569" s="8">
        <v>0</v>
      </c>
      <c r="AS1569">
        <v>5.8279490000000003</v>
      </c>
    </row>
    <row r="1570" spans="1:45" x14ac:dyDescent="0.25">
      <c r="A1570">
        <v>294</v>
      </c>
      <c r="B1570">
        <v>2000</v>
      </c>
      <c r="C1570" s="8">
        <v>0</v>
      </c>
      <c r="D1570">
        <v>0.19092629999999999</v>
      </c>
      <c r="E1570">
        <v>0.52320520000000004</v>
      </c>
      <c r="F1570">
        <v>6.4345600000000003E-2</v>
      </c>
      <c r="G1570">
        <v>4.3085180000000003</v>
      </c>
      <c r="H1570">
        <v>0.28988059999999999</v>
      </c>
      <c r="Q1570" s="10">
        <f t="shared" si="68"/>
        <v>2.9644704161175793E-5</v>
      </c>
      <c r="AI1570">
        <v>0.26040340000000001</v>
      </c>
      <c r="AJ1570">
        <f t="shared" si="67"/>
        <v>0.26040340000000001</v>
      </c>
      <c r="AO1570">
        <v>0.26040340000000001</v>
      </c>
      <c r="AR1570" s="8">
        <v>0</v>
      </c>
      <c r="AS1570">
        <v>5.251366</v>
      </c>
    </row>
    <row r="1571" spans="1:45" x14ac:dyDescent="0.25">
      <c r="A1571">
        <v>294</v>
      </c>
      <c r="B1571">
        <v>2001</v>
      </c>
      <c r="C1571" s="8">
        <v>0</v>
      </c>
      <c r="D1571">
        <v>0.2090562</v>
      </c>
      <c r="E1571">
        <v>0.58830910000000003</v>
      </c>
      <c r="F1571">
        <v>6.5201200000000001E-2</v>
      </c>
      <c r="G1571">
        <v>5.4999019999999996</v>
      </c>
      <c r="H1571">
        <v>0.26781450000000001</v>
      </c>
      <c r="Q1571" s="10">
        <f t="shared" si="68"/>
        <v>3.9870763001787234E-6</v>
      </c>
      <c r="AI1571">
        <v>0.31753690000000001</v>
      </c>
      <c r="AJ1571">
        <f t="shared" si="67"/>
        <v>0.31753690000000001</v>
      </c>
      <c r="AO1571">
        <v>0.31753690000000001</v>
      </c>
      <c r="AR1571" s="8">
        <v>0</v>
      </c>
      <c r="AS1571">
        <v>4.813777</v>
      </c>
    </row>
    <row r="1572" spans="1:45" x14ac:dyDescent="0.25">
      <c r="A1572">
        <v>294</v>
      </c>
      <c r="B1572">
        <v>2002</v>
      </c>
      <c r="C1572" s="8">
        <v>0</v>
      </c>
      <c r="D1572">
        <v>0.26040340000000001</v>
      </c>
      <c r="E1572">
        <v>0.59746279999999996</v>
      </c>
      <c r="F1572">
        <v>6.70853E-2</v>
      </c>
      <c r="G1572">
        <v>5.0288830000000004</v>
      </c>
      <c r="H1572">
        <v>0.26848929999999999</v>
      </c>
      <c r="Q1572" s="10">
        <f t="shared" si="68"/>
        <v>8.3895125627544323E-6</v>
      </c>
      <c r="AI1572">
        <v>0.2638915</v>
      </c>
      <c r="AJ1572">
        <f t="shared" si="67"/>
        <v>0.2638915</v>
      </c>
      <c r="AO1572">
        <v>0.2638915</v>
      </c>
      <c r="AR1572" s="8">
        <v>0</v>
      </c>
      <c r="AS1572">
        <v>4.3085180000000003</v>
      </c>
    </row>
    <row r="1573" spans="1:45" x14ac:dyDescent="0.25">
      <c r="A1573">
        <v>294</v>
      </c>
      <c r="B1573">
        <v>2003</v>
      </c>
      <c r="C1573" s="8">
        <v>0</v>
      </c>
      <c r="D1573">
        <v>0.31753690000000001</v>
      </c>
      <c r="E1573">
        <v>0.66067920000000002</v>
      </c>
      <c r="F1573">
        <v>7.1810100000000002E-2</v>
      </c>
      <c r="G1573">
        <v>7.8184649999999998</v>
      </c>
      <c r="H1573">
        <v>0.25297710000000001</v>
      </c>
      <c r="Q1573" s="10">
        <f t="shared" si="68"/>
        <v>8.767483609960178E-8</v>
      </c>
      <c r="AI1573">
        <v>3.7807899999999998E-2</v>
      </c>
      <c r="AJ1573">
        <f t="shared" si="67"/>
        <v>3.7807899999999998E-2</v>
      </c>
      <c r="AO1573">
        <v>3.7807899999999998E-2</v>
      </c>
      <c r="AR1573" s="8">
        <v>0</v>
      </c>
      <c r="AS1573">
        <v>5.4999019999999996</v>
      </c>
    </row>
    <row r="1574" spans="1:45" x14ac:dyDescent="0.25">
      <c r="A1574">
        <v>294</v>
      </c>
      <c r="B1574">
        <v>2004</v>
      </c>
      <c r="C1574" s="8">
        <v>0</v>
      </c>
      <c r="D1574">
        <v>0.2638915</v>
      </c>
      <c r="E1574">
        <v>0.77655249999999998</v>
      </c>
      <c r="F1574">
        <v>7.1053500000000006E-2</v>
      </c>
      <c r="G1574">
        <v>7.4014170000000004</v>
      </c>
      <c r="H1574">
        <v>0.29750559999999998</v>
      </c>
      <c r="Q1574" s="10">
        <f t="shared" si="68"/>
        <v>1.456454090383521E-7</v>
      </c>
      <c r="AI1574">
        <v>6.5100400000000003E-2</v>
      </c>
      <c r="AJ1574">
        <f t="shared" si="67"/>
        <v>6.5100400000000003E-2</v>
      </c>
      <c r="AO1574">
        <v>6.5100400000000003E-2</v>
      </c>
      <c r="AR1574" s="8">
        <v>0</v>
      </c>
      <c r="AS1574">
        <v>5.0288830000000004</v>
      </c>
    </row>
    <row r="1575" spans="1:45" x14ac:dyDescent="0.25">
      <c r="A1575">
        <v>295</v>
      </c>
      <c r="B1575">
        <v>1998</v>
      </c>
      <c r="C1575" s="8">
        <v>0</v>
      </c>
      <c r="D1575">
        <v>3.7807899999999998E-2</v>
      </c>
      <c r="E1575">
        <v>-9.8660300000000006E-2</v>
      </c>
      <c r="F1575">
        <v>3.0164E-2</v>
      </c>
      <c r="G1575">
        <v>0.45585910000000002</v>
      </c>
      <c r="H1575">
        <v>0.25643389999999999</v>
      </c>
      <c r="Q1575" s="10">
        <f t="shared" si="68"/>
        <v>3.9423348225353094E-2</v>
      </c>
      <c r="AI1575">
        <v>-5.5344499999999998E-2</v>
      </c>
      <c r="AJ1575">
        <f t="shared" si="67"/>
        <v>-5.5344499999999998E-2</v>
      </c>
      <c r="AO1575">
        <v>-5.5344499999999998E-2</v>
      </c>
      <c r="AR1575" s="8">
        <v>0</v>
      </c>
      <c r="AS1575">
        <v>7.8184649999999998</v>
      </c>
    </row>
    <row r="1576" spans="1:45" x14ac:dyDescent="0.25">
      <c r="A1576">
        <v>295</v>
      </c>
      <c r="B1576">
        <v>2000</v>
      </c>
      <c r="C1576" s="8">
        <v>0</v>
      </c>
      <c r="D1576">
        <v>6.5100400000000003E-2</v>
      </c>
      <c r="E1576">
        <v>-0.1807676</v>
      </c>
      <c r="F1576">
        <v>4.9495499999999998E-2</v>
      </c>
      <c r="G1576">
        <v>0.57957879999999995</v>
      </c>
      <c r="H1576">
        <v>0.31056810000000001</v>
      </c>
      <c r="Q1576" s="10">
        <f t="shared" si="68"/>
        <v>3.2903326044416863E-2</v>
      </c>
      <c r="AI1576">
        <v>0.1107326</v>
      </c>
      <c r="AJ1576">
        <f t="shared" si="67"/>
        <v>0.1107326</v>
      </c>
      <c r="AO1576">
        <v>0.1107326</v>
      </c>
      <c r="AR1576" s="8">
        <v>0</v>
      </c>
      <c r="AS1576">
        <v>7.4014170000000004</v>
      </c>
    </row>
    <row r="1577" spans="1:45" x14ac:dyDescent="0.25">
      <c r="A1577">
        <v>295</v>
      </c>
      <c r="B1577">
        <v>2001</v>
      </c>
      <c r="C1577" s="8">
        <v>0</v>
      </c>
      <c r="D1577">
        <v>-5.5344499999999998E-2</v>
      </c>
      <c r="E1577">
        <v>-0.2232952</v>
      </c>
      <c r="F1577">
        <v>3.4895500000000003E-2</v>
      </c>
      <c r="G1577">
        <v>0.45086749999999998</v>
      </c>
      <c r="H1577">
        <v>0.27800209999999997</v>
      </c>
      <c r="Q1577" s="10">
        <f t="shared" si="68"/>
        <v>4.4485683086613284E-2</v>
      </c>
      <c r="AI1577">
        <v>0.15520320000000001</v>
      </c>
      <c r="AJ1577">
        <f t="shared" si="67"/>
        <v>0.15520320000000001</v>
      </c>
      <c r="AO1577">
        <v>0.15520320000000001</v>
      </c>
      <c r="AR1577" s="8">
        <v>0</v>
      </c>
      <c r="AS1577">
        <v>0.45585910000000002</v>
      </c>
    </row>
    <row r="1578" spans="1:45" x14ac:dyDescent="0.25">
      <c r="A1578">
        <v>295</v>
      </c>
      <c r="B1578">
        <v>2002</v>
      </c>
      <c r="C1578" s="8">
        <v>0</v>
      </c>
      <c r="D1578">
        <v>0.1107326</v>
      </c>
      <c r="E1578">
        <v>-0.27365050000000002</v>
      </c>
      <c r="F1578">
        <v>6.5700700000000001E-2</v>
      </c>
      <c r="G1578">
        <v>0.56344289999999997</v>
      </c>
      <c r="H1578">
        <v>0.31353999999999999</v>
      </c>
      <c r="Q1578" s="10">
        <f t="shared" si="68"/>
        <v>3.4595222415166764E-2</v>
      </c>
      <c r="AI1578">
        <v>0.1577144</v>
      </c>
      <c r="AJ1578">
        <f t="shared" si="67"/>
        <v>0.1577144</v>
      </c>
      <c r="AO1578">
        <v>0.1577144</v>
      </c>
      <c r="AR1578" s="8">
        <v>0</v>
      </c>
      <c r="AS1578">
        <v>0.57957879999999995</v>
      </c>
    </row>
    <row r="1579" spans="1:45" x14ac:dyDescent="0.25">
      <c r="A1579">
        <v>295</v>
      </c>
      <c r="B1579">
        <v>2003</v>
      </c>
      <c r="C1579" s="8">
        <v>0</v>
      </c>
      <c r="D1579">
        <v>0.15520320000000001</v>
      </c>
      <c r="E1579">
        <v>-0.28339900000000001</v>
      </c>
      <c r="F1579">
        <v>5.0953199999999997E-2</v>
      </c>
      <c r="G1579">
        <v>0.53327000000000002</v>
      </c>
      <c r="H1579">
        <v>0.36362660000000002</v>
      </c>
      <c r="Q1579" s="10">
        <f t="shared" si="68"/>
        <v>4.3142750842968258E-2</v>
      </c>
      <c r="AI1579">
        <v>0.15536359999999999</v>
      </c>
      <c r="AJ1579">
        <f t="shared" si="67"/>
        <v>0.15536359999999999</v>
      </c>
      <c r="AO1579">
        <v>0.15536359999999999</v>
      </c>
      <c r="AR1579" s="8">
        <v>0</v>
      </c>
      <c r="AS1579">
        <v>0.45086749999999998</v>
      </c>
    </row>
    <row r="1580" spans="1:45" x14ac:dyDescent="0.25">
      <c r="A1580">
        <v>295</v>
      </c>
      <c r="B1580">
        <v>2004</v>
      </c>
      <c r="C1580" s="8">
        <v>0</v>
      </c>
      <c r="D1580">
        <v>0.1577144</v>
      </c>
      <c r="E1580">
        <v>-0.25539499999999998</v>
      </c>
      <c r="F1580">
        <v>7.6363299999999995E-2</v>
      </c>
      <c r="G1580">
        <v>0.71583479999999999</v>
      </c>
      <c r="H1580">
        <v>0.34753899999999999</v>
      </c>
      <c r="Q1580" s="10">
        <f t="shared" si="68"/>
        <v>2.5506649611396211E-2</v>
      </c>
      <c r="AI1580">
        <v>1.8436299999999999E-2</v>
      </c>
      <c r="AJ1580">
        <f t="shared" si="67"/>
        <v>1.8436299999999999E-2</v>
      </c>
      <c r="AO1580">
        <v>1.8436299999999999E-2</v>
      </c>
      <c r="AR1580" s="8">
        <v>0</v>
      </c>
      <c r="AS1580">
        <v>0.56344289999999997</v>
      </c>
    </row>
    <row r="1581" spans="1:45" x14ac:dyDescent="0.25">
      <c r="A1581">
        <v>296</v>
      </c>
      <c r="B1581">
        <v>1995</v>
      </c>
      <c r="C1581" s="8">
        <v>0</v>
      </c>
      <c r="D1581">
        <v>0.15536359999999999</v>
      </c>
      <c r="E1581">
        <v>0.2892498</v>
      </c>
      <c r="F1581">
        <v>3.6045500000000001E-2</v>
      </c>
      <c r="G1581">
        <v>1.5390699999999999</v>
      </c>
      <c r="H1581">
        <v>0.1980924</v>
      </c>
      <c r="Q1581" s="10">
        <f t="shared" si="68"/>
        <v>3.9982550557352827E-3</v>
      </c>
      <c r="AI1581">
        <v>6.6159999999999997E-2</v>
      </c>
      <c r="AJ1581">
        <f t="shared" si="67"/>
        <v>6.6159999999999997E-2</v>
      </c>
      <c r="AO1581">
        <v>6.6159999999999997E-2</v>
      </c>
      <c r="AR1581" s="8">
        <v>0</v>
      </c>
      <c r="AS1581">
        <v>0.53327000000000002</v>
      </c>
    </row>
    <row r="1582" spans="1:45" x14ac:dyDescent="0.25">
      <c r="A1582">
        <v>296</v>
      </c>
      <c r="B1582">
        <v>1996</v>
      </c>
      <c r="C1582" s="8">
        <v>0</v>
      </c>
      <c r="D1582">
        <v>1.8436299999999999E-2</v>
      </c>
      <c r="E1582">
        <v>0.22935330000000001</v>
      </c>
      <c r="F1582">
        <v>5.1409200000000002E-2</v>
      </c>
      <c r="G1582">
        <v>1.7439770000000001</v>
      </c>
      <c r="H1582">
        <v>0.27603620000000001</v>
      </c>
      <c r="Q1582" s="10">
        <f t="shared" si="68"/>
        <v>2.7629970901043017E-3</v>
      </c>
      <c r="AI1582">
        <v>3.4256099999999998E-2</v>
      </c>
      <c r="AJ1582">
        <f t="shared" si="67"/>
        <v>3.4256099999999998E-2</v>
      </c>
      <c r="AO1582">
        <v>3.4256099999999998E-2</v>
      </c>
      <c r="AR1582" s="8">
        <v>0</v>
      </c>
      <c r="AS1582">
        <v>0.71583479999999999</v>
      </c>
    </row>
    <row r="1583" spans="1:45" x14ac:dyDescent="0.25">
      <c r="A1583">
        <v>296</v>
      </c>
      <c r="B1583">
        <v>1997</v>
      </c>
      <c r="C1583" s="8">
        <v>0</v>
      </c>
      <c r="D1583">
        <v>6.6159999999999997E-2</v>
      </c>
      <c r="E1583">
        <v>0.2414772</v>
      </c>
      <c r="F1583">
        <v>6.2269999999999999E-2</v>
      </c>
      <c r="G1583">
        <v>2.44075</v>
      </c>
      <c r="H1583">
        <v>0.24907699999999999</v>
      </c>
      <c r="Q1583" s="10">
        <f t="shared" si="68"/>
        <v>8.2402837463479593E-4</v>
      </c>
      <c r="AI1583">
        <v>5.5366800000000001E-2</v>
      </c>
      <c r="AJ1583">
        <f t="shared" si="67"/>
        <v>5.5366800000000001E-2</v>
      </c>
      <c r="AO1583">
        <v>5.5366800000000001E-2</v>
      </c>
      <c r="AR1583" s="8">
        <v>0</v>
      </c>
      <c r="AS1583">
        <v>1.5390699999999999</v>
      </c>
    </row>
    <row r="1584" spans="1:45" x14ac:dyDescent="0.25">
      <c r="A1584">
        <v>296</v>
      </c>
      <c r="B1584">
        <v>1998</v>
      </c>
      <c r="C1584" s="8">
        <v>0</v>
      </c>
      <c r="D1584">
        <v>3.4256099999999998E-2</v>
      </c>
      <c r="E1584">
        <v>0.24437700000000001</v>
      </c>
      <c r="F1584">
        <v>3.0792699999999999E-2</v>
      </c>
      <c r="G1584">
        <v>2.090497</v>
      </c>
      <c r="H1584">
        <v>0.2436874</v>
      </c>
      <c r="Q1584" s="10">
        <f t="shared" si="68"/>
        <v>1.8123652999083779E-3</v>
      </c>
      <c r="AI1584">
        <v>4.2373500000000001E-2</v>
      </c>
      <c r="AJ1584">
        <f t="shared" si="67"/>
        <v>4.2373500000000001E-2</v>
      </c>
      <c r="AO1584">
        <v>4.2373500000000001E-2</v>
      </c>
      <c r="AR1584" s="8">
        <v>0</v>
      </c>
      <c r="AS1584">
        <v>1.7439770000000001</v>
      </c>
    </row>
    <row r="1585" spans="1:45" x14ac:dyDescent="0.25">
      <c r="A1585">
        <v>296</v>
      </c>
      <c r="B1585">
        <v>1999</v>
      </c>
      <c r="C1585" s="8">
        <v>0</v>
      </c>
      <c r="D1585">
        <v>5.5366800000000001E-2</v>
      </c>
      <c r="E1585">
        <v>0.25108209999999997</v>
      </c>
      <c r="F1585">
        <v>7.6067800000000005E-2</v>
      </c>
      <c r="G1585">
        <v>2.5862620000000001</v>
      </c>
      <c r="H1585">
        <v>0.41720810000000003</v>
      </c>
      <c r="Q1585" s="10">
        <f t="shared" si="68"/>
        <v>6.3771462239422573E-4</v>
      </c>
      <c r="AI1585">
        <v>-4.2725999999999997E-3</v>
      </c>
      <c r="AJ1585">
        <f t="shared" si="67"/>
        <v>-4.2725999999999997E-3</v>
      </c>
      <c r="AO1585">
        <v>-4.2725999999999997E-3</v>
      </c>
      <c r="AR1585" s="8">
        <v>0</v>
      </c>
      <c r="AS1585">
        <v>2.44075</v>
      </c>
    </row>
    <row r="1586" spans="1:45" x14ac:dyDescent="0.25">
      <c r="A1586">
        <v>296</v>
      </c>
      <c r="B1586">
        <v>2000</v>
      </c>
      <c r="C1586" s="8">
        <v>0</v>
      </c>
      <c r="D1586">
        <v>4.2373500000000001E-2</v>
      </c>
      <c r="E1586">
        <v>0.21643960000000001</v>
      </c>
      <c r="F1586">
        <v>0.10400860000000001</v>
      </c>
      <c r="G1586">
        <v>2.4754200000000002</v>
      </c>
      <c r="H1586">
        <v>0.48080699999999998</v>
      </c>
      <c r="Q1586" s="10">
        <f t="shared" si="68"/>
        <v>6.6209143156845357E-4</v>
      </c>
      <c r="AI1586">
        <v>0.18678929999999999</v>
      </c>
      <c r="AJ1586">
        <f t="shared" si="67"/>
        <v>0.18678929999999999</v>
      </c>
      <c r="AO1586">
        <v>0.18678929999999999</v>
      </c>
      <c r="AR1586" s="8">
        <v>0</v>
      </c>
      <c r="AS1586">
        <v>2.090497</v>
      </c>
    </row>
    <row r="1587" spans="1:45" x14ac:dyDescent="0.25">
      <c r="A1587">
        <v>296</v>
      </c>
      <c r="B1587">
        <v>2001</v>
      </c>
      <c r="C1587" s="8">
        <v>0</v>
      </c>
      <c r="D1587">
        <v>-4.2725999999999997E-3</v>
      </c>
      <c r="E1587">
        <v>0.25561709999999999</v>
      </c>
      <c r="F1587">
        <v>4.1816699999999998E-2</v>
      </c>
      <c r="G1587">
        <v>2.7440359999999999</v>
      </c>
      <c r="H1587">
        <v>0.3222238</v>
      </c>
      <c r="Q1587" s="10">
        <f t="shared" si="68"/>
        <v>5.9604102224893301E-4</v>
      </c>
      <c r="AI1587">
        <v>0.1409068</v>
      </c>
      <c r="AJ1587">
        <f t="shared" si="67"/>
        <v>0.1409068</v>
      </c>
      <c r="AO1587">
        <v>0.1409068</v>
      </c>
      <c r="AR1587" s="8">
        <v>0</v>
      </c>
      <c r="AS1587">
        <v>2.5862620000000001</v>
      </c>
    </row>
    <row r="1588" spans="1:45" x14ac:dyDescent="0.25">
      <c r="A1588">
        <v>297</v>
      </c>
      <c r="B1588">
        <v>1995</v>
      </c>
      <c r="C1588" s="8">
        <v>0</v>
      </c>
      <c r="D1588">
        <v>0.18678929999999999</v>
      </c>
      <c r="E1588">
        <v>0.19100890000000001</v>
      </c>
      <c r="F1588">
        <v>5.1937200000000003E-2</v>
      </c>
      <c r="G1588">
        <v>1.4603079999999999</v>
      </c>
      <c r="H1588">
        <v>0.22370709999999999</v>
      </c>
      <c r="Q1588" s="10">
        <f t="shared" si="68"/>
        <v>4.7362877637364496E-3</v>
      </c>
      <c r="AI1588">
        <v>0.12676609999999999</v>
      </c>
      <c r="AJ1588">
        <f t="shared" si="67"/>
        <v>0.12676609999999999</v>
      </c>
      <c r="AO1588">
        <v>0.12676609999999999</v>
      </c>
      <c r="AR1588" s="8">
        <v>0</v>
      </c>
      <c r="AS1588">
        <v>2.4754200000000002</v>
      </c>
    </row>
    <row r="1589" spans="1:45" x14ac:dyDescent="0.25">
      <c r="A1589">
        <v>297</v>
      </c>
      <c r="B1589">
        <v>1996</v>
      </c>
      <c r="C1589" s="8">
        <v>0</v>
      </c>
      <c r="D1589">
        <v>0.1409068</v>
      </c>
      <c r="E1589">
        <v>0.12910640000000001</v>
      </c>
      <c r="F1589">
        <v>4.1369599999999999E-2</v>
      </c>
      <c r="G1589">
        <v>1.3963449999999999</v>
      </c>
      <c r="H1589">
        <v>0.10511479999999999</v>
      </c>
      <c r="Q1589" s="10">
        <f t="shared" si="68"/>
        <v>5.6874353587299895E-3</v>
      </c>
      <c r="AI1589">
        <v>7.19254E-2</v>
      </c>
      <c r="AJ1589">
        <f t="shared" si="67"/>
        <v>7.19254E-2</v>
      </c>
      <c r="AO1589">
        <v>7.19254E-2</v>
      </c>
      <c r="AR1589" s="8">
        <v>0</v>
      </c>
      <c r="AS1589">
        <v>2.7440359999999999</v>
      </c>
    </row>
    <row r="1590" spans="1:45" x14ac:dyDescent="0.25">
      <c r="A1590">
        <v>297</v>
      </c>
      <c r="B1590">
        <v>1997</v>
      </c>
      <c r="C1590" s="8">
        <v>0</v>
      </c>
      <c r="D1590">
        <v>0.12676609999999999</v>
      </c>
      <c r="E1590">
        <v>0.12773390000000001</v>
      </c>
      <c r="F1590">
        <v>3.4030900000000003E-2</v>
      </c>
      <c r="G1590">
        <v>0.72847399999999995</v>
      </c>
      <c r="H1590">
        <v>7.9049999999999995E-2</v>
      </c>
      <c r="Q1590" s="10">
        <f t="shared" si="68"/>
        <v>1.694335184548227E-2</v>
      </c>
      <c r="AI1590">
        <v>7.4018299999999995E-2</v>
      </c>
      <c r="AJ1590">
        <f t="shared" si="67"/>
        <v>7.4018299999999995E-2</v>
      </c>
      <c r="AO1590">
        <v>7.4018299999999995E-2</v>
      </c>
      <c r="AR1590" s="8">
        <v>0</v>
      </c>
      <c r="AS1590">
        <v>1.4603079999999999</v>
      </c>
    </row>
    <row r="1591" spans="1:45" x14ac:dyDescent="0.25">
      <c r="A1591">
        <v>297</v>
      </c>
      <c r="B1591">
        <v>1998</v>
      </c>
      <c r="C1591" s="8">
        <v>0</v>
      </c>
      <c r="D1591">
        <v>7.19254E-2</v>
      </c>
      <c r="E1591">
        <v>0.14123569999999999</v>
      </c>
      <c r="F1591">
        <v>1.68734E-2</v>
      </c>
      <c r="G1591">
        <v>0.53004629999999997</v>
      </c>
      <c r="H1591">
        <v>7.1757399999999999E-2</v>
      </c>
      <c r="Q1591" s="10">
        <f t="shared" si="68"/>
        <v>2.5228935979647628E-2</v>
      </c>
      <c r="AI1591">
        <v>6.8238999999999994E-2</v>
      </c>
      <c r="AJ1591">
        <f t="shared" si="67"/>
        <v>6.8238999999999994E-2</v>
      </c>
      <c r="AO1591">
        <v>6.8238999999999994E-2</v>
      </c>
      <c r="AR1591" s="8">
        <v>0</v>
      </c>
      <c r="AS1591">
        <v>1.3963449999999999</v>
      </c>
    </row>
    <row r="1592" spans="1:45" x14ac:dyDescent="0.25">
      <c r="A1592">
        <v>297</v>
      </c>
      <c r="B1592">
        <v>1999</v>
      </c>
      <c r="C1592" s="8">
        <v>0</v>
      </c>
      <c r="D1592">
        <v>7.4018299999999995E-2</v>
      </c>
      <c r="E1592">
        <v>0.12742690000000001</v>
      </c>
      <c r="F1592">
        <v>5.0559100000000003E-2</v>
      </c>
      <c r="G1592">
        <v>1.3272219999999999</v>
      </c>
      <c r="H1592">
        <v>0.1191357</v>
      </c>
      <c r="Q1592" s="10">
        <f t="shared" si="68"/>
        <v>5.8020059555889854E-3</v>
      </c>
      <c r="AI1592">
        <v>9.8392300000000002E-2</v>
      </c>
      <c r="AJ1592">
        <f t="shared" si="67"/>
        <v>9.8392300000000002E-2</v>
      </c>
      <c r="AO1592">
        <v>9.8392300000000002E-2</v>
      </c>
      <c r="AR1592" s="8">
        <v>0</v>
      </c>
      <c r="AS1592">
        <v>0.72847399999999995</v>
      </c>
    </row>
    <row r="1593" spans="1:45" x14ac:dyDescent="0.25">
      <c r="A1593">
        <v>297</v>
      </c>
      <c r="B1593">
        <v>2000</v>
      </c>
      <c r="C1593" s="8">
        <v>0</v>
      </c>
      <c r="D1593">
        <v>6.8238999999999994E-2</v>
      </c>
      <c r="E1593">
        <v>0.123963</v>
      </c>
      <c r="F1593">
        <v>4.7078000000000002E-2</v>
      </c>
      <c r="G1593">
        <v>0.68874020000000002</v>
      </c>
      <c r="H1593">
        <v>0.1061545</v>
      </c>
      <c r="Q1593" s="10">
        <f t="shared" si="68"/>
        <v>1.6241523352569533E-2</v>
      </c>
      <c r="AI1593">
        <v>0.1481972</v>
      </c>
      <c r="AJ1593">
        <f t="shared" si="67"/>
        <v>0.1481972</v>
      </c>
      <c r="AO1593">
        <v>0.1481972</v>
      </c>
      <c r="AR1593" s="8">
        <v>0</v>
      </c>
      <c r="AS1593">
        <v>0.53004629999999997</v>
      </c>
    </row>
    <row r="1594" spans="1:45" x14ac:dyDescent="0.25">
      <c r="A1594">
        <v>297</v>
      </c>
      <c r="B1594">
        <v>2001</v>
      </c>
      <c r="C1594" s="8">
        <v>0</v>
      </c>
      <c r="D1594">
        <v>9.8392300000000002E-2</v>
      </c>
      <c r="E1594">
        <v>0.1950983</v>
      </c>
      <c r="F1594">
        <v>3.0896300000000002E-2</v>
      </c>
      <c r="G1594">
        <v>0.75440850000000004</v>
      </c>
      <c r="H1594">
        <v>7.7420199999999995E-2</v>
      </c>
      <c r="Q1594" s="10">
        <f t="shared" si="68"/>
        <v>1.4953203180945064E-2</v>
      </c>
      <c r="AI1594">
        <v>0.1177033</v>
      </c>
      <c r="AJ1594">
        <f t="shared" si="67"/>
        <v>0.1177033</v>
      </c>
      <c r="AO1594">
        <v>0.1177033</v>
      </c>
      <c r="AR1594" s="8">
        <v>0</v>
      </c>
      <c r="AS1594">
        <v>1.3272219999999999</v>
      </c>
    </row>
    <row r="1595" spans="1:45" x14ac:dyDescent="0.25">
      <c r="A1595">
        <v>297</v>
      </c>
      <c r="B1595">
        <v>2002</v>
      </c>
      <c r="C1595" s="8">
        <v>0</v>
      </c>
      <c r="D1595">
        <v>0.1481972</v>
      </c>
      <c r="E1595">
        <v>3.5690800000000002E-2</v>
      </c>
      <c r="F1595">
        <v>3.1619599999999998E-2</v>
      </c>
      <c r="G1595">
        <v>0.84343020000000002</v>
      </c>
      <c r="H1595">
        <v>8.4072300000000003E-2</v>
      </c>
      <c r="Q1595" s="10">
        <f t="shared" si="68"/>
        <v>1.6644830150440413E-2</v>
      </c>
      <c r="AI1595">
        <v>0.1448883</v>
      </c>
      <c r="AJ1595">
        <f t="shared" si="67"/>
        <v>0.1448883</v>
      </c>
      <c r="AO1595">
        <v>0.1448883</v>
      </c>
      <c r="AR1595" s="8">
        <v>0</v>
      </c>
      <c r="AS1595">
        <v>0.68874020000000002</v>
      </c>
    </row>
    <row r="1596" spans="1:45" x14ac:dyDescent="0.25">
      <c r="A1596">
        <v>297</v>
      </c>
      <c r="B1596">
        <v>2003</v>
      </c>
      <c r="C1596" s="8">
        <v>0</v>
      </c>
      <c r="D1596">
        <v>0.1177033</v>
      </c>
      <c r="E1596">
        <v>7.3494400000000001E-2</v>
      </c>
      <c r="F1596">
        <v>5.64051E-2</v>
      </c>
      <c r="G1596">
        <v>1.449171</v>
      </c>
      <c r="H1596">
        <v>0.1229372</v>
      </c>
      <c r="Q1596" s="10">
        <f t="shared" si="68"/>
        <v>5.0367000201847738E-3</v>
      </c>
      <c r="AI1596">
        <v>0.21169969999999999</v>
      </c>
      <c r="AJ1596">
        <f t="shared" si="67"/>
        <v>0.21169969999999999</v>
      </c>
      <c r="AO1596">
        <v>0.21169969999999999</v>
      </c>
      <c r="AR1596" s="8">
        <v>0</v>
      </c>
      <c r="AS1596">
        <v>0.75440850000000004</v>
      </c>
    </row>
    <row r="1597" spans="1:45" x14ac:dyDescent="0.25">
      <c r="A1597">
        <v>297</v>
      </c>
      <c r="B1597">
        <v>2004</v>
      </c>
      <c r="C1597" s="8">
        <v>0</v>
      </c>
      <c r="D1597">
        <v>0.1448883</v>
      </c>
      <c r="E1597">
        <v>0.13252430000000001</v>
      </c>
      <c r="F1597">
        <v>5.7075000000000001E-2</v>
      </c>
      <c r="G1597">
        <v>1.149721</v>
      </c>
      <c r="H1597">
        <v>0.12942909999999999</v>
      </c>
      <c r="Q1597" s="10">
        <f t="shared" si="68"/>
        <v>7.50499075359493E-3</v>
      </c>
      <c r="AI1597">
        <v>0.2588145</v>
      </c>
      <c r="AJ1597">
        <f t="shared" si="67"/>
        <v>0.2588145</v>
      </c>
      <c r="AO1597">
        <v>0.2588145</v>
      </c>
      <c r="AR1597" s="8">
        <v>0</v>
      </c>
      <c r="AS1597">
        <v>0.84343020000000002</v>
      </c>
    </row>
    <row r="1598" spans="1:45" x14ac:dyDescent="0.25">
      <c r="A1598">
        <v>298</v>
      </c>
      <c r="B1598">
        <v>1995</v>
      </c>
      <c r="C1598" s="8">
        <v>0</v>
      </c>
      <c r="D1598">
        <v>0.21169969999999999</v>
      </c>
      <c r="E1598">
        <v>0.31560640000000001</v>
      </c>
      <c r="F1598">
        <v>6.3015100000000004E-2</v>
      </c>
      <c r="G1598">
        <v>1.0558650000000001</v>
      </c>
      <c r="H1598">
        <v>0.31667960000000001</v>
      </c>
      <c r="Q1598" s="10">
        <f t="shared" si="68"/>
        <v>7.3543887625078328E-3</v>
      </c>
      <c r="AI1598">
        <v>6.7035899999999995E-2</v>
      </c>
      <c r="AJ1598">
        <f t="shared" si="67"/>
        <v>6.7035899999999995E-2</v>
      </c>
      <c r="AO1598">
        <v>6.7035899999999995E-2</v>
      </c>
      <c r="AR1598" s="8">
        <v>0</v>
      </c>
      <c r="AS1598">
        <v>1.449171</v>
      </c>
    </row>
    <row r="1599" spans="1:45" x14ac:dyDescent="0.25">
      <c r="A1599">
        <v>298</v>
      </c>
      <c r="B1599">
        <v>1996</v>
      </c>
      <c r="C1599" s="8">
        <v>0</v>
      </c>
      <c r="D1599">
        <v>0.2588145</v>
      </c>
      <c r="E1599">
        <v>0.35075980000000001</v>
      </c>
      <c r="F1599">
        <v>5.9672999999999997E-2</v>
      </c>
      <c r="G1599">
        <v>1.4088529999999999</v>
      </c>
      <c r="H1599">
        <v>0.3439779</v>
      </c>
      <c r="Q1599" s="10">
        <f t="shared" si="68"/>
        <v>4.2544138395296657E-3</v>
      </c>
      <c r="AI1599">
        <v>8.9922500000000002E-2</v>
      </c>
      <c r="AJ1599">
        <f t="shared" si="67"/>
        <v>8.9922500000000002E-2</v>
      </c>
      <c r="AO1599">
        <v>8.9922500000000002E-2</v>
      </c>
      <c r="AR1599" s="8">
        <v>0</v>
      </c>
      <c r="AS1599">
        <v>1.149721</v>
      </c>
    </row>
    <row r="1600" spans="1:45" x14ac:dyDescent="0.25">
      <c r="A1600">
        <v>298</v>
      </c>
      <c r="B1600">
        <v>1997</v>
      </c>
      <c r="C1600" s="8">
        <v>0</v>
      </c>
      <c r="D1600">
        <v>6.7035899999999995E-2</v>
      </c>
      <c r="E1600">
        <v>0.27380260000000001</v>
      </c>
      <c r="F1600">
        <v>5.7861700000000002E-2</v>
      </c>
      <c r="G1600">
        <v>1.126074</v>
      </c>
      <c r="H1600">
        <v>0.26046629999999998</v>
      </c>
      <c r="Q1600" s="10">
        <f t="shared" si="68"/>
        <v>6.6284119134368521E-3</v>
      </c>
      <c r="AI1600">
        <v>0.16131090000000001</v>
      </c>
      <c r="AJ1600">
        <f t="shared" si="67"/>
        <v>0.16131090000000001</v>
      </c>
      <c r="AO1600">
        <v>0.16131090000000001</v>
      </c>
      <c r="AR1600" s="8">
        <v>0</v>
      </c>
      <c r="AS1600">
        <v>1.0558650000000001</v>
      </c>
    </row>
    <row r="1601" spans="1:45" x14ac:dyDescent="0.25">
      <c r="A1601">
        <v>298</v>
      </c>
      <c r="B1601">
        <v>1998</v>
      </c>
      <c r="C1601" s="8">
        <v>0</v>
      </c>
      <c r="D1601">
        <v>8.9922500000000002E-2</v>
      </c>
      <c r="E1601">
        <v>0.31753239999999999</v>
      </c>
      <c r="F1601">
        <v>5.3572099999999997E-2</v>
      </c>
      <c r="G1601">
        <v>1.419259</v>
      </c>
      <c r="H1601">
        <v>0.24124899999999999</v>
      </c>
      <c r="Q1601" s="10">
        <f t="shared" si="68"/>
        <v>4.0352081169813467E-3</v>
      </c>
      <c r="AI1601">
        <v>-3.7157799999999998E-2</v>
      </c>
      <c r="AJ1601">
        <f t="shared" si="67"/>
        <v>-3.7157799999999998E-2</v>
      </c>
      <c r="AO1601">
        <v>-3.7157799999999998E-2</v>
      </c>
      <c r="AR1601" s="8">
        <v>0</v>
      </c>
      <c r="AS1601">
        <v>1.4088529999999999</v>
      </c>
    </row>
    <row r="1602" spans="1:45" x14ac:dyDescent="0.25">
      <c r="A1602">
        <v>298</v>
      </c>
      <c r="B1602">
        <v>1999</v>
      </c>
      <c r="C1602" s="8">
        <v>0</v>
      </c>
      <c r="D1602">
        <v>0.16131090000000001</v>
      </c>
      <c r="E1602">
        <v>0.37057760000000001</v>
      </c>
      <c r="F1602">
        <v>6.23405E-2</v>
      </c>
      <c r="G1602">
        <v>1.7203079999999999</v>
      </c>
      <c r="H1602">
        <v>0.24010029999999999</v>
      </c>
      <c r="Q1602" s="10">
        <f t="shared" si="68"/>
        <v>2.2227149677758943E-3</v>
      </c>
      <c r="AI1602">
        <v>5.7731999999999999E-2</v>
      </c>
      <c r="AJ1602">
        <f t="shared" si="67"/>
        <v>5.7731999999999999E-2</v>
      </c>
      <c r="AO1602">
        <v>5.7731999999999999E-2</v>
      </c>
      <c r="AR1602" s="8">
        <v>0</v>
      </c>
      <c r="AS1602">
        <v>1.126074</v>
      </c>
    </row>
    <row r="1603" spans="1:45" x14ac:dyDescent="0.25">
      <c r="A1603">
        <v>298</v>
      </c>
      <c r="B1603">
        <v>2000</v>
      </c>
      <c r="C1603" s="8">
        <v>0</v>
      </c>
      <c r="D1603">
        <v>-3.7157799999999998E-2</v>
      </c>
      <c r="E1603">
        <v>0.34919820000000001</v>
      </c>
      <c r="F1603">
        <v>5.8365100000000003E-2</v>
      </c>
      <c r="G1603">
        <v>0.99363380000000001</v>
      </c>
      <c r="H1603">
        <v>0.26506800000000003</v>
      </c>
      <c r="Q1603" s="10">
        <f t="shared" si="68"/>
        <v>7.0150156898650257E-3</v>
      </c>
      <c r="AI1603">
        <v>6.3675599999999999E-2</v>
      </c>
      <c r="AJ1603">
        <f t="shared" si="67"/>
        <v>6.3675599999999999E-2</v>
      </c>
      <c r="AO1603">
        <v>6.3675599999999999E-2</v>
      </c>
      <c r="AR1603" s="8">
        <v>0</v>
      </c>
      <c r="AS1603">
        <v>1.419259</v>
      </c>
    </row>
    <row r="1604" spans="1:45" x14ac:dyDescent="0.25">
      <c r="A1604">
        <v>298</v>
      </c>
      <c r="B1604">
        <v>2001</v>
      </c>
      <c r="C1604" s="8">
        <v>0</v>
      </c>
      <c r="D1604">
        <v>5.7731999999999999E-2</v>
      </c>
      <c r="E1604">
        <v>0.34117910000000001</v>
      </c>
      <c r="F1604">
        <v>5.2241299999999997E-2</v>
      </c>
      <c r="G1604">
        <v>1.0170589999999999</v>
      </c>
      <c r="H1604">
        <v>0.26422459999999998</v>
      </c>
      <c r="Q1604" s="10">
        <f t="shared" si="68"/>
        <v>7.4612049535510644E-3</v>
      </c>
      <c r="AI1604">
        <v>7.5808500000000001E-2</v>
      </c>
      <c r="AJ1604">
        <f t="shared" si="67"/>
        <v>7.5808500000000001E-2</v>
      </c>
      <c r="AO1604">
        <v>7.5808500000000001E-2</v>
      </c>
      <c r="AR1604" s="8">
        <v>0</v>
      </c>
      <c r="AS1604">
        <v>1.7203079999999999</v>
      </c>
    </row>
    <row r="1605" spans="1:45" x14ac:dyDescent="0.25">
      <c r="A1605">
        <v>298</v>
      </c>
      <c r="B1605">
        <v>2002</v>
      </c>
      <c r="C1605" s="8">
        <v>0</v>
      </c>
      <c r="D1605">
        <v>6.3675599999999999E-2</v>
      </c>
      <c r="E1605">
        <v>0.29640699999999998</v>
      </c>
      <c r="F1605">
        <v>5.2719500000000002E-2</v>
      </c>
      <c r="G1605">
        <v>1.0127360000000001</v>
      </c>
      <c r="H1605">
        <v>0.25754139999999998</v>
      </c>
      <c r="Q1605" s="10">
        <f t="shared" si="68"/>
        <v>7.97003533820171E-3</v>
      </c>
      <c r="AI1605">
        <v>0.1725044</v>
      </c>
      <c r="AJ1605">
        <f t="shared" ref="AJ1605:AJ1668" si="69">MAX(MIN(AI1605,AM$5),AM$4)</f>
        <v>0.1725044</v>
      </c>
      <c r="AO1605">
        <v>0.1725044</v>
      </c>
      <c r="AR1605" s="8">
        <v>0</v>
      </c>
      <c r="AS1605">
        <v>0.99363380000000001</v>
      </c>
    </row>
    <row r="1606" spans="1:45" x14ac:dyDescent="0.25">
      <c r="A1606">
        <v>298</v>
      </c>
      <c r="B1606">
        <v>2003</v>
      </c>
      <c r="C1606" s="8">
        <v>0</v>
      </c>
      <c r="D1606">
        <v>7.5808500000000001E-2</v>
      </c>
      <c r="E1606">
        <v>0.39242959999999999</v>
      </c>
      <c r="F1606">
        <v>4.9124800000000003E-2</v>
      </c>
      <c r="G1606">
        <v>1.9400390000000001</v>
      </c>
      <c r="H1606">
        <v>0.23897080000000001</v>
      </c>
      <c r="Q1606" s="10">
        <f t="shared" si="68"/>
        <v>1.6273811827006185E-3</v>
      </c>
      <c r="AI1606">
        <v>0.23858480000000001</v>
      </c>
      <c r="AJ1606">
        <f t="shared" si="69"/>
        <v>0.23858480000000001</v>
      </c>
      <c r="AO1606">
        <v>0.23858480000000001</v>
      </c>
      <c r="AR1606" s="8">
        <v>0</v>
      </c>
      <c r="AS1606">
        <v>1.0170589999999999</v>
      </c>
    </row>
    <row r="1607" spans="1:45" x14ac:dyDescent="0.25">
      <c r="A1607">
        <v>298</v>
      </c>
      <c r="B1607">
        <v>2004</v>
      </c>
      <c r="C1607" s="8">
        <v>0</v>
      </c>
      <c r="D1607">
        <v>0.1725044</v>
      </c>
      <c r="E1607">
        <v>0.47772229999999999</v>
      </c>
      <c r="F1607">
        <v>6.4723000000000003E-2</v>
      </c>
      <c r="G1607">
        <v>2.4597509999999998</v>
      </c>
      <c r="H1607">
        <v>0.2436333</v>
      </c>
      <c r="Q1607" s="10">
        <f t="shared" ref="Q1607:Q1670" si="70">1/(1+EXP(-(J$6+SUMPRODUCT(K$6:O$6,D1607:H1607))))</f>
        <v>5.7925222259142288E-4</v>
      </c>
      <c r="AI1607">
        <v>0.21158060000000001</v>
      </c>
      <c r="AJ1607">
        <f t="shared" si="69"/>
        <v>0.21158060000000001</v>
      </c>
      <c r="AO1607">
        <v>0.21158060000000001</v>
      </c>
      <c r="AR1607" s="8">
        <v>0</v>
      </c>
      <c r="AS1607">
        <v>1.0127360000000001</v>
      </c>
    </row>
    <row r="1608" spans="1:45" x14ac:dyDescent="0.25">
      <c r="A1608">
        <v>299</v>
      </c>
      <c r="B1608">
        <v>1996</v>
      </c>
      <c r="C1608" s="8">
        <v>0</v>
      </c>
      <c r="D1608">
        <v>0.23858480000000001</v>
      </c>
      <c r="E1608">
        <v>-2.3847400000000001E-2</v>
      </c>
      <c r="F1608">
        <v>3.2893400000000003E-2</v>
      </c>
      <c r="G1608">
        <v>0.38053880000000001</v>
      </c>
      <c r="H1608">
        <v>0.347111</v>
      </c>
      <c r="Q1608" s="10">
        <f t="shared" si="70"/>
        <v>4.4601440189289562E-2</v>
      </c>
      <c r="AI1608">
        <v>0.44713629999999999</v>
      </c>
      <c r="AJ1608">
        <f t="shared" si="69"/>
        <v>0.44713629999999999</v>
      </c>
      <c r="AO1608">
        <v>0.44713629999999999</v>
      </c>
      <c r="AR1608" s="8">
        <v>0</v>
      </c>
      <c r="AS1608">
        <v>1.9400390000000001</v>
      </c>
    </row>
    <row r="1609" spans="1:45" x14ac:dyDescent="0.25">
      <c r="A1609">
        <v>299</v>
      </c>
      <c r="B1609">
        <v>1997</v>
      </c>
      <c r="C1609" s="8">
        <v>0</v>
      </c>
      <c r="D1609">
        <v>0.21158060000000001</v>
      </c>
      <c r="E1609">
        <v>2.1441399999999999E-2</v>
      </c>
      <c r="F1609">
        <v>5.3616200000000003E-2</v>
      </c>
      <c r="G1609">
        <v>0.32937539999999998</v>
      </c>
      <c r="H1609">
        <v>0.21363009999999999</v>
      </c>
      <c r="Q1609" s="10">
        <f t="shared" si="70"/>
        <v>3.5285714987363423E-2</v>
      </c>
      <c r="AI1609">
        <v>0.4750317</v>
      </c>
      <c r="AJ1609">
        <f t="shared" si="69"/>
        <v>0.4750317</v>
      </c>
      <c r="AO1609">
        <v>0.4750317</v>
      </c>
      <c r="AR1609" s="8">
        <v>0</v>
      </c>
      <c r="AS1609">
        <v>2.4597509999999998</v>
      </c>
    </row>
    <row r="1610" spans="1:45" x14ac:dyDescent="0.25">
      <c r="A1610">
        <v>299</v>
      </c>
      <c r="B1610">
        <v>1998</v>
      </c>
      <c r="C1610" s="8">
        <v>0</v>
      </c>
      <c r="D1610">
        <v>0.44713629999999999</v>
      </c>
      <c r="E1610">
        <v>0.37358730000000001</v>
      </c>
      <c r="F1610">
        <v>3.2555300000000002E-2</v>
      </c>
      <c r="G1610">
        <v>0.50139149999999999</v>
      </c>
      <c r="H1610">
        <v>0.48830760000000001</v>
      </c>
      <c r="Q1610" s="10">
        <f t="shared" si="70"/>
        <v>2.5130988961251384E-2</v>
      </c>
      <c r="AI1610">
        <v>0.32174950000000002</v>
      </c>
      <c r="AJ1610">
        <f t="shared" si="69"/>
        <v>0.32174950000000002</v>
      </c>
      <c r="AO1610">
        <v>0.32174950000000002</v>
      </c>
      <c r="AR1610" s="8">
        <v>0</v>
      </c>
      <c r="AS1610">
        <v>0.38053880000000001</v>
      </c>
    </row>
    <row r="1611" spans="1:45" x14ac:dyDescent="0.25">
      <c r="A1611">
        <v>299</v>
      </c>
      <c r="B1611">
        <v>1999</v>
      </c>
      <c r="C1611" s="8">
        <v>0</v>
      </c>
      <c r="D1611">
        <v>0.4750317</v>
      </c>
      <c r="E1611">
        <v>0.43259890000000001</v>
      </c>
      <c r="F1611">
        <v>4.0895599999999997E-2</v>
      </c>
      <c r="G1611">
        <v>0.73415359999999996</v>
      </c>
      <c r="H1611">
        <v>0.52388270000000003</v>
      </c>
      <c r="Q1611" s="10">
        <f t="shared" si="70"/>
        <v>1.5549700007780227E-2</v>
      </c>
      <c r="AI1611">
        <v>0.42631150000000001</v>
      </c>
      <c r="AJ1611">
        <f t="shared" si="69"/>
        <v>0.42631150000000001</v>
      </c>
      <c r="AO1611">
        <v>0.42631150000000001</v>
      </c>
      <c r="AR1611" s="8">
        <v>0</v>
      </c>
      <c r="AS1611">
        <v>0.32937539999999998</v>
      </c>
    </row>
    <row r="1612" spans="1:45" x14ac:dyDescent="0.25">
      <c r="A1612">
        <v>299</v>
      </c>
      <c r="B1612">
        <v>2000</v>
      </c>
      <c r="C1612" s="8">
        <v>0</v>
      </c>
      <c r="D1612">
        <v>0.32174950000000002</v>
      </c>
      <c r="E1612">
        <v>0.39684720000000001</v>
      </c>
      <c r="F1612">
        <v>3.2821700000000002E-2</v>
      </c>
      <c r="G1612">
        <v>0.32157469999999999</v>
      </c>
      <c r="H1612">
        <v>0.46792139999999999</v>
      </c>
      <c r="Q1612" s="10">
        <f t="shared" si="70"/>
        <v>3.0113922143621508E-2</v>
      </c>
      <c r="AI1612">
        <v>0.49327389999999999</v>
      </c>
      <c r="AJ1612">
        <f t="shared" si="69"/>
        <v>0.49327389999999999</v>
      </c>
      <c r="AO1612">
        <v>0.49327389999999999</v>
      </c>
      <c r="AR1612" s="8">
        <v>0</v>
      </c>
      <c r="AS1612">
        <v>0.50139149999999999</v>
      </c>
    </row>
    <row r="1613" spans="1:45" x14ac:dyDescent="0.25">
      <c r="A1613">
        <v>299</v>
      </c>
      <c r="B1613">
        <v>2001</v>
      </c>
      <c r="C1613" s="8">
        <v>0</v>
      </c>
      <c r="D1613">
        <v>0.42631150000000001</v>
      </c>
      <c r="E1613">
        <v>0.41728900000000002</v>
      </c>
      <c r="F1613">
        <v>-8.0476000000000002E-3</v>
      </c>
      <c r="G1613">
        <v>0.63256990000000002</v>
      </c>
      <c r="H1613">
        <v>0.50778619999999997</v>
      </c>
      <c r="Q1613" s="10">
        <f t="shared" si="70"/>
        <v>2.6530716631649694E-2</v>
      </c>
      <c r="AI1613">
        <v>0.48008580000000001</v>
      </c>
      <c r="AJ1613">
        <f t="shared" si="69"/>
        <v>0.48008580000000001</v>
      </c>
      <c r="AO1613">
        <v>0.48008580000000001</v>
      </c>
      <c r="AR1613" s="8">
        <v>0</v>
      </c>
      <c r="AS1613">
        <v>0.73415359999999996</v>
      </c>
    </row>
    <row r="1614" spans="1:45" x14ac:dyDescent="0.25">
      <c r="A1614">
        <v>299</v>
      </c>
      <c r="B1614">
        <v>2002</v>
      </c>
      <c r="C1614" s="8">
        <v>0</v>
      </c>
      <c r="D1614">
        <v>0.49327389999999999</v>
      </c>
      <c r="E1614">
        <v>0.25456000000000001</v>
      </c>
      <c r="F1614">
        <v>1.0104500000000001E-2</v>
      </c>
      <c r="G1614">
        <v>0.25128489999999998</v>
      </c>
      <c r="H1614">
        <v>0.47824050000000001</v>
      </c>
      <c r="Q1614" s="10">
        <f t="shared" si="70"/>
        <v>5.2446033473944019E-2</v>
      </c>
      <c r="AI1614">
        <v>0.53511120000000001</v>
      </c>
      <c r="AJ1614">
        <f t="shared" si="69"/>
        <v>0.52051970800000003</v>
      </c>
      <c r="AO1614">
        <v>0.52051970800000003</v>
      </c>
      <c r="AR1614" s="8">
        <v>0</v>
      </c>
      <c r="AS1614">
        <v>0.32157469999999999</v>
      </c>
    </row>
    <row r="1615" spans="1:45" x14ac:dyDescent="0.25">
      <c r="A1615">
        <v>299</v>
      </c>
      <c r="B1615">
        <v>2003</v>
      </c>
      <c r="C1615" s="8">
        <v>0</v>
      </c>
      <c r="D1615">
        <v>0.48008580000000001</v>
      </c>
      <c r="E1615">
        <v>0.22743459999999999</v>
      </c>
      <c r="F1615">
        <v>4.1391200000000003E-2</v>
      </c>
      <c r="G1615">
        <v>0.41770200000000002</v>
      </c>
      <c r="H1615">
        <v>0.5109262</v>
      </c>
      <c r="Q1615" s="10">
        <f t="shared" si="70"/>
        <v>3.3720966281193122E-2</v>
      </c>
      <c r="AI1615">
        <v>0.22639980000000001</v>
      </c>
      <c r="AJ1615">
        <f t="shared" si="69"/>
        <v>0.22639980000000001</v>
      </c>
      <c r="AO1615">
        <v>0.22639980000000001</v>
      </c>
      <c r="AR1615" s="8">
        <v>0</v>
      </c>
      <c r="AS1615">
        <v>0.63256990000000002</v>
      </c>
    </row>
    <row r="1616" spans="1:45" x14ac:dyDescent="0.25">
      <c r="A1616">
        <v>299</v>
      </c>
      <c r="B1616">
        <v>2004</v>
      </c>
      <c r="C1616" s="8">
        <v>0</v>
      </c>
      <c r="D1616">
        <v>0.53511120000000001</v>
      </c>
      <c r="E1616">
        <v>0.2020354</v>
      </c>
      <c r="F1616">
        <v>2.2214999999999999E-2</v>
      </c>
      <c r="G1616">
        <v>0.39670899999999998</v>
      </c>
      <c r="H1616">
        <v>0.6260734</v>
      </c>
      <c r="Q1616" s="10">
        <f t="shared" si="70"/>
        <v>4.5764810804829033E-2</v>
      </c>
      <c r="AI1616">
        <v>0.28143240000000003</v>
      </c>
      <c r="AJ1616">
        <f t="shared" si="69"/>
        <v>0.28143240000000003</v>
      </c>
      <c r="AO1616">
        <v>0.28143240000000003</v>
      </c>
      <c r="AR1616" s="8">
        <v>0</v>
      </c>
      <c r="AS1616">
        <v>0.25128489999999998</v>
      </c>
    </row>
    <row r="1617" spans="1:45" x14ac:dyDescent="0.25">
      <c r="A1617">
        <v>300</v>
      </c>
      <c r="B1617">
        <v>1998</v>
      </c>
      <c r="C1617" s="8">
        <v>0</v>
      </c>
      <c r="D1617">
        <v>0.22639980000000001</v>
      </c>
      <c r="E1617">
        <v>-0.89976480000000003</v>
      </c>
      <c r="F1617">
        <v>4.4428299999999997E-2</v>
      </c>
      <c r="G1617">
        <v>8.8011099999999995E-2</v>
      </c>
      <c r="H1617">
        <v>0.37927810000000001</v>
      </c>
      <c r="Q1617" s="10">
        <f t="shared" si="70"/>
        <v>0.19750319199379845</v>
      </c>
      <c r="AI1617">
        <v>0.17853250000000001</v>
      </c>
      <c r="AJ1617">
        <f t="shared" si="69"/>
        <v>0.17853250000000001</v>
      </c>
      <c r="AO1617">
        <v>0.17853250000000001</v>
      </c>
      <c r="AR1617" s="8">
        <v>0</v>
      </c>
      <c r="AS1617">
        <v>0.41770200000000002</v>
      </c>
    </row>
    <row r="1618" spans="1:45" x14ac:dyDescent="0.25">
      <c r="A1618">
        <v>300</v>
      </c>
      <c r="B1618">
        <v>1999</v>
      </c>
      <c r="C1618" s="8">
        <v>0</v>
      </c>
      <c r="D1618">
        <v>0.28143240000000003</v>
      </c>
      <c r="E1618">
        <v>-0.90249610000000002</v>
      </c>
      <c r="F1618">
        <v>4.1435600000000003E-2</v>
      </c>
      <c r="G1618">
        <v>9.0443399999999993E-2</v>
      </c>
      <c r="H1618">
        <v>0.22804340000000001</v>
      </c>
      <c r="Q1618" s="10">
        <f t="shared" si="70"/>
        <v>0.19017750988285453</v>
      </c>
      <c r="AI1618">
        <v>-2.2402679999999999</v>
      </c>
      <c r="AJ1618">
        <f t="shared" si="69"/>
        <v>-0.113345184</v>
      </c>
      <c r="AO1618">
        <v>-0.113345184</v>
      </c>
      <c r="AR1618" s="8">
        <v>0</v>
      </c>
      <c r="AS1618">
        <v>0.39670899999999998</v>
      </c>
    </row>
    <row r="1619" spans="1:45" x14ac:dyDescent="0.25">
      <c r="A1619">
        <v>300</v>
      </c>
      <c r="B1619">
        <v>2000</v>
      </c>
      <c r="C1619" s="8">
        <v>0</v>
      </c>
      <c r="D1619">
        <v>0.17853250000000001</v>
      </c>
      <c r="E1619">
        <v>-0.6694331</v>
      </c>
      <c r="F1619">
        <v>7.0799799999999996E-2</v>
      </c>
      <c r="G1619">
        <v>0.18096880000000001</v>
      </c>
      <c r="H1619">
        <v>0.29855599999999999</v>
      </c>
      <c r="Q1619" s="10">
        <f t="shared" si="70"/>
        <v>0.10286163965855365</v>
      </c>
      <c r="AI1619">
        <v>0.19263279999999999</v>
      </c>
      <c r="AJ1619">
        <f t="shared" si="69"/>
        <v>0.19263279999999999</v>
      </c>
      <c r="AO1619">
        <v>0.19263279999999999</v>
      </c>
      <c r="AR1619" s="8">
        <v>0</v>
      </c>
      <c r="AS1619">
        <v>8.8011099999999995E-2</v>
      </c>
    </row>
    <row r="1620" spans="1:45" x14ac:dyDescent="0.25">
      <c r="A1620">
        <v>300</v>
      </c>
      <c r="B1620">
        <v>2001</v>
      </c>
      <c r="C1620" s="8">
        <v>0</v>
      </c>
      <c r="D1620">
        <v>-2.2402679999999999</v>
      </c>
      <c r="E1620">
        <v>-2.7077209999999998</v>
      </c>
      <c r="F1620">
        <v>-1.5915800000000001E-2</v>
      </c>
      <c r="G1620">
        <v>2.3717800000000001E-2</v>
      </c>
      <c r="H1620">
        <v>0.31762839999999998</v>
      </c>
      <c r="Q1620" s="10">
        <f t="shared" si="70"/>
        <v>0.67952893179258766</v>
      </c>
      <c r="AI1620">
        <v>0.13772490000000001</v>
      </c>
      <c r="AJ1620">
        <f t="shared" si="69"/>
        <v>0.13772490000000001</v>
      </c>
      <c r="AO1620">
        <v>0.13772490000000001</v>
      </c>
      <c r="AR1620" s="8">
        <v>0</v>
      </c>
      <c r="AS1620">
        <v>9.0443399999999993E-2</v>
      </c>
    </row>
    <row r="1621" spans="1:45" x14ac:dyDescent="0.25">
      <c r="A1621">
        <v>301</v>
      </c>
      <c r="B1621">
        <v>1995</v>
      </c>
      <c r="C1621" s="8">
        <v>0</v>
      </c>
      <c r="D1621">
        <v>0.19263279999999999</v>
      </c>
      <c r="E1621">
        <v>-6.8880800000000006E-2</v>
      </c>
      <c r="F1621">
        <v>4.8683999999999998E-2</v>
      </c>
      <c r="G1621">
        <v>0.9124584</v>
      </c>
      <c r="H1621">
        <v>0.23192119999999999</v>
      </c>
      <c r="Q1621" s="10">
        <f t="shared" si="70"/>
        <v>1.6901870564023598E-2</v>
      </c>
      <c r="AI1621">
        <v>0.15721009999999999</v>
      </c>
      <c r="AJ1621">
        <f t="shared" si="69"/>
        <v>0.15721009999999999</v>
      </c>
      <c r="AO1621">
        <v>0.15721009999999999</v>
      </c>
      <c r="AR1621" s="8">
        <v>0</v>
      </c>
      <c r="AS1621">
        <v>0.18096880000000001</v>
      </c>
    </row>
    <row r="1622" spans="1:45" x14ac:dyDescent="0.25">
      <c r="A1622">
        <v>301</v>
      </c>
      <c r="B1622">
        <v>1996</v>
      </c>
      <c r="C1622" s="8">
        <v>0</v>
      </c>
      <c r="D1622">
        <v>0.13772490000000001</v>
      </c>
      <c r="E1622">
        <v>-5.7473999999999997E-3</v>
      </c>
      <c r="F1622">
        <v>5.2023800000000002E-2</v>
      </c>
      <c r="G1622">
        <v>0.83557669999999995</v>
      </c>
      <c r="H1622">
        <v>0.22260050000000001</v>
      </c>
      <c r="Q1622" s="10">
        <f t="shared" si="70"/>
        <v>1.6499165587973933E-2</v>
      </c>
      <c r="AI1622">
        <v>0.1435979</v>
      </c>
      <c r="AJ1622">
        <f t="shared" si="69"/>
        <v>0.1435979</v>
      </c>
      <c r="AO1622">
        <v>0.1435979</v>
      </c>
      <c r="AR1622" s="8">
        <v>0</v>
      </c>
      <c r="AS1622">
        <v>2.3717800000000001E-2</v>
      </c>
    </row>
    <row r="1623" spans="1:45" x14ac:dyDescent="0.25">
      <c r="A1623">
        <v>301</v>
      </c>
      <c r="B1623">
        <v>1997</v>
      </c>
      <c r="C1623" s="8">
        <v>0</v>
      </c>
      <c r="D1623">
        <v>0.15721009999999999</v>
      </c>
      <c r="E1623">
        <v>6.7909399999999995E-2</v>
      </c>
      <c r="F1623">
        <v>3.6010500000000001E-2</v>
      </c>
      <c r="G1623">
        <v>0.64527310000000004</v>
      </c>
      <c r="H1623">
        <v>0.19257969999999999</v>
      </c>
      <c r="Q1623" s="10">
        <f t="shared" si="70"/>
        <v>2.2442972542825353E-2</v>
      </c>
      <c r="AI1623">
        <v>0.13986090000000001</v>
      </c>
      <c r="AJ1623">
        <f t="shared" si="69"/>
        <v>0.13986090000000001</v>
      </c>
      <c r="AO1623">
        <v>0.13986090000000001</v>
      </c>
      <c r="AR1623" s="8">
        <v>0</v>
      </c>
      <c r="AS1623">
        <v>0.9124584</v>
      </c>
    </row>
    <row r="1624" spans="1:45" x14ac:dyDescent="0.25">
      <c r="A1624">
        <v>301</v>
      </c>
      <c r="B1624">
        <v>1998</v>
      </c>
      <c r="C1624" s="8">
        <v>0</v>
      </c>
      <c r="D1624">
        <v>0.1435979</v>
      </c>
      <c r="E1624">
        <v>5.2150200000000001E-2</v>
      </c>
      <c r="F1624">
        <v>1.8376799999999999E-2</v>
      </c>
      <c r="G1624">
        <v>0.33</v>
      </c>
      <c r="H1624">
        <v>0.12232759999999999</v>
      </c>
      <c r="Q1624" s="10">
        <f t="shared" si="70"/>
        <v>4.0821355013680005E-2</v>
      </c>
      <c r="AI1624">
        <v>0.15875069999999999</v>
      </c>
      <c r="AJ1624">
        <f t="shared" si="69"/>
        <v>0.15875069999999999</v>
      </c>
      <c r="AO1624">
        <v>0.15875069999999999</v>
      </c>
      <c r="AR1624" s="8">
        <v>0</v>
      </c>
      <c r="AS1624">
        <v>0.83557669999999995</v>
      </c>
    </row>
    <row r="1625" spans="1:45" x14ac:dyDescent="0.25">
      <c r="A1625">
        <v>301</v>
      </c>
      <c r="B1625">
        <v>1999</v>
      </c>
      <c r="C1625" s="8">
        <v>0</v>
      </c>
      <c r="D1625">
        <v>0.13986090000000001</v>
      </c>
      <c r="E1625">
        <v>3.6281599999999997E-2</v>
      </c>
      <c r="F1625">
        <v>1.0630000000000001E-2</v>
      </c>
      <c r="G1625">
        <v>0.16285859999999999</v>
      </c>
      <c r="H1625">
        <v>0.15555550000000001</v>
      </c>
      <c r="Q1625" s="10">
        <f t="shared" si="70"/>
        <v>5.8061750799292586E-2</v>
      </c>
      <c r="AI1625">
        <v>0.12878329999999999</v>
      </c>
      <c r="AJ1625">
        <f t="shared" si="69"/>
        <v>0.12878329999999999</v>
      </c>
      <c r="AO1625">
        <v>0.12878329999999999</v>
      </c>
      <c r="AR1625" s="8">
        <v>0</v>
      </c>
      <c r="AS1625">
        <v>0.64527310000000004</v>
      </c>
    </row>
    <row r="1626" spans="1:45" x14ac:dyDescent="0.25">
      <c r="A1626">
        <v>301</v>
      </c>
      <c r="B1626">
        <v>2000</v>
      </c>
      <c r="C1626" s="8">
        <v>0</v>
      </c>
      <c r="D1626">
        <v>0.15875069999999999</v>
      </c>
      <c r="E1626">
        <v>-1.90993E-2</v>
      </c>
      <c r="F1626">
        <v>3.4517800000000001E-2</v>
      </c>
      <c r="G1626">
        <v>0.24555479999999999</v>
      </c>
      <c r="H1626">
        <v>0.21076839999999999</v>
      </c>
      <c r="Q1626" s="10">
        <f t="shared" si="70"/>
        <v>4.802910179056151E-2</v>
      </c>
      <c r="AI1626">
        <v>0.12237389999999999</v>
      </c>
      <c r="AJ1626">
        <f t="shared" si="69"/>
        <v>0.12237389999999999</v>
      </c>
      <c r="AO1626">
        <v>0.12237389999999999</v>
      </c>
      <c r="AR1626" s="8">
        <v>0</v>
      </c>
      <c r="AS1626">
        <v>0.33</v>
      </c>
    </row>
    <row r="1627" spans="1:45" x14ac:dyDescent="0.25">
      <c r="A1627">
        <v>301</v>
      </c>
      <c r="B1627">
        <v>2001</v>
      </c>
      <c r="C1627" s="8">
        <v>0</v>
      </c>
      <c r="D1627">
        <v>0.12878329999999999</v>
      </c>
      <c r="E1627">
        <v>-0.1023951</v>
      </c>
      <c r="F1627">
        <v>5.7352999999999996E-3</v>
      </c>
      <c r="G1627">
        <v>0.34982229999999997</v>
      </c>
      <c r="H1627">
        <v>0.20065740000000001</v>
      </c>
      <c r="Q1627" s="10">
        <f t="shared" si="70"/>
        <v>5.6240989717108322E-2</v>
      </c>
      <c r="AI1627">
        <v>0.15838240000000001</v>
      </c>
      <c r="AJ1627">
        <f t="shared" si="69"/>
        <v>0.15838240000000001</v>
      </c>
      <c r="AO1627">
        <v>0.15838240000000001</v>
      </c>
      <c r="AR1627" s="8">
        <v>0</v>
      </c>
      <c r="AS1627">
        <v>0.16285859999999999</v>
      </c>
    </row>
    <row r="1628" spans="1:45" x14ac:dyDescent="0.25">
      <c r="A1628">
        <v>301</v>
      </c>
      <c r="B1628">
        <v>2002</v>
      </c>
      <c r="C1628" s="8">
        <v>0</v>
      </c>
      <c r="D1628">
        <v>0.12237389999999999</v>
      </c>
      <c r="E1628">
        <v>-0.35714240000000003</v>
      </c>
      <c r="F1628">
        <v>3.1888199999999998E-2</v>
      </c>
      <c r="G1628">
        <v>0.1789</v>
      </c>
      <c r="H1628">
        <v>0.28025670000000003</v>
      </c>
      <c r="Q1628" s="10">
        <f t="shared" si="70"/>
        <v>8.7866987456897777E-2</v>
      </c>
      <c r="AI1628">
        <v>0.17788960000000001</v>
      </c>
      <c r="AJ1628">
        <f t="shared" si="69"/>
        <v>0.17788960000000001</v>
      </c>
      <c r="AO1628">
        <v>0.17788960000000001</v>
      </c>
      <c r="AR1628" s="8">
        <v>0</v>
      </c>
      <c r="AS1628">
        <v>0.24555479999999999</v>
      </c>
    </row>
    <row r="1629" spans="1:45" x14ac:dyDescent="0.25">
      <c r="A1629">
        <v>301</v>
      </c>
      <c r="B1629">
        <v>2003</v>
      </c>
      <c r="C1629" s="8">
        <v>0</v>
      </c>
      <c r="D1629">
        <v>0.15838240000000001</v>
      </c>
      <c r="E1629">
        <v>-0.35881109999999999</v>
      </c>
      <c r="F1629">
        <v>5.2642700000000001E-2</v>
      </c>
      <c r="G1629">
        <v>0.33834950000000003</v>
      </c>
      <c r="H1629">
        <v>0.36496099999999998</v>
      </c>
      <c r="Q1629" s="10">
        <f t="shared" si="70"/>
        <v>6.3552037605664011E-2</v>
      </c>
      <c r="AI1629">
        <v>0.33397130000000003</v>
      </c>
      <c r="AJ1629">
        <f t="shared" si="69"/>
        <v>0.33397130000000003</v>
      </c>
      <c r="AO1629">
        <v>0.33397130000000003</v>
      </c>
      <c r="AR1629" s="8">
        <v>0</v>
      </c>
      <c r="AS1629">
        <v>0.34982229999999997</v>
      </c>
    </row>
    <row r="1630" spans="1:45" x14ac:dyDescent="0.25">
      <c r="A1630">
        <v>301</v>
      </c>
      <c r="B1630">
        <v>2004</v>
      </c>
      <c r="C1630" s="8">
        <v>0</v>
      </c>
      <c r="D1630">
        <v>0.17788960000000001</v>
      </c>
      <c r="E1630">
        <v>-0.1828178</v>
      </c>
      <c r="F1630">
        <v>4.8296499999999999E-2</v>
      </c>
      <c r="G1630">
        <v>0.80302479999999998</v>
      </c>
      <c r="H1630">
        <v>0.23206470000000001</v>
      </c>
      <c r="Q1630" s="10">
        <f t="shared" si="70"/>
        <v>2.3519014207200258E-2</v>
      </c>
      <c r="AI1630">
        <v>0.32936979999999999</v>
      </c>
      <c r="AJ1630">
        <f t="shared" si="69"/>
        <v>0.32936979999999999</v>
      </c>
      <c r="AO1630">
        <v>0.32936979999999999</v>
      </c>
      <c r="AR1630" s="8">
        <v>0</v>
      </c>
      <c r="AS1630">
        <v>0.1789</v>
      </c>
    </row>
    <row r="1631" spans="1:45" x14ac:dyDescent="0.25">
      <c r="A1631">
        <v>302</v>
      </c>
      <c r="B1631">
        <v>1995</v>
      </c>
      <c r="C1631" s="8">
        <v>0</v>
      </c>
      <c r="D1631">
        <v>0.33397130000000003</v>
      </c>
      <c r="E1631">
        <v>0.3211329</v>
      </c>
      <c r="F1631">
        <v>5.3957499999999999E-2</v>
      </c>
      <c r="G1631">
        <v>2.3042820000000002</v>
      </c>
      <c r="H1631">
        <v>0.19841410000000001</v>
      </c>
      <c r="Q1631" s="10">
        <f t="shared" si="70"/>
        <v>1.0554280340119261E-3</v>
      </c>
      <c r="AI1631">
        <v>0.29737330000000001</v>
      </c>
      <c r="AJ1631">
        <f t="shared" si="69"/>
        <v>0.29737330000000001</v>
      </c>
      <c r="AO1631">
        <v>0.29737330000000001</v>
      </c>
      <c r="AR1631" s="8">
        <v>0</v>
      </c>
      <c r="AS1631">
        <v>0.33834950000000003</v>
      </c>
    </row>
    <row r="1632" spans="1:45" x14ac:dyDescent="0.25">
      <c r="A1632">
        <v>302</v>
      </c>
      <c r="B1632">
        <v>1996</v>
      </c>
      <c r="C1632" s="8">
        <v>0</v>
      </c>
      <c r="D1632">
        <v>0.32936979999999999</v>
      </c>
      <c r="E1632">
        <v>0.26950370000000001</v>
      </c>
      <c r="F1632">
        <v>3.8072300000000003E-2</v>
      </c>
      <c r="G1632">
        <v>2.13612</v>
      </c>
      <c r="H1632">
        <v>0.18388170000000001</v>
      </c>
      <c r="Q1632" s="10">
        <f t="shared" si="70"/>
        <v>1.6695217033768561E-3</v>
      </c>
      <c r="AI1632">
        <v>0.31964759999999998</v>
      </c>
      <c r="AJ1632">
        <f t="shared" si="69"/>
        <v>0.31964759999999998</v>
      </c>
      <c r="AO1632">
        <v>0.31964759999999998</v>
      </c>
      <c r="AR1632" s="8">
        <v>0</v>
      </c>
      <c r="AS1632">
        <v>0.80302479999999998</v>
      </c>
    </row>
    <row r="1633" spans="1:45" x14ac:dyDescent="0.25">
      <c r="A1633">
        <v>302</v>
      </c>
      <c r="B1633">
        <v>1997</v>
      </c>
      <c r="C1633" s="8">
        <v>0</v>
      </c>
      <c r="D1633">
        <v>0.29737330000000001</v>
      </c>
      <c r="E1633">
        <v>0.27931859999999997</v>
      </c>
      <c r="F1633">
        <v>2.3149200000000002E-2</v>
      </c>
      <c r="G1633">
        <v>2.7429730000000001</v>
      </c>
      <c r="H1633">
        <v>0.18809039999999999</v>
      </c>
      <c r="Q1633" s="10">
        <f t="shared" si="70"/>
        <v>6.982911734018032E-4</v>
      </c>
      <c r="AI1633">
        <v>0.61098719999999995</v>
      </c>
      <c r="AJ1633">
        <f t="shared" si="69"/>
        <v>0.52051970800000003</v>
      </c>
      <c r="AO1633">
        <v>0.52051970800000003</v>
      </c>
      <c r="AR1633" s="8">
        <v>0</v>
      </c>
      <c r="AS1633">
        <v>2.3042820000000002</v>
      </c>
    </row>
    <row r="1634" spans="1:45" x14ac:dyDescent="0.25">
      <c r="A1634">
        <v>302</v>
      </c>
      <c r="B1634">
        <v>1998</v>
      </c>
      <c r="C1634" s="8">
        <v>0</v>
      </c>
      <c r="D1634">
        <v>0.31964759999999998</v>
      </c>
      <c r="E1634">
        <v>-6.3748700000000005E-2</v>
      </c>
      <c r="F1634">
        <v>2.9595E-2</v>
      </c>
      <c r="G1634">
        <v>1.1402479999999999</v>
      </c>
      <c r="H1634">
        <v>0.2336539</v>
      </c>
      <c r="Q1634" s="10">
        <f t="shared" si="70"/>
        <v>1.4381184144279205E-2</v>
      </c>
      <c r="AI1634">
        <v>0.28801650000000001</v>
      </c>
      <c r="AJ1634">
        <f t="shared" si="69"/>
        <v>0.28801650000000001</v>
      </c>
      <c r="AO1634">
        <v>0.28801650000000001</v>
      </c>
      <c r="AR1634" s="8">
        <v>0</v>
      </c>
      <c r="AS1634">
        <v>2.13612</v>
      </c>
    </row>
    <row r="1635" spans="1:45" x14ac:dyDescent="0.25">
      <c r="A1635">
        <v>302</v>
      </c>
      <c r="B1635">
        <v>1999</v>
      </c>
      <c r="C1635" s="8">
        <v>0</v>
      </c>
      <c r="D1635">
        <v>0.61098719999999995</v>
      </c>
      <c r="E1635">
        <v>0.2439463</v>
      </c>
      <c r="F1635">
        <v>7.3918800000000007E-2</v>
      </c>
      <c r="G1635">
        <v>7.7217190000000002</v>
      </c>
      <c r="H1635">
        <v>0.20983879999999999</v>
      </c>
      <c r="Q1635" s="10">
        <f t="shared" si="70"/>
        <v>2.0270458557377235E-7</v>
      </c>
      <c r="AI1635">
        <v>0.39787919999999999</v>
      </c>
      <c r="AJ1635">
        <f t="shared" si="69"/>
        <v>0.39787919999999999</v>
      </c>
      <c r="AO1635">
        <v>0.39787919999999999</v>
      </c>
      <c r="AR1635" s="8">
        <v>0</v>
      </c>
      <c r="AS1635">
        <v>2.7429730000000001</v>
      </c>
    </row>
    <row r="1636" spans="1:45" x14ac:dyDescent="0.25">
      <c r="A1636">
        <v>303</v>
      </c>
      <c r="B1636">
        <v>1995</v>
      </c>
      <c r="C1636" s="8">
        <v>0</v>
      </c>
      <c r="D1636">
        <v>0.28801650000000001</v>
      </c>
      <c r="E1636">
        <v>0.5818951</v>
      </c>
      <c r="F1636">
        <v>0.100622</v>
      </c>
      <c r="G1636">
        <v>10.06227</v>
      </c>
      <c r="H1636">
        <v>0.29384670000000002</v>
      </c>
      <c r="Q1636" s="10">
        <f t="shared" si="70"/>
        <v>2.2146638334043017E-9</v>
      </c>
      <c r="AI1636">
        <v>0.36592239999999998</v>
      </c>
      <c r="AJ1636">
        <f t="shared" si="69"/>
        <v>0.36592239999999998</v>
      </c>
      <c r="AO1636">
        <v>0.36592239999999998</v>
      </c>
      <c r="AR1636" s="8">
        <v>0</v>
      </c>
      <c r="AS1636">
        <v>1.1402479999999999</v>
      </c>
    </row>
    <row r="1637" spans="1:45" x14ac:dyDescent="0.25">
      <c r="A1637">
        <v>303</v>
      </c>
      <c r="B1637">
        <v>1996</v>
      </c>
      <c r="C1637" s="8">
        <v>0</v>
      </c>
      <c r="D1637">
        <v>0.39787919999999999</v>
      </c>
      <c r="E1637">
        <v>0.61123959999999999</v>
      </c>
      <c r="F1637">
        <v>0.1516643</v>
      </c>
      <c r="G1637">
        <v>16.354600000000001</v>
      </c>
      <c r="H1637">
        <v>0.2978131</v>
      </c>
      <c r="Q1637" s="10">
        <f t="shared" si="70"/>
        <v>6.5380048672659333E-14</v>
      </c>
      <c r="AI1637">
        <v>0.2785436</v>
      </c>
      <c r="AJ1637">
        <f t="shared" si="69"/>
        <v>0.2785436</v>
      </c>
      <c r="AO1637">
        <v>0.2785436</v>
      </c>
      <c r="AR1637" s="8">
        <v>0</v>
      </c>
      <c r="AS1637">
        <v>7.7217190000000002</v>
      </c>
    </row>
    <row r="1638" spans="1:45" x14ac:dyDescent="0.25">
      <c r="A1638">
        <v>303</v>
      </c>
      <c r="B1638">
        <v>1997</v>
      </c>
      <c r="C1638" s="8">
        <v>0</v>
      </c>
      <c r="D1638">
        <v>0.36592239999999998</v>
      </c>
      <c r="E1638">
        <v>0.57030519999999996</v>
      </c>
      <c r="F1638">
        <v>0.10961509999999999</v>
      </c>
      <c r="G1638">
        <v>15.19544</v>
      </c>
      <c r="H1638">
        <v>0.2570231</v>
      </c>
      <c r="Q1638" s="10">
        <f t="shared" si="70"/>
        <v>5.9276628908587465E-13</v>
      </c>
      <c r="AI1638">
        <v>0.27520650000000002</v>
      </c>
      <c r="AJ1638">
        <f t="shared" si="69"/>
        <v>0.27520650000000002</v>
      </c>
      <c r="AO1638">
        <v>0.27520650000000002</v>
      </c>
      <c r="AR1638" s="8">
        <v>0</v>
      </c>
      <c r="AS1638">
        <v>10.06227</v>
      </c>
    </row>
    <row r="1639" spans="1:45" x14ac:dyDescent="0.25">
      <c r="A1639">
        <v>303</v>
      </c>
      <c r="B1639">
        <v>1998</v>
      </c>
      <c r="C1639" s="8">
        <v>0</v>
      </c>
      <c r="D1639">
        <v>0.2785436</v>
      </c>
      <c r="E1639">
        <v>0.6304765</v>
      </c>
      <c r="F1639">
        <v>0.11824800000000001</v>
      </c>
      <c r="G1639">
        <v>25.07451</v>
      </c>
      <c r="H1639">
        <v>0.27001340000000001</v>
      </c>
      <c r="Q1639" s="10">
        <f t="shared" si="70"/>
        <v>7.1691896707534936E-20</v>
      </c>
      <c r="AI1639">
        <v>0.2815339</v>
      </c>
      <c r="AJ1639">
        <f t="shared" si="69"/>
        <v>0.2815339</v>
      </c>
      <c r="AO1639">
        <v>0.2815339</v>
      </c>
      <c r="AR1639" s="8">
        <v>0</v>
      </c>
      <c r="AS1639">
        <v>16.354600000000001</v>
      </c>
    </row>
    <row r="1640" spans="1:45" x14ac:dyDescent="0.25">
      <c r="A1640">
        <v>303</v>
      </c>
      <c r="B1640">
        <v>1999</v>
      </c>
      <c r="C1640" s="8">
        <v>0</v>
      </c>
      <c r="D1640">
        <v>0.27520650000000002</v>
      </c>
      <c r="E1640">
        <v>0.60449629999999999</v>
      </c>
      <c r="F1640">
        <v>0.1017967</v>
      </c>
      <c r="G1640">
        <v>24.637450000000001</v>
      </c>
      <c r="H1640">
        <v>0.21564</v>
      </c>
      <c r="Q1640" s="10">
        <f t="shared" si="70"/>
        <v>1.645419388118516E-19</v>
      </c>
      <c r="AI1640">
        <v>0.28815190000000002</v>
      </c>
      <c r="AJ1640">
        <f t="shared" si="69"/>
        <v>0.28815190000000002</v>
      </c>
      <c r="AO1640">
        <v>0.28815190000000002</v>
      </c>
      <c r="AR1640" s="8">
        <v>0</v>
      </c>
      <c r="AS1640">
        <v>15.19544</v>
      </c>
    </row>
    <row r="1641" spans="1:45" x14ac:dyDescent="0.25">
      <c r="A1641">
        <v>303</v>
      </c>
      <c r="B1641">
        <v>2000</v>
      </c>
      <c r="C1641" s="8">
        <v>0</v>
      </c>
      <c r="D1641">
        <v>0.2815339</v>
      </c>
      <c r="E1641">
        <v>0.61934560000000005</v>
      </c>
      <c r="F1641">
        <v>7.2823600000000002E-2</v>
      </c>
      <c r="G1641">
        <v>19.072649999999999</v>
      </c>
      <c r="H1641">
        <v>0.2012166</v>
      </c>
      <c r="Q1641" s="10">
        <f t="shared" si="70"/>
        <v>1.4326672270909874E-15</v>
      </c>
      <c r="AI1641">
        <v>0.3177374</v>
      </c>
      <c r="AJ1641">
        <f t="shared" si="69"/>
        <v>0.3177374</v>
      </c>
      <c r="AO1641">
        <v>0.3177374</v>
      </c>
      <c r="AR1641" s="8">
        <v>0</v>
      </c>
      <c r="AS1641">
        <v>25.07451</v>
      </c>
    </row>
    <row r="1642" spans="1:45" x14ac:dyDescent="0.25">
      <c r="A1642">
        <v>303</v>
      </c>
      <c r="B1642">
        <v>2001</v>
      </c>
      <c r="C1642" s="8">
        <v>0</v>
      </c>
      <c r="D1642">
        <v>0.28815190000000002</v>
      </c>
      <c r="E1642">
        <v>0.62965079999999995</v>
      </c>
      <c r="F1642">
        <v>5.3725299999999997E-2</v>
      </c>
      <c r="G1642">
        <v>24.677060000000001</v>
      </c>
      <c r="H1642">
        <v>0.18120330000000001</v>
      </c>
      <c r="Q1642" s="10">
        <f t="shared" si="70"/>
        <v>2.1529677033333474E-19</v>
      </c>
      <c r="AI1642">
        <v>0.3586298</v>
      </c>
      <c r="AJ1642">
        <f t="shared" si="69"/>
        <v>0.3586298</v>
      </c>
      <c r="AO1642">
        <v>0.3586298</v>
      </c>
      <c r="AR1642" s="8">
        <v>0</v>
      </c>
      <c r="AS1642">
        <v>24.637450000000001</v>
      </c>
    </row>
    <row r="1643" spans="1:45" x14ac:dyDescent="0.25">
      <c r="A1643">
        <v>303</v>
      </c>
      <c r="B1643">
        <v>2002</v>
      </c>
      <c r="C1643" s="8">
        <v>0</v>
      </c>
      <c r="D1643">
        <v>0.3177374</v>
      </c>
      <c r="E1643">
        <v>0.65651669999999995</v>
      </c>
      <c r="F1643">
        <v>5.8285700000000003E-2</v>
      </c>
      <c r="G1643">
        <v>11.895020000000001</v>
      </c>
      <c r="H1643">
        <v>0.19440760000000001</v>
      </c>
      <c r="Q1643" s="10">
        <f t="shared" si="70"/>
        <v>1.4302751774977453E-10</v>
      </c>
      <c r="AI1643">
        <v>0.36333500000000002</v>
      </c>
      <c r="AJ1643">
        <f t="shared" si="69"/>
        <v>0.36333500000000002</v>
      </c>
      <c r="AO1643">
        <v>0.36333500000000002</v>
      </c>
      <c r="AR1643" s="8">
        <v>0</v>
      </c>
      <c r="AS1643">
        <v>19.072649999999999</v>
      </c>
    </row>
    <row r="1644" spans="1:45" x14ac:dyDescent="0.25">
      <c r="A1644">
        <v>303</v>
      </c>
      <c r="B1644">
        <v>2003</v>
      </c>
      <c r="C1644" s="8">
        <v>0</v>
      </c>
      <c r="D1644">
        <v>0.3586298</v>
      </c>
      <c r="E1644">
        <v>0.69065739999999998</v>
      </c>
      <c r="F1644">
        <v>8.9493400000000001E-2</v>
      </c>
      <c r="G1644">
        <v>22.536819999999999</v>
      </c>
      <c r="H1644">
        <v>0.2242199</v>
      </c>
      <c r="Q1644" s="10">
        <f t="shared" si="70"/>
        <v>4.7397485469499725E-18</v>
      </c>
      <c r="AI1644">
        <v>0.38447550000000003</v>
      </c>
      <c r="AJ1644">
        <f t="shared" si="69"/>
        <v>0.38447550000000003</v>
      </c>
      <c r="AO1644">
        <v>0.38447550000000003</v>
      </c>
      <c r="AR1644" s="8">
        <v>0</v>
      </c>
      <c r="AS1644">
        <v>24.677060000000001</v>
      </c>
    </row>
    <row r="1645" spans="1:45" x14ac:dyDescent="0.25">
      <c r="A1645">
        <v>303</v>
      </c>
      <c r="B1645">
        <v>2004</v>
      </c>
      <c r="C1645" s="8">
        <v>0</v>
      </c>
      <c r="D1645">
        <v>0.36333500000000002</v>
      </c>
      <c r="E1645">
        <v>0.71088010000000001</v>
      </c>
      <c r="F1645">
        <v>9.2060400000000001E-2</v>
      </c>
      <c r="G1645">
        <v>15.48746</v>
      </c>
      <c r="H1645">
        <v>0.23812829999999999</v>
      </c>
      <c r="Q1645" s="10">
        <f t="shared" si="70"/>
        <v>3.4470169921315389E-13</v>
      </c>
      <c r="AI1645">
        <v>0.4091823</v>
      </c>
      <c r="AJ1645">
        <f t="shared" si="69"/>
        <v>0.4091823</v>
      </c>
      <c r="AO1645">
        <v>0.4091823</v>
      </c>
      <c r="AR1645" s="8">
        <v>0</v>
      </c>
      <c r="AS1645">
        <v>11.895020000000001</v>
      </c>
    </row>
    <row r="1646" spans="1:45" x14ac:dyDescent="0.25">
      <c r="A1646">
        <v>304</v>
      </c>
      <c r="B1646">
        <v>1995</v>
      </c>
      <c r="C1646" s="8">
        <v>0</v>
      </c>
      <c r="D1646">
        <v>0.38447550000000003</v>
      </c>
      <c r="E1646">
        <v>7.1387099999999995E-2</v>
      </c>
      <c r="F1646">
        <v>4.3110799999999998E-2</v>
      </c>
      <c r="G1646">
        <v>0.49502750000000001</v>
      </c>
      <c r="H1646">
        <v>0.2471592</v>
      </c>
      <c r="Q1646" s="10">
        <f t="shared" si="70"/>
        <v>3.0221929369599377E-2</v>
      </c>
      <c r="AI1646">
        <v>0.40471439999999997</v>
      </c>
      <c r="AJ1646">
        <f t="shared" si="69"/>
        <v>0.40471439999999997</v>
      </c>
      <c r="AO1646">
        <v>0.40471439999999997</v>
      </c>
      <c r="AR1646" s="8">
        <v>0</v>
      </c>
      <c r="AS1646">
        <v>22.536819999999999</v>
      </c>
    </row>
    <row r="1647" spans="1:45" x14ac:dyDescent="0.25">
      <c r="A1647">
        <v>304</v>
      </c>
      <c r="B1647">
        <v>1996</v>
      </c>
      <c r="C1647" s="8">
        <v>0</v>
      </c>
      <c r="D1647">
        <v>0.4091823</v>
      </c>
      <c r="E1647">
        <v>9.7535800000000006E-2</v>
      </c>
      <c r="F1647">
        <v>6.1594799999999998E-2</v>
      </c>
      <c r="G1647">
        <v>1.0427500000000001</v>
      </c>
      <c r="H1647">
        <v>0.36688409999999999</v>
      </c>
      <c r="Q1647" s="10">
        <f t="shared" si="70"/>
        <v>1.1626337087406489E-2</v>
      </c>
      <c r="AI1647">
        <v>0.42483929999999998</v>
      </c>
      <c r="AJ1647">
        <f t="shared" si="69"/>
        <v>0.42483929999999998</v>
      </c>
      <c r="AO1647">
        <v>0.42483929999999998</v>
      </c>
      <c r="AR1647" s="8">
        <v>0</v>
      </c>
      <c r="AS1647">
        <v>15.48746</v>
      </c>
    </row>
    <row r="1648" spans="1:45" x14ac:dyDescent="0.25">
      <c r="A1648">
        <v>304</v>
      </c>
      <c r="B1648">
        <v>1997</v>
      </c>
      <c r="C1648" s="8">
        <v>0</v>
      </c>
      <c r="D1648">
        <v>0.40471439999999997</v>
      </c>
      <c r="E1648">
        <v>0.13904440000000001</v>
      </c>
      <c r="F1648">
        <v>5.8028000000000003E-2</v>
      </c>
      <c r="G1648">
        <v>1.179616</v>
      </c>
      <c r="H1648">
        <v>0.40912660000000001</v>
      </c>
      <c r="Q1648" s="10">
        <f t="shared" si="70"/>
        <v>9.3000405487849245E-3</v>
      </c>
      <c r="AI1648">
        <v>0.424516</v>
      </c>
      <c r="AJ1648">
        <f t="shared" si="69"/>
        <v>0.424516</v>
      </c>
      <c r="AO1648">
        <v>0.424516</v>
      </c>
      <c r="AR1648" s="8">
        <v>0</v>
      </c>
      <c r="AS1648">
        <v>0.49502750000000001</v>
      </c>
    </row>
    <row r="1649" spans="1:45" x14ac:dyDescent="0.25">
      <c r="A1649">
        <v>304</v>
      </c>
      <c r="B1649">
        <v>1998</v>
      </c>
      <c r="C1649" s="8">
        <v>0</v>
      </c>
      <c r="D1649">
        <v>0.42483929999999998</v>
      </c>
      <c r="E1649">
        <v>0.20822969999999999</v>
      </c>
      <c r="F1649">
        <v>5.8285400000000001E-2</v>
      </c>
      <c r="G1649">
        <v>1.61358</v>
      </c>
      <c r="H1649">
        <v>0.4028487</v>
      </c>
      <c r="Q1649" s="10">
        <f t="shared" si="70"/>
        <v>4.2432978200873175E-3</v>
      </c>
      <c r="AI1649">
        <v>0.44218249999999998</v>
      </c>
      <c r="AJ1649">
        <f t="shared" si="69"/>
        <v>0.44218249999999998</v>
      </c>
      <c r="AO1649">
        <v>0.44218249999999998</v>
      </c>
      <c r="AR1649" s="8">
        <v>0</v>
      </c>
      <c r="AS1649">
        <v>1.0427500000000001</v>
      </c>
    </row>
    <row r="1650" spans="1:45" x14ac:dyDescent="0.25">
      <c r="A1650">
        <v>304</v>
      </c>
      <c r="B1650">
        <v>1999</v>
      </c>
      <c r="C1650" s="8">
        <v>0</v>
      </c>
      <c r="D1650">
        <v>0.424516</v>
      </c>
      <c r="E1650">
        <v>0.31302160000000001</v>
      </c>
      <c r="F1650">
        <v>6.4010600000000001E-2</v>
      </c>
      <c r="G1650">
        <v>1.369956</v>
      </c>
      <c r="H1650">
        <v>0.43254179999999998</v>
      </c>
      <c r="Q1650" s="10">
        <f t="shared" si="70"/>
        <v>5.2210462243001323E-3</v>
      </c>
      <c r="AI1650">
        <v>0.42653279999999999</v>
      </c>
      <c r="AJ1650">
        <f t="shared" si="69"/>
        <v>0.42653279999999999</v>
      </c>
      <c r="AO1650">
        <v>0.42653279999999999</v>
      </c>
      <c r="AR1650" s="8">
        <v>0</v>
      </c>
      <c r="AS1650">
        <v>1.179616</v>
      </c>
    </row>
    <row r="1651" spans="1:45" x14ac:dyDescent="0.25">
      <c r="A1651">
        <v>304</v>
      </c>
      <c r="B1651">
        <v>2000</v>
      </c>
      <c r="C1651" s="8">
        <v>0</v>
      </c>
      <c r="D1651">
        <v>0.44218249999999998</v>
      </c>
      <c r="E1651">
        <v>0.37226870000000001</v>
      </c>
      <c r="F1651">
        <v>6.01936E-2</v>
      </c>
      <c r="G1651">
        <v>1.4939720000000001</v>
      </c>
      <c r="H1651">
        <v>0.43215930000000002</v>
      </c>
      <c r="Q1651" s="10">
        <f t="shared" si="70"/>
        <v>4.0864486184674521E-3</v>
      </c>
      <c r="AI1651">
        <v>0.43767329999999999</v>
      </c>
      <c r="AJ1651">
        <f t="shared" si="69"/>
        <v>0.43767329999999999</v>
      </c>
      <c r="AO1651">
        <v>0.43767329999999999</v>
      </c>
      <c r="AR1651" s="8">
        <v>0</v>
      </c>
      <c r="AS1651">
        <v>1.61358</v>
      </c>
    </row>
    <row r="1652" spans="1:45" x14ac:dyDescent="0.25">
      <c r="A1652">
        <v>304</v>
      </c>
      <c r="B1652">
        <v>2001</v>
      </c>
      <c r="C1652" s="8">
        <v>0</v>
      </c>
      <c r="D1652">
        <v>0.42653279999999999</v>
      </c>
      <c r="E1652">
        <v>0.36814659999999999</v>
      </c>
      <c r="F1652">
        <v>6.0802000000000002E-2</v>
      </c>
      <c r="G1652">
        <v>2.218791</v>
      </c>
      <c r="H1652">
        <v>0.33885860000000001</v>
      </c>
      <c r="Q1652" s="10">
        <f t="shared" si="70"/>
        <v>1.2120491341151768E-3</v>
      </c>
      <c r="AI1652">
        <v>0.46682630000000003</v>
      </c>
      <c r="AJ1652">
        <f t="shared" si="69"/>
        <v>0.46682630000000003</v>
      </c>
      <c r="AO1652">
        <v>0.46682630000000003</v>
      </c>
      <c r="AR1652" s="8">
        <v>0</v>
      </c>
      <c r="AS1652">
        <v>1.369956</v>
      </c>
    </row>
    <row r="1653" spans="1:45" x14ac:dyDescent="0.25">
      <c r="A1653">
        <v>304</v>
      </c>
      <c r="B1653">
        <v>2002</v>
      </c>
      <c r="C1653" s="8">
        <v>0</v>
      </c>
      <c r="D1653">
        <v>0.43767329999999999</v>
      </c>
      <c r="E1653">
        <v>0.39687230000000001</v>
      </c>
      <c r="F1653">
        <v>5.12839E-2</v>
      </c>
      <c r="G1653">
        <v>1.9534750000000001</v>
      </c>
      <c r="H1653">
        <v>0.416242</v>
      </c>
      <c r="Q1653" s="10">
        <f t="shared" si="70"/>
        <v>2.0162788958247848E-3</v>
      </c>
      <c r="AI1653">
        <v>0.485933</v>
      </c>
      <c r="AJ1653">
        <f t="shared" si="69"/>
        <v>0.485933</v>
      </c>
      <c r="AO1653">
        <v>0.485933</v>
      </c>
      <c r="AR1653" s="8">
        <v>0</v>
      </c>
      <c r="AS1653">
        <v>1.4939720000000001</v>
      </c>
    </row>
    <row r="1654" spans="1:45" x14ac:dyDescent="0.25">
      <c r="A1654">
        <v>304</v>
      </c>
      <c r="B1654">
        <v>2003</v>
      </c>
      <c r="C1654" s="8">
        <v>0</v>
      </c>
      <c r="D1654">
        <v>0.46682630000000003</v>
      </c>
      <c r="E1654">
        <v>0.46984740000000003</v>
      </c>
      <c r="F1654">
        <v>4.5449400000000001E-2</v>
      </c>
      <c r="G1654">
        <v>2.6997900000000001</v>
      </c>
      <c r="H1654">
        <v>0.41593020000000003</v>
      </c>
      <c r="Q1654" s="10">
        <f t="shared" si="70"/>
        <v>5.8614576699713339E-4</v>
      </c>
      <c r="AI1654">
        <v>0.2455657</v>
      </c>
      <c r="AJ1654">
        <f t="shared" si="69"/>
        <v>0.2455657</v>
      </c>
      <c r="AO1654">
        <v>0.2455657</v>
      </c>
      <c r="AR1654" s="8">
        <v>0</v>
      </c>
      <c r="AS1654">
        <v>2.218791</v>
      </c>
    </row>
    <row r="1655" spans="1:45" x14ac:dyDescent="0.25">
      <c r="A1655">
        <v>304</v>
      </c>
      <c r="B1655">
        <v>2004</v>
      </c>
      <c r="C1655" s="8">
        <v>0</v>
      </c>
      <c r="D1655">
        <v>0.485933</v>
      </c>
      <c r="E1655">
        <v>0.517374</v>
      </c>
      <c r="F1655">
        <v>5.3841800000000002E-2</v>
      </c>
      <c r="G1655">
        <v>2.1317200000000001</v>
      </c>
      <c r="H1655">
        <v>0.41566110000000001</v>
      </c>
      <c r="Q1655" s="10">
        <f t="shared" si="70"/>
        <v>1.2736834868044239E-3</v>
      </c>
      <c r="AI1655">
        <v>0.2648529</v>
      </c>
      <c r="AJ1655">
        <f t="shared" si="69"/>
        <v>0.2648529</v>
      </c>
      <c r="AO1655">
        <v>0.2648529</v>
      </c>
      <c r="AR1655" s="8">
        <v>0</v>
      </c>
      <c r="AS1655">
        <v>1.9534750000000001</v>
      </c>
    </row>
    <row r="1656" spans="1:45" x14ac:dyDescent="0.25">
      <c r="A1656">
        <v>305</v>
      </c>
      <c r="B1656">
        <v>1999</v>
      </c>
      <c r="C1656" s="8">
        <v>0</v>
      </c>
      <c r="D1656">
        <v>0.2455657</v>
      </c>
      <c r="E1656">
        <v>0.19566230000000001</v>
      </c>
      <c r="F1656">
        <v>4.9101899999999997E-2</v>
      </c>
      <c r="G1656">
        <v>0.44360820000000001</v>
      </c>
      <c r="H1656">
        <v>0.3365553</v>
      </c>
      <c r="Q1656" s="10">
        <f t="shared" si="70"/>
        <v>2.6151667772709004E-2</v>
      </c>
      <c r="AI1656">
        <v>0.25857669999999999</v>
      </c>
      <c r="AJ1656">
        <f t="shared" si="69"/>
        <v>0.25857669999999999</v>
      </c>
      <c r="AO1656">
        <v>0.25857669999999999</v>
      </c>
      <c r="AR1656" s="8">
        <v>0</v>
      </c>
      <c r="AS1656">
        <v>2.6997900000000001</v>
      </c>
    </row>
    <row r="1657" spans="1:45" x14ac:dyDescent="0.25">
      <c r="A1657">
        <v>305</v>
      </c>
      <c r="B1657">
        <v>2000</v>
      </c>
      <c r="C1657" s="8">
        <v>0</v>
      </c>
      <c r="D1657">
        <v>0.2648529</v>
      </c>
      <c r="E1657">
        <v>0.19435630000000001</v>
      </c>
      <c r="F1657">
        <v>4.5812199999999997E-2</v>
      </c>
      <c r="G1657">
        <v>0.60845850000000001</v>
      </c>
      <c r="H1657">
        <v>0.344665</v>
      </c>
      <c r="Q1657" s="10">
        <f t="shared" si="70"/>
        <v>2.1065762299142171E-2</v>
      </c>
      <c r="AI1657">
        <v>0.26840360000000002</v>
      </c>
      <c r="AJ1657">
        <f t="shared" si="69"/>
        <v>0.26840360000000002</v>
      </c>
      <c r="AO1657">
        <v>0.26840360000000002</v>
      </c>
      <c r="AR1657" s="8">
        <v>0</v>
      </c>
      <c r="AS1657">
        <v>2.1317200000000001</v>
      </c>
    </row>
    <row r="1658" spans="1:45" x14ac:dyDescent="0.25">
      <c r="A1658">
        <v>305</v>
      </c>
      <c r="B1658">
        <v>2001</v>
      </c>
      <c r="C1658" s="8">
        <v>0</v>
      </c>
      <c r="D1658">
        <v>0.25857669999999999</v>
      </c>
      <c r="E1658">
        <v>0.1014867</v>
      </c>
      <c r="F1658">
        <v>4.6498400000000002E-2</v>
      </c>
      <c r="G1658">
        <v>0.41739009999999999</v>
      </c>
      <c r="H1658">
        <v>0.28692030000000002</v>
      </c>
      <c r="Q1658" s="10">
        <f t="shared" si="70"/>
        <v>3.0973170510849184E-2</v>
      </c>
      <c r="AI1658">
        <v>0.22059529999999999</v>
      </c>
      <c r="AJ1658">
        <f t="shared" si="69"/>
        <v>0.22059529999999999</v>
      </c>
      <c r="AO1658">
        <v>0.22059529999999999</v>
      </c>
      <c r="AR1658" s="8">
        <v>0</v>
      </c>
      <c r="AS1658">
        <v>0.44360820000000001</v>
      </c>
    </row>
    <row r="1659" spans="1:45" x14ac:dyDescent="0.25">
      <c r="A1659">
        <v>305</v>
      </c>
      <c r="B1659">
        <v>2002</v>
      </c>
      <c r="C1659" s="8">
        <v>0</v>
      </c>
      <c r="D1659">
        <v>0.26840360000000002</v>
      </c>
      <c r="E1659">
        <v>3.9470499999999999E-2</v>
      </c>
      <c r="F1659">
        <v>3.8267200000000001E-2</v>
      </c>
      <c r="G1659">
        <v>0.24399850000000001</v>
      </c>
      <c r="H1659">
        <v>0.28796959999999999</v>
      </c>
      <c r="Q1659" s="10">
        <f t="shared" si="70"/>
        <v>4.7150250400844522E-2</v>
      </c>
      <c r="AI1659">
        <v>0.28849039999999998</v>
      </c>
      <c r="AJ1659">
        <f t="shared" si="69"/>
        <v>0.28849039999999998</v>
      </c>
      <c r="AO1659">
        <v>0.28849039999999998</v>
      </c>
      <c r="AR1659" s="8">
        <v>0</v>
      </c>
      <c r="AS1659">
        <v>0.60845850000000001</v>
      </c>
    </row>
    <row r="1660" spans="1:45" x14ac:dyDescent="0.25">
      <c r="A1660">
        <v>305</v>
      </c>
      <c r="B1660">
        <v>2003</v>
      </c>
      <c r="C1660" s="8">
        <v>0</v>
      </c>
      <c r="D1660">
        <v>0.22059529999999999</v>
      </c>
      <c r="E1660">
        <v>2.0224499999999999E-2</v>
      </c>
      <c r="F1660">
        <v>5.0372100000000003E-2</v>
      </c>
      <c r="G1660">
        <v>0.4039278</v>
      </c>
      <c r="H1660">
        <v>0.25751659999999998</v>
      </c>
      <c r="Q1660" s="10">
        <f t="shared" si="70"/>
        <v>3.3294300311722404E-2</v>
      </c>
      <c r="AI1660">
        <v>0.25474340000000001</v>
      </c>
      <c r="AJ1660">
        <f t="shared" si="69"/>
        <v>0.25474340000000001</v>
      </c>
      <c r="AO1660">
        <v>0.25474340000000001</v>
      </c>
      <c r="AR1660" s="8">
        <v>0</v>
      </c>
      <c r="AS1660">
        <v>0.41739009999999999</v>
      </c>
    </row>
    <row r="1661" spans="1:45" x14ac:dyDescent="0.25">
      <c r="A1661">
        <v>305</v>
      </c>
      <c r="B1661">
        <v>2004</v>
      </c>
      <c r="C1661" s="8">
        <v>0</v>
      </c>
      <c r="D1661">
        <v>0.28849039999999998</v>
      </c>
      <c r="E1661">
        <v>-5.0134999999999997E-3</v>
      </c>
      <c r="F1661">
        <v>4.4402499999999998E-2</v>
      </c>
      <c r="G1661">
        <v>0.70063660000000005</v>
      </c>
      <c r="H1661">
        <v>0.29612500000000003</v>
      </c>
      <c r="Q1661" s="10">
        <f t="shared" si="70"/>
        <v>2.4013518429793223E-2</v>
      </c>
      <c r="AI1661">
        <v>0.28808139999999999</v>
      </c>
      <c r="AJ1661">
        <f t="shared" si="69"/>
        <v>0.28808139999999999</v>
      </c>
      <c r="AO1661">
        <v>0.28808139999999999</v>
      </c>
      <c r="AR1661" s="8">
        <v>0</v>
      </c>
      <c r="AS1661">
        <v>0.24399850000000001</v>
      </c>
    </row>
    <row r="1662" spans="1:45" x14ac:dyDescent="0.25">
      <c r="A1662">
        <v>306</v>
      </c>
      <c r="B1662">
        <v>1995</v>
      </c>
      <c r="C1662" s="8">
        <v>0</v>
      </c>
      <c r="D1662">
        <v>0.25474340000000001</v>
      </c>
      <c r="E1662">
        <v>-0.65437230000000002</v>
      </c>
      <c r="F1662">
        <v>4.7953000000000003E-2</v>
      </c>
      <c r="G1662">
        <v>0.1159429</v>
      </c>
      <c r="H1662">
        <v>0.41173569999999998</v>
      </c>
      <c r="Q1662" s="10">
        <f t="shared" si="70"/>
        <v>0.14189671172722951</v>
      </c>
      <c r="AI1662">
        <v>0.1900153</v>
      </c>
      <c r="AJ1662">
        <f t="shared" si="69"/>
        <v>0.1900153</v>
      </c>
      <c r="AO1662">
        <v>0.1900153</v>
      </c>
      <c r="AR1662" s="8">
        <v>0</v>
      </c>
      <c r="AS1662">
        <v>0.4039278</v>
      </c>
    </row>
    <row r="1663" spans="1:45" x14ac:dyDescent="0.25">
      <c r="A1663">
        <v>306</v>
      </c>
      <c r="B1663">
        <v>1996</v>
      </c>
      <c r="C1663" s="8">
        <v>0</v>
      </c>
      <c r="D1663">
        <v>0.28808139999999999</v>
      </c>
      <c r="E1663">
        <v>-0.51371770000000005</v>
      </c>
      <c r="F1663">
        <v>7.4595800000000004E-2</v>
      </c>
      <c r="G1663">
        <v>0.1445167</v>
      </c>
      <c r="H1663">
        <v>0.46970099999999998</v>
      </c>
      <c r="Q1663" s="10">
        <f t="shared" si="70"/>
        <v>9.8584276606703797E-2</v>
      </c>
      <c r="AI1663">
        <v>9.6507099999999998E-2</v>
      </c>
      <c r="AJ1663">
        <f t="shared" si="69"/>
        <v>9.6507099999999998E-2</v>
      </c>
      <c r="AO1663">
        <v>9.6507099999999998E-2</v>
      </c>
      <c r="AR1663" s="8">
        <v>0</v>
      </c>
      <c r="AS1663">
        <v>0.70063660000000005</v>
      </c>
    </row>
    <row r="1664" spans="1:45" x14ac:dyDescent="0.25">
      <c r="A1664">
        <v>306</v>
      </c>
      <c r="B1664">
        <v>1997</v>
      </c>
      <c r="C1664" s="8">
        <v>0</v>
      </c>
      <c r="D1664">
        <v>0.1900153</v>
      </c>
      <c r="E1664">
        <v>-0.56943699999999997</v>
      </c>
      <c r="F1664">
        <v>5.3671400000000001E-2</v>
      </c>
      <c r="G1664">
        <v>0.2375208</v>
      </c>
      <c r="H1664">
        <v>0.49944309999999997</v>
      </c>
      <c r="Q1664" s="10">
        <f t="shared" si="70"/>
        <v>0.10573376496361317</v>
      </c>
      <c r="AI1664">
        <v>5.9215700000000003E-2</v>
      </c>
      <c r="AJ1664">
        <f t="shared" si="69"/>
        <v>5.9215700000000003E-2</v>
      </c>
      <c r="AO1664">
        <v>5.9215700000000003E-2</v>
      </c>
      <c r="AR1664" s="8">
        <v>0</v>
      </c>
      <c r="AS1664">
        <v>0.1159429</v>
      </c>
    </row>
    <row r="1665" spans="1:45" x14ac:dyDescent="0.25">
      <c r="A1665">
        <v>307</v>
      </c>
      <c r="B1665">
        <v>2002</v>
      </c>
      <c r="C1665" s="8">
        <v>0</v>
      </c>
      <c r="D1665">
        <v>9.6507099999999998E-2</v>
      </c>
      <c r="E1665">
        <v>0.30303910000000001</v>
      </c>
      <c r="F1665">
        <v>3.8584599999999997E-2</v>
      </c>
      <c r="G1665">
        <v>0.2434288</v>
      </c>
      <c r="H1665">
        <v>0.26696809999999999</v>
      </c>
      <c r="Q1665" s="10">
        <f t="shared" si="70"/>
        <v>3.002525744699374E-2</v>
      </c>
      <c r="AI1665">
        <v>0.16719439999999999</v>
      </c>
      <c r="AJ1665">
        <f t="shared" si="69"/>
        <v>0.16719439999999999</v>
      </c>
      <c r="AO1665">
        <v>0.16719439999999999</v>
      </c>
      <c r="AR1665" s="8">
        <v>0</v>
      </c>
      <c r="AS1665">
        <v>0.1445167</v>
      </c>
    </row>
    <row r="1666" spans="1:45" x14ac:dyDescent="0.25">
      <c r="A1666">
        <v>307</v>
      </c>
      <c r="B1666">
        <v>2003</v>
      </c>
      <c r="C1666" s="8">
        <v>1</v>
      </c>
      <c r="D1666">
        <v>5.9215700000000003E-2</v>
      </c>
      <c r="E1666">
        <v>0.18245320000000001</v>
      </c>
      <c r="F1666">
        <v>9.6472999999999993E-3</v>
      </c>
      <c r="G1666">
        <v>0.3053361</v>
      </c>
      <c r="H1666">
        <v>0.30453980000000003</v>
      </c>
      <c r="Q1666" s="10">
        <f t="shared" si="70"/>
        <v>4.0728345412609647E-2</v>
      </c>
      <c r="AI1666">
        <v>9.8760899999999999E-2</v>
      </c>
      <c r="AJ1666">
        <f t="shared" si="69"/>
        <v>9.8760899999999999E-2</v>
      </c>
      <c r="AO1666">
        <v>9.8760899999999999E-2</v>
      </c>
      <c r="AR1666" s="8">
        <v>0</v>
      </c>
      <c r="AS1666">
        <v>0.2375208</v>
      </c>
    </row>
    <row r="1667" spans="1:45" x14ac:dyDescent="0.25">
      <c r="A1667">
        <v>308</v>
      </c>
      <c r="B1667">
        <v>1995</v>
      </c>
      <c r="C1667" s="8">
        <v>0</v>
      </c>
      <c r="D1667">
        <v>0.16719439999999999</v>
      </c>
      <c r="E1667">
        <v>-3.7471900000000002E-2</v>
      </c>
      <c r="F1667">
        <v>2.7290600000000002E-2</v>
      </c>
      <c r="G1667">
        <v>0.1009572</v>
      </c>
      <c r="H1667">
        <v>0.17468410000000001</v>
      </c>
      <c r="Q1667" s="10">
        <f t="shared" si="70"/>
        <v>6.3528189703900326E-2</v>
      </c>
      <c r="AI1667">
        <v>0.14779709999999999</v>
      </c>
      <c r="AJ1667">
        <f t="shared" si="69"/>
        <v>0.14779709999999999</v>
      </c>
      <c r="AO1667">
        <v>0.14779709999999999</v>
      </c>
      <c r="AR1667" s="8">
        <v>0</v>
      </c>
      <c r="AS1667">
        <v>0.2434288</v>
      </c>
    </row>
    <row r="1668" spans="1:45" x14ac:dyDescent="0.25">
      <c r="A1668">
        <v>308</v>
      </c>
      <c r="B1668">
        <v>1996</v>
      </c>
      <c r="C1668" s="8">
        <v>0</v>
      </c>
      <c r="D1668">
        <v>9.8760899999999999E-2</v>
      </c>
      <c r="E1668">
        <v>-1.6344999999999998E-2</v>
      </c>
      <c r="F1668">
        <v>5.7630300000000002E-2</v>
      </c>
      <c r="G1668">
        <v>0.25622529999999999</v>
      </c>
      <c r="H1668">
        <v>0.2196641</v>
      </c>
      <c r="Q1668" s="10">
        <f t="shared" si="70"/>
        <v>3.8718065639244049E-2</v>
      </c>
      <c r="AI1668">
        <v>0.1378298</v>
      </c>
      <c r="AJ1668">
        <f t="shared" si="69"/>
        <v>0.1378298</v>
      </c>
      <c r="AO1668">
        <v>0.1378298</v>
      </c>
      <c r="AR1668" s="8">
        <v>1</v>
      </c>
      <c r="AS1668">
        <v>0.3053361</v>
      </c>
    </row>
    <row r="1669" spans="1:45" x14ac:dyDescent="0.25">
      <c r="A1669">
        <v>308</v>
      </c>
      <c r="B1669">
        <v>1997</v>
      </c>
      <c r="C1669" s="8">
        <v>0</v>
      </c>
      <c r="D1669">
        <v>0.14779709999999999</v>
      </c>
      <c r="E1669">
        <v>-1.6619600000000002E-2</v>
      </c>
      <c r="F1669">
        <v>4.9891600000000001E-2</v>
      </c>
      <c r="G1669">
        <v>0.25334800000000002</v>
      </c>
      <c r="H1669">
        <v>0.18880710000000001</v>
      </c>
      <c r="Q1669" s="10">
        <f t="shared" si="70"/>
        <v>4.1333220307371167E-2</v>
      </c>
      <c r="AI1669">
        <v>0.1086115</v>
      </c>
      <c r="AJ1669">
        <f t="shared" ref="AJ1669:AJ1732" si="71">MAX(MIN(AI1669,AM$5),AM$4)</f>
        <v>0.1086115</v>
      </c>
      <c r="AO1669">
        <v>0.1086115</v>
      </c>
      <c r="AR1669" s="8">
        <v>0</v>
      </c>
      <c r="AS1669">
        <v>0.1009572</v>
      </c>
    </row>
    <row r="1670" spans="1:45" x14ac:dyDescent="0.25">
      <c r="A1670">
        <v>309</v>
      </c>
      <c r="B1670">
        <v>1995</v>
      </c>
      <c r="C1670" s="8">
        <v>0</v>
      </c>
      <c r="D1670">
        <v>0.1378298</v>
      </c>
      <c r="E1670">
        <v>0.20344499999999999</v>
      </c>
      <c r="F1670">
        <v>7.4885300000000002E-2</v>
      </c>
      <c r="G1670">
        <v>0.88886160000000003</v>
      </c>
      <c r="H1670">
        <v>0.29353400000000002</v>
      </c>
      <c r="Q1670" s="10">
        <f t="shared" si="70"/>
        <v>9.7977027257461699E-3</v>
      </c>
      <c r="AI1670">
        <v>0.1185134</v>
      </c>
      <c r="AJ1670">
        <f t="shared" si="71"/>
        <v>0.1185134</v>
      </c>
      <c r="AO1670">
        <v>0.1185134</v>
      </c>
      <c r="AR1670" s="8">
        <v>0</v>
      </c>
      <c r="AS1670">
        <v>0.25622529999999999</v>
      </c>
    </row>
    <row r="1671" spans="1:45" x14ac:dyDescent="0.25">
      <c r="A1671">
        <v>309</v>
      </c>
      <c r="B1671">
        <v>1996</v>
      </c>
      <c r="C1671" s="8">
        <v>0</v>
      </c>
      <c r="D1671">
        <v>0.1086115</v>
      </c>
      <c r="E1671">
        <v>0.1877432</v>
      </c>
      <c r="F1671">
        <v>6.6984100000000005E-2</v>
      </c>
      <c r="G1671">
        <v>1.3194900000000001</v>
      </c>
      <c r="H1671">
        <v>0.30984089999999997</v>
      </c>
      <c r="Q1671" s="10">
        <f t="shared" ref="Q1671:Q1734" si="72">1/(1+EXP(-(J$6+SUMPRODUCT(K$6:O$6,D1671:H1671))))</f>
        <v>5.389076999163191E-3</v>
      </c>
      <c r="AI1671">
        <v>9.1974500000000001E-2</v>
      </c>
      <c r="AJ1671">
        <f t="shared" si="71"/>
        <v>9.1974500000000001E-2</v>
      </c>
      <c r="AO1671">
        <v>9.1974500000000001E-2</v>
      </c>
      <c r="AR1671" s="8">
        <v>0</v>
      </c>
      <c r="AS1671">
        <v>0.25334800000000002</v>
      </c>
    </row>
    <row r="1672" spans="1:45" x14ac:dyDescent="0.25">
      <c r="A1672">
        <v>309</v>
      </c>
      <c r="B1672">
        <v>1997</v>
      </c>
      <c r="C1672" s="8">
        <v>0</v>
      </c>
      <c r="D1672">
        <v>0.1185134</v>
      </c>
      <c r="E1672">
        <v>0.18913679999999999</v>
      </c>
      <c r="F1672">
        <v>7.0173799999999995E-2</v>
      </c>
      <c r="G1672">
        <v>1.6598189999999999</v>
      </c>
      <c r="H1672">
        <v>0.31950230000000002</v>
      </c>
      <c r="Q1672" s="10">
        <f t="shared" si="72"/>
        <v>3.0860451147757722E-3</v>
      </c>
      <c r="AI1672">
        <v>7.3776400000000006E-2</v>
      </c>
      <c r="AJ1672">
        <f t="shared" si="71"/>
        <v>7.3776400000000006E-2</v>
      </c>
      <c r="AO1672">
        <v>7.3776400000000006E-2</v>
      </c>
      <c r="AR1672" s="8">
        <v>0</v>
      </c>
      <c r="AS1672">
        <v>0.88886160000000003</v>
      </c>
    </row>
    <row r="1673" spans="1:45" x14ac:dyDescent="0.25">
      <c r="A1673">
        <v>309</v>
      </c>
      <c r="B1673">
        <v>1998</v>
      </c>
      <c r="C1673" s="8">
        <v>0</v>
      </c>
      <c r="D1673">
        <v>9.1974500000000001E-2</v>
      </c>
      <c r="E1673">
        <v>0.15094750000000001</v>
      </c>
      <c r="F1673">
        <v>5.8988400000000003E-2</v>
      </c>
      <c r="G1673">
        <v>2.5888149999999999</v>
      </c>
      <c r="H1673">
        <v>0.32771099999999997</v>
      </c>
      <c r="Q1673" s="10">
        <f t="shared" si="72"/>
        <v>8.0881881128317106E-4</v>
      </c>
      <c r="AI1673">
        <v>0.1029997</v>
      </c>
      <c r="AJ1673">
        <f t="shared" si="71"/>
        <v>0.1029997</v>
      </c>
      <c r="AO1673">
        <v>0.1029997</v>
      </c>
      <c r="AR1673" s="8">
        <v>0</v>
      </c>
      <c r="AS1673">
        <v>1.3194900000000001</v>
      </c>
    </row>
    <row r="1674" spans="1:45" x14ac:dyDescent="0.25">
      <c r="A1674">
        <v>309</v>
      </c>
      <c r="B1674">
        <v>1999</v>
      </c>
      <c r="C1674" s="8">
        <v>0</v>
      </c>
      <c r="D1674">
        <v>7.3776400000000006E-2</v>
      </c>
      <c r="E1674">
        <v>0.2387204</v>
      </c>
      <c r="F1674">
        <v>5.9851599999999998E-2</v>
      </c>
      <c r="G1674">
        <v>2.9253170000000002</v>
      </c>
      <c r="H1674">
        <v>0.30540840000000002</v>
      </c>
      <c r="Q1674" s="10">
        <f t="shared" si="72"/>
        <v>4.0498110157443778E-4</v>
      </c>
      <c r="AI1674">
        <v>0.1223948</v>
      </c>
      <c r="AJ1674">
        <f t="shared" si="71"/>
        <v>0.1223948</v>
      </c>
      <c r="AO1674">
        <v>0.1223948</v>
      </c>
      <c r="AR1674" s="8">
        <v>0</v>
      </c>
      <c r="AS1674">
        <v>1.6598189999999999</v>
      </c>
    </row>
    <row r="1675" spans="1:45" x14ac:dyDescent="0.25">
      <c r="A1675">
        <v>309</v>
      </c>
      <c r="B1675">
        <v>2000</v>
      </c>
      <c r="C1675" s="8">
        <v>0</v>
      </c>
      <c r="D1675">
        <v>0.1029997</v>
      </c>
      <c r="E1675">
        <v>0.28944370000000003</v>
      </c>
      <c r="F1675">
        <v>6.9829000000000002E-2</v>
      </c>
      <c r="G1675">
        <v>2.2301489999999999</v>
      </c>
      <c r="H1675">
        <v>0.31230760000000002</v>
      </c>
      <c r="Q1675" s="10">
        <f t="shared" si="72"/>
        <v>1.068290837896923E-3</v>
      </c>
      <c r="AI1675">
        <v>0.1030493</v>
      </c>
      <c r="AJ1675">
        <f t="shared" si="71"/>
        <v>0.1030493</v>
      </c>
      <c r="AO1675">
        <v>0.1030493</v>
      </c>
      <c r="AR1675" s="8">
        <v>0</v>
      </c>
      <c r="AS1675">
        <v>2.5888149999999999</v>
      </c>
    </row>
    <row r="1676" spans="1:45" x14ac:dyDescent="0.25">
      <c r="A1676">
        <v>309</v>
      </c>
      <c r="B1676">
        <v>2001</v>
      </c>
      <c r="C1676" s="8">
        <v>0</v>
      </c>
      <c r="D1676">
        <v>0.1223948</v>
      </c>
      <c r="E1676">
        <v>0.36762400000000001</v>
      </c>
      <c r="F1676">
        <v>7.1542099999999997E-2</v>
      </c>
      <c r="G1676">
        <v>3.2541380000000002</v>
      </c>
      <c r="H1676">
        <v>0.27964470000000002</v>
      </c>
      <c r="Q1676" s="10">
        <f t="shared" si="72"/>
        <v>1.8187064904979028E-4</v>
      </c>
      <c r="AI1676">
        <v>9.8978099999999999E-2</v>
      </c>
      <c r="AJ1676">
        <f t="shared" si="71"/>
        <v>9.8978099999999999E-2</v>
      </c>
      <c r="AO1676">
        <v>9.8978099999999999E-2</v>
      </c>
      <c r="AR1676" s="8">
        <v>0</v>
      </c>
      <c r="AS1676">
        <v>2.9253170000000002</v>
      </c>
    </row>
    <row r="1677" spans="1:45" x14ac:dyDescent="0.25">
      <c r="A1677">
        <v>309</v>
      </c>
      <c r="B1677">
        <v>2002</v>
      </c>
      <c r="C1677" s="8">
        <v>0</v>
      </c>
      <c r="D1677">
        <v>0.1030493</v>
      </c>
      <c r="E1677">
        <v>0.33150540000000001</v>
      </c>
      <c r="F1677">
        <v>4.6183799999999997E-2</v>
      </c>
      <c r="G1677">
        <v>1.8047</v>
      </c>
      <c r="H1677">
        <v>0.2868482</v>
      </c>
      <c r="Q1677" s="10">
        <f t="shared" si="72"/>
        <v>2.351354256024073E-3</v>
      </c>
      <c r="AI1677">
        <v>0.1073484</v>
      </c>
      <c r="AJ1677">
        <f t="shared" si="71"/>
        <v>0.1073484</v>
      </c>
      <c r="AO1677">
        <v>0.1073484</v>
      </c>
      <c r="AR1677" s="8">
        <v>0</v>
      </c>
      <c r="AS1677">
        <v>2.2301489999999999</v>
      </c>
    </row>
    <row r="1678" spans="1:45" x14ac:dyDescent="0.25">
      <c r="A1678">
        <v>309</v>
      </c>
      <c r="B1678">
        <v>2003</v>
      </c>
      <c r="C1678" s="8">
        <v>0</v>
      </c>
      <c r="D1678">
        <v>9.8978099999999999E-2</v>
      </c>
      <c r="E1678">
        <v>0.36602469999999998</v>
      </c>
      <c r="F1678">
        <v>6.6707500000000003E-2</v>
      </c>
      <c r="G1678">
        <v>2.1143019999999999</v>
      </c>
      <c r="H1678">
        <v>0.2809933</v>
      </c>
      <c r="Q1678" s="10">
        <f t="shared" si="72"/>
        <v>1.1538838387516819E-3</v>
      </c>
      <c r="AI1678">
        <v>-2.5916100000000001E-2</v>
      </c>
      <c r="AJ1678">
        <f t="shared" si="71"/>
        <v>-2.5916100000000001E-2</v>
      </c>
      <c r="AO1678">
        <v>-2.5916100000000001E-2</v>
      </c>
      <c r="AR1678" s="8">
        <v>0</v>
      </c>
      <c r="AS1678">
        <v>3.2541380000000002</v>
      </c>
    </row>
    <row r="1679" spans="1:45" x14ac:dyDescent="0.25">
      <c r="A1679">
        <v>309</v>
      </c>
      <c r="B1679">
        <v>2004</v>
      </c>
      <c r="C1679" s="8">
        <v>0</v>
      </c>
      <c r="D1679">
        <v>0.1073484</v>
      </c>
      <c r="E1679">
        <v>0.41249229999999998</v>
      </c>
      <c r="F1679">
        <v>7.9370999999999997E-2</v>
      </c>
      <c r="G1679">
        <v>2.1081850000000002</v>
      </c>
      <c r="H1679">
        <v>0.28387180000000001</v>
      </c>
      <c r="Q1679" s="10">
        <f t="shared" si="72"/>
        <v>9.8949320162452213E-4</v>
      </c>
      <c r="AI1679">
        <v>0.1885114</v>
      </c>
      <c r="AJ1679">
        <f t="shared" si="71"/>
        <v>0.1885114</v>
      </c>
      <c r="AO1679">
        <v>0.1885114</v>
      </c>
      <c r="AR1679" s="8">
        <v>0</v>
      </c>
      <c r="AS1679">
        <v>1.8047</v>
      </c>
    </row>
    <row r="1680" spans="1:45" x14ac:dyDescent="0.25">
      <c r="A1680">
        <v>310</v>
      </c>
      <c r="B1680">
        <v>2000</v>
      </c>
      <c r="C1680" s="8">
        <v>0</v>
      </c>
      <c r="D1680">
        <v>-2.5916100000000001E-2</v>
      </c>
      <c r="E1680">
        <v>0.48088769999999997</v>
      </c>
      <c r="F1680">
        <v>5.4837900000000002E-2</v>
      </c>
      <c r="G1680">
        <v>1.1312599999999999</v>
      </c>
      <c r="H1680">
        <v>0.1768139</v>
      </c>
      <c r="Q1680" s="10">
        <f t="shared" si="72"/>
        <v>4.5626332497417229E-3</v>
      </c>
      <c r="AI1680">
        <v>0.26069609999999999</v>
      </c>
      <c r="AJ1680">
        <f t="shared" si="71"/>
        <v>0.26069609999999999</v>
      </c>
      <c r="AO1680">
        <v>0.26069609999999999</v>
      </c>
      <c r="AR1680" s="8">
        <v>0</v>
      </c>
      <c r="AS1680">
        <v>2.1143019999999999</v>
      </c>
    </row>
    <row r="1681" spans="1:45" x14ac:dyDescent="0.25">
      <c r="A1681">
        <v>310</v>
      </c>
      <c r="B1681">
        <v>2001</v>
      </c>
      <c r="C1681" s="8">
        <v>0</v>
      </c>
      <c r="D1681">
        <v>0.1885114</v>
      </c>
      <c r="E1681">
        <v>0.51645379999999996</v>
      </c>
      <c r="F1681">
        <v>7.04573E-2</v>
      </c>
      <c r="G1681">
        <v>1.659249</v>
      </c>
      <c r="H1681">
        <v>0.2118206</v>
      </c>
      <c r="Q1681" s="10">
        <f t="shared" si="72"/>
        <v>1.8461869572122568E-3</v>
      </c>
      <c r="AI1681">
        <v>0.18594169999999999</v>
      </c>
      <c r="AJ1681">
        <f t="shared" si="71"/>
        <v>0.18594169999999999</v>
      </c>
      <c r="AO1681">
        <v>0.18594169999999999</v>
      </c>
      <c r="AR1681" s="8">
        <v>0</v>
      </c>
      <c r="AS1681">
        <v>2.1081850000000002</v>
      </c>
    </row>
    <row r="1682" spans="1:45" x14ac:dyDescent="0.25">
      <c r="A1682">
        <v>310</v>
      </c>
      <c r="B1682">
        <v>2002</v>
      </c>
      <c r="C1682" s="8">
        <v>0</v>
      </c>
      <c r="D1682">
        <v>0.26069609999999999</v>
      </c>
      <c r="E1682">
        <v>0.55198270000000005</v>
      </c>
      <c r="F1682">
        <v>6.5747399999999998E-2</v>
      </c>
      <c r="G1682">
        <v>2.0271319999999999</v>
      </c>
      <c r="H1682">
        <v>0.21525349999999999</v>
      </c>
      <c r="Q1682" s="10">
        <f t="shared" si="72"/>
        <v>1.0467834905561783E-3</v>
      </c>
      <c r="AI1682">
        <v>0.26595160000000001</v>
      </c>
      <c r="AJ1682">
        <f t="shared" si="71"/>
        <v>0.26595160000000001</v>
      </c>
      <c r="AO1682">
        <v>0.26595160000000001</v>
      </c>
      <c r="AR1682" s="8">
        <v>0</v>
      </c>
      <c r="AS1682">
        <v>1.1312599999999999</v>
      </c>
    </row>
    <row r="1683" spans="1:45" x14ac:dyDescent="0.25">
      <c r="A1683">
        <v>310</v>
      </c>
      <c r="B1683">
        <v>2003</v>
      </c>
      <c r="C1683" s="8">
        <v>0</v>
      </c>
      <c r="D1683">
        <v>0.18594169999999999</v>
      </c>
      <c r="E1683">
        <v>0.61712089999999997</v>
      </c>
      <c r="F1683">
        <v>6.0061900000000001E-2</v>
      </c>
      <c r="G1683">
        <v>2.121766</v>
      </c>
      <c r="H1683">
        <v>0.2248165</v>
      </c>
      <c r="Q1683" s="10">
        <f t="shared" si="72"/>
        <v>8.3597205617188316E-4</v>
      </c>
      <c r="AI1683">
        <v>4.0215000000000001E-2</v>
      </c>
      <c r="AJ1683">
        <f t="shared" si="71"/>
        <v>4.0215000000000001E-2</v>
      </c>
      <c r="AO1683">
        <v>4.0215000000000001E-2</v>
      </c>
      <c r="AR1683" s="8">
        <v>0</v>
      </c>
      <c r="AS1683">
        <v>1.659249</v>
      </c>
    </row>
    <row r="1684" spans="1:45" x14ac:dyDescent="0.25">
      <c r="A1684">
        <v>310</v>
      </c>
      <c r="B1684">
        <v>2004</v>
      </c>
      <c r="C1684" s="8">
        <v>0</v>
      </c>
      <c r="D1684">
        <v>0.26595160000000001</v>
      </c>
      <c r="E1684">
        <v>0.67022490000000001</v>
      </c>
      <c r="F1684">
        <v>5.6509499999999997E-2</v>
      </c>
      <c r="G1684">
        <v>2.8041960000000001</v>
      </c>
      <c r="H1684">
        <v>0.22576170000000001</v>
      </c>
      <c r="Q1684" s="10">
        <f t="shared" si="72"/>
        <v>2.7771077655132045E-4</v>
      </c>
      <c r="AI1684">
        <v>0.10230980000000001</v>
      </c>
      <c r="AJ1684">
        <f t="shared" si="71"/>
        <v>0.10230980000000001</v>
      </c>
      <c r="AO1684">
        <v>0.10230980000000001</v>
      </c>
      <c r="AR1684" s="8">
        <v>0</v>
      </c>
      <c r="AS1684">
        <v>2.0271319999999999</v>
      </c>
    </row>
    <row r="1685" spans="1:45" x14ac:dyDescent="0.25">
      <c r="A1685">
        <v>311</v>
      </c>
      <c r="B1685">
        <v>2000</v>
      </c>
      <c r="C1685" s="8">
        <v>0</v>
      </c>
      <c r="D1685">
        <v>4.0215000000000001E-2</v>
      </c>
      <c r="E1685">
        <v>-8.2409000000000007E-3</v>
      </c>
      <c r="F1685">
        <v>5.3501199999999999E-2</v>
      </c>
      <c r="G1685">
        <v>0.39148529999999998</v>
      </c>
      <c r="H1685">
        <v>0.32072600000000001</v>
      </c>
      <c r="Q1685" s="10">
        <f t="shared" si="72"/>
        <v>3.3313983144520568E-2</v>
      </c>
      <c r="AI1685">
        <v>5.86413E-2</v>
      </c>
      <c r="AJ1685">
        <f t="shared" si="71"/>
        <v>5.86413E-2</v>
      </c>
      <c r="AO1685">
        <v>5.86413E-2</v>
      </c>
      <c r="AR1685" s="8">
        <v>0</v>
      </c>
      <c r="AS1685">
        <v>2.121766</v>
      </c>
    </row>
    <row r="1686" spans="1:45" x14ac:dyDescent="0.25">
      <c r="A1686">
        <v>311</v>
      </c>
      <c r="B1686">
        <v>2001</v>
      </c>
      <c r="C1686" s="8">
        <v>0</v>
      </c>
      <c r="D1686">
        <v>0.10230980000000001</v>
      </c>
      <c r="E1686">
        <v>-5.1156899999999998E-2</v>
      </c>
      <c r="F1686">
        <v>3.19271E-2</v>
      </c>
      <c r="G1686">
        <v>0.334229</v>
      </c>
      <c r="H1686">
        <v>0.28080450000000001</v>
      </c>
      <c r="Q1686" s="10">
        <f t="shared" si="72"/>
        <v>4.5621187787215203E-2</v>
      </c>
      <c r="AI1686">
        <v>2.5938300000000001E-2</v>
      </c>
      <c r="AJ1686">
        <f t="shared" si="71"/>
        <v>2.5938300000000001E-2</v>
      </c>
      <c r="AO1686">
        <v>2.5938300000000001E-2</v>
      </c>
      <c r="AR1686" s="8">
        <v>0</v>
      </c>
      <c r="AS1686">
        <v>2.8041960000000001</v>
      </c>
    </row>
    <row r="1687" spans="1:45" x14ac:dyDescent="0.25">
      <c r="A1687">
        <v>311</v>
      </c>
      <c r="B1687">
        <v>2002</v>
      </c>
      <c r="C1687" s="8">
        <v>0</v>
      </c>
      <c r="D1687">
        <v>5.86413E-2</v>
      </c>
      <c r="E1687">
        <v>-0.1911216</v>
      </c>
      <c r="F1687">
        <v>1.9501299999999999E-2</v>
      </c>
      <c r="G1687">
        <v>0.2292438</v>
      </c>
      <c r="H1687">
        <v>0.32848189999999999</v>
      </c>
      <c r="Q1687" s="10">
        <f t="shared" si="72"/>
        <v>7.1822337427010371E-2</v>
      </c>
      <c r="AI1687">
        <v>1.6373800000000001E-2</v>
      </c>
      <c r="AJ1687">
        <f t="shared" si="71"/>
        <v>1.6373800000000001E-2</v>
      </c>
      <c r="AO1687">
        <v>1.6373800000000001E-2</v>
      </c>
      <c r="AR1687" s="8">
        <v>0</v>
      </c>
      <c r="AS1687">
        <v>0.39148529999999998</v>
      </c>
    </row>
    <row r="1688" spans="1:45" x14ac:dyDescent="0.25">
      <c r="A1688">
        <v>311</v>
      </c>
      <c r="B1688">
        <v>2003</v>
      </c>
      <c r="C1688" s="8">
        <v>0</v>
      </c>
      <c r="D1688">
        <v>2.5938300000000001E-2</v>
      </c>
      <c r="E1688">
        <v>-0.1965973</v>
      </c>
      <c r="F1688">
        <v>4.1954199999999997E-2</v>
      </c>
      <c r="G1688">
        <v>0.44555800000000001</v>
      </c>
      <c r="H1688">
        <v>0.32084819999999997</v>
      </c>
      <c r="Q1688" s="10">
        <f t="shared" si="72"/>
        <v>4.336921402352039E-2</v>
      </c>
      <c r="AI1688">
        <v>0.1180896</v>
      </c>
      <c r="AJ1688">
        <f t="shared" si="71"/>
        <v>0.1180896</v>
      </c>
      <c r="AO1688">
        <v>0.1180896</v>
      </c>
      <c r="AR1688" s="8">
        <v>0</v>
      </c>
      <c r="AS1688">
        <v>0.334229</v>
      </c>
    </row>
    <row r="1689" spans="1:45" x14ac:dyDescent="0.25">
      <c r="A1689">
        <v>311</v>
      </c>
      <c r="B1689">
        <v>2004</v>
      </c>
      <c r="C1689" s="8">
        <v>0</v>
      </c>
      <c r="D1689">
        <v>1.6373800000000001E-2</v>
      </c>
      <c r="E1689">
        <v>-0.1514086</v>
      </c>
      <c r="F1689">
        <v>5.8146400000000001E-2</v>
      </c>
      <c r="G1689">
        <v>0.38308150000000002</v>
      </c>
      <c r="H1689">
        <v>0.4602694</v>
      </c>
      <c r="Q1689" s="10">
        <f t="shared" si="72"/>
        <v>4.2823760848867271E-2</v>
      </c>
      <c r="AI1689">
        <v>0.14812040000000001</v>
      </c>
      <c r="AJ1689">
        <f t="shared" si="71"/>
        <v>0.14812040000000001</v>
      </c>
      <c r="AO1689">
        <v>0.14812040000000001</v>
      </c>
      <c r="AR1689" s="8">
        <v>0</v>
      </c>
      <c r="AS1689">
        <v>0.2292438</v>
      </c>
    </row>
    <row r="1690" spans="1:45" x14ac:dyDescent="0.25">
      <c r="A1690">
        <v>312</v>
      </c>
      <c r="B1690">
        <v>1995</v>
      </c>
      <c r="C1690" s="8">
        <v>0</v>
      </c>
      <c r="D1690">
        <v>0.1180896</v>
      </c>
      <c r="E1690">
        <v>0.39184980000000003</v>
      </c>
      <c r="F1690">
        <v>5.1471799999999998E-2</v>
      </c>
      <c r="G1690">
        <v>1.780419</v>
      </c>
      <c r="H1690">
        <v>0.25708370000000003</v>
      </c>
      <c r="Q1690" s="10">
        <f t="shared" si="72"/>
        <v>2.1205229940774429E-3</v>
      </c>
      <c r="AI1690">
        <v>0.35400300000000001</v>
      </c>
      <c r="AJ1690">
        <f t="shared" si="71"/>
        <v>0.35400300000000001</v>
      </c>
      <c r="AO1690">
        <v>0.35400300000000001</v>
      </c>
      <c r="AR1690" s="8">
        <v>0</v>
      </c>
      <c r="AS1690">
        <v>0.44555800000000001</v>
      </c>
    </row>
    <row r="1691" spans="1:45" x14ac:dyDescent="0.25">
      <c r="A1691">
        <v>312</v>
      </c>
      <c r="B1691">
        <v>1996</v>
      </c>
      <c r="C1691" s="8">
        <v>0</v>
      </c>
      <c r="D1691">
        <v>0.14812040000000001</v>
      </c>
      <c r="E1691">
        <v>0.36472520000000003</v>
      </c>
      <c r="F1691">
        <v>6.2301700000000002E-2</v>
      </c>
      <c r="G1691">
        <v>1.3509580000000001</v>
      </c>
      <c r="H1691">
        <v>0.1767156</v>
      </c>
      <c r="Q1691" s="10">
        <f t="shared" si="72"/>
        <v>3.8564908544127577E-3</v>
      </c>
      <c r="AI1691">
        <v>3.2258700000000001E-2</v>
      </c>
      <c r="AJ1691">
        <f t="shared" si="71"/>
        <v>3.2258700000000001E-2</v>
      </c>
      <c r="AO1691">
        <v>3.2258700000000001E-2</v>
      </c>
      <c r="AR1691" s="8">
        <v>0</v>
      </c>
      <c r="AS1691">
        <v>0.38308150000000002</v>
      </c>
    </row>
    <row r="1692" spans="1:45" x14ac:dyDescent="0.25">
      <c r="A1692">
        <v>312</v>
      </c>
      <c r="B1692">
        <v>1997</v>
      </c>
      <c r="C1692" s="8">
        <v>0</v>
      </c>
      <c r="D1692">
        <v>0.35400300000000001</v>
      </c>
      <c r="E1692">
        <v>0.4436889</v>
      </c>
      <c r="F1692">
        <v>5.5971399999999998E-2</v>
      </c>
      <c r="G1692">
        <v>1.601305</v>
      </c>
      <c r="H1692">
        <v>0.21072560000000001</v>
      </c>
      <c r="Q1692" s="10">
        <f t="shared" si="72"/>
        <v>2.702504007145108E-3</v>
      </c>
      <c r="AI1692">
        <v>4.0296600000000002E-2</v>
      </c>
      <c r="AJ1692">
        <f t="shared" si="71"/>
        <v>4.0296600000000002E-2</v>
      </c>
      <c r="AO1692">
        <v>4.0296600000000002E-2</v>
      </c>
      <c r="AR1692" s="8">
        <v>0</v>
      </c>
      <c r="AS1692">
        <v>1.780419</v>
      </c>
    </row>
    <row r="1693" spans="1:45" x14ac:dyDescent="0.25">
      <c r="A1693">
        <v>312</v>
      </c>
      <c r="B1693">
        <v>1998</v>
      </c>
      <c r="C1693" s="8">
        <v>0</v>
      </c>
      <c r="D1693">
        <v>3.2258700000000001E-2</v>
      </c>
      <c r="E1693">
        <v>0.2690266</v>
      </c>
      <c r="F1693">
        <v>5.0353299999999997E-2</v>
      </c>
      <c r="G1693">
        <v>0.79088800000000004</v>
      </c>
      <c r="H1693">
        <v>0.19720850000000001</v>
      </c>
      <c r="Q1693" s="10">
        <f t="shared" si="72"/>
        <v>1.140539126860257E-2</v>
      </c>
      <c r="AI1693">
        <v>0.54578720000000003</v>
      </c>
      <c r="AJ1693">
        <f t="shared" si="71"/>
        <v>0.52051970800000003</v>
      </c>
      <c r="AO1693">
        <v>0.52051970800000003</v>
      </c>
      <c r="AR1693" s="8">
        <v>0</v>
      </c>
      <c r="AS1693">
        <v>1.3509580000000001</v>
      </c>
    </row>
    <row r="1694" spans="1:45" x14ac:dyDescent="0.25">
      <c r="A1694">
        <v>312</v>
      </c>
      <c r="B1694">
        <v>1999</v>
      </c>
      <c r="C1694" s="8">
        <v>0</v>
      </c>
      <c r="D1694">
        <v>4.0296600000000002E-2</v>
      </c>
      <c r="E1694">
        <v>0.33117069999999998</v>
      </c>
      <c r="F1694">
        <v>5.3994599999999997E-2</v>
      </c>
      <c r="G1694">
        <v>1.016383</v>
      </c>
      <c r="H1694">
        <v>0.2202528</v>
      </c>
      <c r="Q1694" s="10">
        <f t="shared" si="72"/>
        <v>7.2216813003754621E-3</v>
      </c>
      <c r="AI1694">
        <v>0.44964009999999999</v>
      </c>
      <c r="AJ1694">
        <f t="shared" si="71"/>
        <v>0.44964009999999999</v>
      </c>
      <c r="AO1694">
        <v>0.44964009999999999</v>
      </c>
      <c r="AR1694" s="8">
        <v>0</v>
      </c>
      <c r="AS1694">
        <v>1.601305</v>
      </c>
    </row>
    <row r="1695" spans="1:45" x14ac:dyDescent="0.25">
      <c r="A1695">
        <v>313</v>
      </c>
      <c r="B1695">
        <v>1995</v>
      </c>
      <c r="C1695" s="8">
        <v>0</v>
      </c>
      <c r="D1695">
        <v>0.54578720000000003</v>
      </c>
      <c r="E1695">
        <v>0.50789229999999996</v>
      </c>
      <c r="F1695">
        <v>6.6725900000000005E-2</v>
      </c>
      <c r="G1695">
        <v>4.2018950000000004</v>
      </c>
      <c r="H1695">
        <v>0.20875640000000001</v>
      </c>
      <c r="Q1695" s="10">
        <f t="shared" si="72"/>
        <v>3.8829921877668736E-5</v>
      </c>
      <c r="AI1695">
        <v>0.35936679999999999</v>
      </c>
      <c r="AJ1695">
        <f t="shared" si="71"/>
        <v>0.35936679999999999</v>
      </c>
      <c r="AO1695">
        <v>0.35936679999999999</v>
      </c>
      <c r="AR1695" s="8">
        <v>0</v>
      </c>
      <c r="AS1695">
        <v>0.79088800000000004</v>
      </c>
    </row>
    <row r="1696" spans="1:45" x14ac:dyDescent="0.25">
      <c r="A1696">
        <v>313</v>
      </c>
      <c r="B1696">
        <v>1996</v>
      </c>
      <c r="C1696" s="8">
        <v>0</v>
      </c>
      <c r="D1696">
        <v>0.44964009999999999</v>
      </c>
      <c r="E1696">
        <v>0.5143896</v>
      </c>
      <c r="F1696">
        <v>8.7258600000000006E-2</v>
      </c>
      <c r="G1696">
        <v>4.8661120000000002</v>
      </c>
      <c r="H1696">
        <v>0.22911629999999999</v>
      </c>
      <c r="Q1696" s="10">
        <f t="shared" si="72"/>
        <v>1.1021101364144934E-5</v>
      </c>
      <c r="AI1696">
        <v>0.32589370000000001</v>
      </c>
      <c r="AJ1696">
        <f t="shared" si="71"/>
        <v>0.32589370000000001</v>
      </c>
      <c r="AO1696">
        <v>0.32589370000000001</v>
      </c>
      <c r="AR1696" s="8">
        <v>0</v>
      </c>
      <c r="AS1696">
        <v>1.016383</v>
      </c>
    </row>
    <row r="1697" spans="1:45" x14ac:dyDescent="0.25">
      <c r="A1697">
        <v>313</v>
      </c>
      <c r="B1697">
        <v>1997</v>
      </c>
      <c r="C1697" s="8">
        <v>0</v>
      </c>
      <c r="D1697">
        <v>0.35936679999999999</v>
      </c>
      <c r="E1697">
        <v>0.60309420000000002</v>
      </c>
      <c r="F1697">
        <v>8.8503200000000004E-2</v>
      </c>
      <c r="G1697">
        <v>3.8414139999999999</v>
      </c>
      <c r="H1697">
        <v>0.222996</v>
      </c>
      <c r="Q1697" s="10">
        <f t="shared" si="72"/>
        <v>4.7115069435236727E-5</v>
      </c>
      <c r="AI1697">
        <v>0.45609559999999999</v>
      </c>
      <c r="AJ1697">
        <f t="shared" si="71"/>
        <v>0.45609559999999999</v>
      </c>
      <c r="AO1697">
        <v>0.45609559999999999</v>
      </c>
      <c r="AR1697" s="8">
        <v>0</v>
      </c>
      <c r="AS1697">
        <v>4.2018950000000004</v>
      </c>
    </row>
    <row r="1698" spans="1:45" x14ac:dyDescent="0.25">
      <c r="A1698">
        <v>313</v>
      </c>
      <c r="B1698">
        <v>1998</v>
      </c>
      <c r="C1698" s="8">
        <v>0</v>
      </c>
      <c r="D1698">
        <v>0.32589370000000001</v>
      </c>
      <c r="E1698">
        <v>0.56419750000000002</v>
      </c>
      <c r="F1698">
        <v>5.5762699999999998E-2</v>
      </c>
      <c r="G1698">
        <v>2.1102569999999998</v>
      </c>
      <c r="H1698">
        <v>0.1999351</v>
      </c>
      <c r="Q1698" s="10">
        <f t="shared" si="72"/>
        <v>9.9296534267810633E-4</v>
      </c>
      <c r="AI1698">
        <v>0.35639290000000001</v>
      </c>
      <c r="AJ1698">
        <f t="shared" si="71"/>
        <v>0.35639290000000001</v>
      </c>
      <c r="AO1698">
        <v>0.35639290000000001</v>
      </c>
      <c r="AR1698" s="8">
        <v>0</v>
      </c>
      <c r="AS1698">
        <v>4.8661120000000002</v>
      </c>
    </row>
    <row r="1699" spans="1:45" x14ac:dyDescent="0.25">
      <c r="A1699">
        <v>313</v>
      </c>
      <c r="B1699">
        <v>1999</v>
      </c>
      <c r="C1699" s="8">
        <v>0</v>
      </c>
      <c r="D1699">
        <v>0.45609559999999999</v>
      </c>
      <c r="E1699">
        <v>0.53508489999999997</v>
      </c>
      <c r="F1699">
        <v>4.9326599999999998E-2</v>
      </c>
      <c r="G1699">
        <v>1.1028210000000001</v>
      </c>
      <c r="H1699">
        <v>0.1623801</v>
      </c>
      <c r="Q1699" s="10">
        <f t="shared" si="72"/>
        <v>5.5749420999421798E-3</v>
      </c>
      <c r="AI1699">
        <v>0.33148430000000001</v>
      </c>
      <c r="AJ1699">
        <f t="shared" si="71"/>
        <v>0.33148430000000001</v>
      </c>
      <c r="AO1699">
        <v>0.33148430000000001</v>
      </c>
      <c r="AR1699" s="8">
        <v>0</v>
      </c>
      <c r="AS1699">
        <v>3.8414139999999999</v>
      </c>
    </row>
    <row r="1700" spans="1:45" x14ac:dyDescent="0.25">
      <c r="A1700">
        <v>313</v>
      </c>
      <c r="B1700">
        <v>2000</v>
      </c>
      <c r="C1700" s="8">
        <v>0</v>
      </c>
      <c r="D1700">
        <v>0.35639290000000001</v>
      </c>
      <c r="E1700">
        <v>0.66305190000000003</v>
      </c>
      <c r="F1700">
        <v>7.6487200000000005E-2</v>
      </c>
      <c r="G1700">
        <v>1.6246940000000001</v>
      </c>
      <c r="H1700">
        <v>0.19314580000000001</v>
      </c>
      <c r="Q1700" s="10">
        <f t="shared" si="72"/>
        <v>1.5920927346587187E-3</v>
      </c>
      <c r="AI1700">
        <v>0.25249300000000002</v>
      </c>
      <c r="AJ1700">
        <f t="shared" si="71"/>
        <v>0.25249300000000002</v>
      </c>
      <c r="AO1700">
        <v>0.25249300000000002</v>
      </c>
      <c r="AR1700" s="8">
        <v>0</v>
      </c>
      <c r="AS1700">
        <v>2.1102569999999998</v>
      </c>
    </row>
    <row r="1701" spans="1:45" x14ac:dyDescent="0.25">
      <c r="A1701">
        <v>313</v>
      </c>
      <c r="B1701">
        <v>2001</v>
      </c>
      <c r="C1701" s="8">
        <v>0</v>
      </c>
      <c r="D1701">
        <v>0.33148430000000001</v>
      </c>
      <c r="E1701">
        <v>0.67691619999999997</v>
      </c>
      <c r="F1701">
        <v>5.5952599999999998E-2</v>
      </c>
      <c r="G1701">
        <v>1.9896339999999999</v>
      </c>
      <c r="H1701">
        <v>0.1892472</v>
      </c>
      <c r="Q1701" s="10">
        <f t="shared" si="72"/>
        <v>1.0155403736591842E-3</v>
      </c>
      <c r="AI1701">
        <v>0.2891358</v>
      </c>
      <c r="AJ1701">
        <f t="shared" si="71"/>
        <v>0.2891358</v>
      </c>
      <c r="AO1701">
        <v>0.2891358</v>
      </c>
      <c r="AR1701" s="8">
        <v>0</v>
      </c>
      <c r="AS1701">
        <v>1.1028210000000001</v>
      </c>
    </row>
    <row r="1702" spans="1:45" x14ac:dyDescent="0.25">
      <c r="A1702">
        <v>313</v>
      </c>
      <c r="B1702">
        <v>2002</v>
      </c>
      <c r="C1702" s="8">
        <v>0</v>
      </c>
      <c r="D1702">
        <v>0.25249300000000002</v>
      </c>
      <c r="E1702">
        <v>0.49173640000000002</v>
      </c>
      <c r="F1702">
        <v>8.2052200000000006E-2</v>
      </c>
      <c r="G1702">
        <v>3.2168060000000001</v>
      </c>
      <c r="H1702">
        <v>0.17345759999999999</v>
      </c>
      <c r="Q1702" s="10">
        <f t="shared" si="72"/>
        <v>1.4640780473387709E-4</v>
      </c>
      <c r="AI1702">
        <v>0.26923209999999997</v>
      </c>
      <c r="AJ1702">
        <f t="shared" si="71"/>
        <v>0.26923209999999997</v>
      </c>
      <c r="AO1702">
        <v>0.26923209999999997</v>
      </c>
      <c r="AR1702" s="8">
        <v>0</v>
      </c>
      <c r="AS1702">
        <v>1.6246940000000001</v>
      </c>
    </row>
    <row r="1703" spans="1:45" x14ac:dyDescent="0.25">
      <c r="A1703">
        <v>313</v>
      </c>
      <c r="B1703">
        <v>2003</v>
      </c>
      <c r="C1703" s="8">
        <v>0</v>
      </c>
      <c r="D1703">
        <v>0.2891358</v>
      </c>
      <c r="E1703">
        <v>0.47370109999999999</v>
      </c>
      <c r="F1703">
        <v>7.5481300000000001E-2</v>
      </c>
      <c r="G1703">
        <v>3.8955630000000001</v>
      </c>
      <c r="H1703">
        <v>0.16812959999999999</v>
      </c>
      <c r="Q1703" s="10">
        <f t="shared" si="72"/>
        <v>5.4352584074300851E-5</v>
      </c>
      <c r="AI1703">
        <v>0.26683669999999998</v>
      </c>
      <c r="AJ1703">
        <f t="shared" si="71"/>
        <v>0.26683669999999998</v>
      </c>
      <c r="AO1703">
        <v>0.26683669999999998</v>
      </c>
      <c r="AR1703" s="8">
        <v>0</v>
      </c>
      <c r="AS1703">
        <v>1.9896339999999999</v>
      </c>
    </row>
    <row r="1704" spans="1:45" x14ac:dyDescent="0.25">
      <c r="A1704">
        <v>313</v>
      </c>
      <c r="B1704">
        <v>2004</v>
      </c>
      <c r="C1704" s="8">
        <v>0</v>
      </c>
      <c r="D1704">
        <v>0.26923209999999997</v>
      </c>
      <c r="E1704">
        <v>0.59074939999999998</v>
      </c>
      <c r="F1704">
        <v>9.2159000000000005E-2</v>
      </c>
      <c r="G1704">
        <v>6.5450920000000004</v>
      </c>
      <c r="H1704">
        <v>0.20095779999999999</v>
      </c>
      <c r="Q1704" s="10">
        <f t="shared" si="72"/>
        <v>5.9557474957975885E-7</v>
      </c>
      <c r="AI1704">
        <v>0.22222169999999999</v>
      </c>
      <c r="AJ1704">
        <f t="shared" si="71"/>
        <v>0.22222169999999999</v>
      </c>
      <c r="AO1704">
        <v>0.22222169999999999</v>
      </c>
      <c r="AR1704" s="8">
        <v>0</v>
      </c>
      <c r="AS1704">
        <v>3.2168060000000001</v>
      </c>
    </row>
    <row r="1705" spans="1:45" x14ac:dyDescent="0.25">
      <c r="A1705">
        <v>314</v>
      </c>
      <c r="B1705">
        <v>1995</v>
      </c>
      <c r="C1705" s="8">
        <v>0</v>
      </c>
      <c r="D1705">
        <v>0.26683669999999998</v>
      </c>
      <c r="E1705">
        <v>0.3941422</v>
      </c>
      <c r="F1705">
        <v>4.51603E-2</v>
      </c>
      <c r="G1705">
        <v>0.66496279999999997</v>
      </c>
      <c r="H1705">
        <v>0.80409169999999996</v>
      </c>
      <c r="Q1705" s="10">
        <f t="shared" si="72"/>
        <v>1.9291698224683004E-2</v>
      </c>
      <c r="AI1705">
        <v>0.2414499</v>
      </c>
      <c r="AJ1705">
        <f t="shared" si="71"/>
        <v>0.2414499</v>
      </c>
      <c r="AO1705">
        <v>0.2414499</v>
      </c>
      <c r="AR1705" s="8">
        <v>0</v>
      </c>
      <c r="AS1705">
        <v>3.8955630000000001</v>
      </c>
    </row>
    <row r="1706" spans="1:45" x14ac:dyDescent="0.25">
      <c r="A1706">
        <v>314</v>
      </c>
      <c r="B1706">
        <v>1996</v>
      </c>
      <c r="C1706" s="8">
        <v>0</v>
      </c>
      <c r="D1706">
        <v>0.22222169999999999</v>
      </c>
      <c r="E1706">
        <v>0.34343600000000002</v>
      </c>
      <c r="F1706">
        <v>4.7047800000000001E-2</v>
      </c>
      <c r="G1706">
        <v>0.63096629999999998</v>
      </c>
      <c r="H1706">
        <v>0.72315110000000005</v>
      </c>
      <c r="Q1706" s="10">
        <f t="shared" si="72"/>
        <v>2.0145113984531102E-2</v>
      </c>
      <c r="AI1706">
        <v>0.14639740000000001</v>
      </c>
      <c r="AJ1706">
        <f t="shared" si="71"/>
        <v>0.14639740000000001</v>
      </c>
      <c r="AO1706">
        <v>0.14639740000000001</v>
      </c>
      <c r="AR1706" s="8">
        <v>0</v>
      </c>
      <c r="AS1706">
        <v>6.5450920000000004</v>
      </c>
    </row>
    <row r="1707" spans="1:45" x14ac:dyDescent="0.25">
      <c r="A1707">
        <v>314</v>
      </c>
      <c r="B1707">
        <v>1997</v>
      </c>
      <c r="C1707" s="8">
        <v>0</v>
      </c>
      <c r="D1707">
        <v>0.2414499</v>
      </c>
      <c r="E1707">
        <v>0.37014819999999998</v>
      </c>
      <c r="F1707">
        <v>5.0773100000000002E-2</v>
      </c>
      <c r="G1707">
        <v>1.0395460000000001</v>
      </c>
      <c r="H1707">
        <v>0.69883499999999998</v>
      </c>
      <c r="Q1707" s="10">
        <f t="shared" si="72"/>
        <v>9.8411473913467048E-3</v>
      </c>
      <c r="AI1707">
        <v>0.12605669999999999</v>
      </c>
      <c r="AJ1707">
        <f t="shared" si="71"/>
        <v>0.12605669999999999</v>
      </c>
      <c r="AO1707">
        <v>0.12605669999999999</v>
      </c>
      <c r="AR1707" s="8">
        <v>0</v>
      </c>
      <c r="AS1707">
        <v>0.66496279999999997</v>
      </c>
    </row>
    <row r="1708" spans="1:45" x14ac:dyDescent="0.25">
      <c r="A1708">
        <v>314</v>
      </c>
      <c r="B1708">
        <v>1998</v>
      </c>
      <c r="C1708" s="8">
        <v>0</v>
      </c>
      <c r="D1708">
        <v>0.14639740000000001</v>
      </c>
      <c r="E1708">
        <v>0.37808839999999999</v>
      </c>
      <c r="F1708">
        <v>4.5054700000000003E-2</v>
      </c>
      <c r="G1708">
        <v>0.96927620000000003</v>
      </c>
      <c r="H1708">
        <v>0.84866359999999996</v>
      </c>
      <c r="Q1708" s="10">
        <f t="shared" si="72"/>
        <v>1.1989616470558229E-2</v>
      </c>
      <c r="AI1708">
        <v>0.13757420000000001</v>
      </c>
      <c r="AJ1708">
        <f t="shared" si="71"/>
        <v>0.13757420000000001</v>
      </c>
      <c r="AO1708">
        <v>0.13757420000000001</v>
      </c>
      <c r="AR1708" s="8">
        <v>0</v>
      </c>
      <c r="AS1708">
        <v>0.63096629999999998</v>
      </c>
    </row>
    <row r="1709" spans="1:45" x14ac:dyDescent="0.25">
      <c r="A1709">
        <v>314</v>
      </c>
      <c r="B1709">
        <v>1999</v>
      </c>
      <c r="C1709" s="8">
        <v>0</v>
      </c>
      <c r="D1709">
        <v>0.12605669999999999</v>
      </c>
      <c r="E1709">
        <v>0.33988469999999998</v>
      </c>
      <c r="F1709">
        <v>5.4669299999999997E-2</v>
      </c>
      <c r="G1709">
        <v>0.45651799999999998</v>
      </c>
      <c r="H1709">
        <v>0.82819750000000003</v>
      </c>
      <c r="Q1709" s="10">
        <f t="shared" si="72"/>
        <v>2.5655802814551754E-2</v>
      </c>
      <c r="AI1709">
        <v>0.20561679999999999</v>
      </c>
      <c r="AJ1709">
        <f t="shared" si="71"/>
        <v>0.20561679999999999</v>
      </c>
      <c r="AO1709">
        <v>0.20561679999999999</v>
      </c>
      <c r="AR1709" s="8">
        <v>0</v>
      </c>
      <c r="AS1709">
        <v>1.0395460000000001</v>
      </c>
    </row>
    <row r="1710" spans="1:45" x14ac:dyDescent="0.25">
      <c r="A1710">
        <v>314</v>
      </c>
      <c r="B1710">
        <v>2000</v>
      </c>
      <c r="C1710" s="8">
        <v>0</v>
      </c>
      <c r="D1710">
        <v>0.13757420000000001</v>
      </c>
      <c r="E1710">
        <v>0.32021189999999999</v>
      </c>
      <c r="F1710">
        <v>3.5617000000000003E-2</v>
      </c>
      <c r="G1710">
        <v>0.73034350000000003</v>
      </c>
      <c r="H1710">
        <v>0.93098780000000003</v>
      </c>
      <c r="Q1710" s="10">
        <f t="shared" si="72"/>
        <v>2.1375923240372467E-2</v>
      </c>
      <c r="AI1710">
        <v>0.12201620000000001</v>
      </c>
      <c r="AJ1710">
        <f t="shared" si="71"/>
        <v>0.12201620000000001</v>
      </c>
      <c r="AO1710">
        <v>0.12201620000000001</v>
      </c>
      <c r="AR1710" s="8">
        <v>0</v>
      </c>
      <c r="AS1710">
        <v>0.96927620000000003</v>
      </c>
    </row>
    <row r="1711" spans="1:45" x14ac:dyDescent="0.25">
      <c r="A1711">
        <v>314</v>
      </c>
      <c r="B1711">
        <v>2001</v>
      </c>
      <c r="C1711" s="8">
        <v>0</v>
      </c>
      <c r="D1711">
        <v>0.20561679999999999</v>
      </c>
      <c r="E1711">
        <v>0.26089889999999999</v>
      </c>
      <c r="F1711">
        <v>3.6876899999999997E-2</v>
      </c>
      <c r="G1711">
        <v>0.5044864</v>
      </c>
      <c r="H1711">
        <v>0.21603449999999999</v>
      </c>
      <c r="Q1711" s="10">
        <f t="shared" si="72"/>
        <v>2.1824232329345661E-2</v>
      </c>
      <c r="AI1711">
        <v>7.9836000000000004E-2</v>
      </c>
      <c r="AJ1711">
        <f t="shared" si="71"/>
        <v>7.9836000000000004E-2</v>
      </c>
      <c r="AO1711">
        <v>7.9836000000000004E-2</v>
      </c>
      <c r="AR1711" s="8">
        <v>0</v>
      </c>
      <c r="AS1711">
        <v>0.45651799999999998</v>
      </c>
    </row>
    <row r="1712" spans="1:45" x14ac:dyDescent="0.25">
      <c r="A1712">
        <v>314</v>
      </c>
      <c r="B1712">
        <v>2002</v>
      </c>
      <c r="C1712" s="8">
        <v>0</v>
      </c>
      <c r="D1712">
        <v>0.12201620000000001</v>
      </c>
      <c r="E1712">
        <v>0.28164210000000001</v>
      </c>
      <c r="F1712">
        <v>5.7986299999999998E-2</v>
      </c>
      <c r="G1712">
        <v>0.75008739999999996</v>
      </c>
      <c r="H1712">
        <v>0.32331850000000001</v>
      </c>
      <c r="Q1712" s="10">
        <f t="shared" si="72"/>
        <v>1.2601838592197942E-2</v>
      </c>
      <c r="AI1712">
        <v>7.18163E-2</v>
      </c>
      <c r="AJ1712">
        <f t="shared" si="71"/>
        <v>7.18163E-2</v>
      </c>
      <c r="AO1712">
        <v>7.18163E-2</v>
      </c>
      <c r="AR1712" s="8">
        <v>0</v>
      </c>
      <c r="AS1712">
        <v>0.73034350000000003</v>
      </c>
    </row>
    <row r="1713" spans="1:45" x14ac:dyDescent="0.25">
      <c r="A1713">
        <v>314</v>
      </c>
      <c r="B1713">
        <v>2003</v>
      </c>
      <c r="C1713" s="8">
        <v>0</v>
      </c>
      <c r="D1713">
        <v>7.9836000000000004E-2</v>
      </c>
      <c r="E1713">
        <v>0.31203530000000002</v>
      </c>
      <c r="F1713">
        <v>4.1021099999999998E-2</v>
      </c>
      <c r="G1713">
        <v>0.7569785</v>
      </c>
      <c r="H1713">
        <v>0.2944737</v>
      </c>
      <c r="Q1713" s="10">
        <f t="shared" si="72"/>
        <v>1.3176530652685576E-2</v>
      </c>
      <c r="AI1713">
        <v>3.1804899999999997E-2</v>
      </c>
      <c r="AJ1713">
        <f t="shared" si="71"/>
        <v>3.1804899999999997E-2</v>
      </c>
      <c r="AO1713">
        <v>3.1804899999999997E-2</v>
      </c>
      <c r="AR1713" s="8">
        <v>0</v>
      </c>
      <c r="AS1713">
        <v>0.5044864</v>
      </c>
    </row>
    <row r="1714" spans="1:45" x14ac:dyDescent="0.25">
      <c r="A1714">
        <v>315</v>
      </c>
      <c r="B1714">
        <v>1995</v>
      </c>
      <c r="C1714" s="8">
        <v>0</v>
      </c>
      <c r="D1714">
        <v>7.18163E-2</v>
      </c>
      <c r="E1714">
        <v>0.25272240000000001</v>
      </c>
      <c r="F1714">
        <v>5.1826400000000002E-2</v>
      </c>
      <c r="G1714">
        <v>0.63350609999999996</v>
      </c>
      <c r="H1714">
        <v>0.22943930000000001</v>
      </c>
      <c r="Q1714" s="10">
        <f t="shared" si="72"/>
        <v>1.5320784619883189E-2</v>
      </c>
      <c r="AI1714">
        <v>7.0384000000000002E-2</v>
      </c>
      <c r="AJ1714">
        <f t="shared" si="71"/>
        <v>7.0384000000000002E-2</v>
      </c>
      <c r="AO1714">
        <v>7.0384000000000002E-2</v>
      </c>
      <c r="AR1714" s="8">
        <v>0</v>
      </c>
      <c r="AS1714">
        <v>0.75008739999999996</v>
      </c>
    </row>
    <row r="1715" spans="1:45" x14ac:dyDescent="0.25">
      <c r="A1715">
        <v>315</v>
      </c>
      <c r="B1715">
        <v>1996</v>
      </c>
      <c r="C1715" s="8">
        <v>0</v>
      </c>
      <c r="D1715">
        <v>3.1804899999999997E-2</v>
      </c>
      <c r="E1715">
        <v>0.2346336</v>
      </c>
      <c r="F1715">
        <v>4.2810599999999997E-2</v>
      </c>
      <c r="G1715">
        <v>0.6791701</v>
      </c>
      <c r="H1715">
        <v>0.20234250000000001</v>
      </c>
      <c r="Q1715" s="10">
        <f t="shared" si="72"/>
        <v>1.5204703852460444E-2</v>
      </c>
      <c r="AI1715">
        <v>0.1228997</v>
      </c>
      <c r="AJ1715">
        <f t="shared" si="71"/>
        <v>0.1228997</v>
      </c>
      <c r="AO1715">
        <v>0.1228997</v>
      </c>
      <c r="AR1715" s="8">
        <v>0</v>
      </c>
      <c r="AS1715">
        <v>0.7569785</v>
      </c>
    </row>
    <row r="1716" spans="1:45" x14ac:dyDescent="0.25">
      <c r="A1716">
        <v>315</v>
      </c>
      <c r="B1716">
        <v>1997</v>
      </c>
      <c r="C1716" s="8">
        <v>0</v>
      </c>
      <c r="D1716">
        <v>7.0384000000000002E-2</v>
      </c>
      <c r="E1716">
        <v>0.22864809999999999</v>
      </c>
      <c r="F1716">
        <v>2.74083E-2</v>
      </c>
      <c r="G1716">
        <v>0.74870159999999997</v>
      </c>
      <c r="H1716">
        <v>0.22129299999999999</v>
      </c>
      <c r="Q1716" s="10">
        <f t="shared" si="72"/>
        <v>1.5953482499148769E-2</v>
      </c>
      <c r="AI1716">
        <v>0.1049523</v>
      </c>
      <c r="AJ1716">
        <f t="shared" si="71"/>
        <v>0.1049523</v>
      </c>
      <c r="AO1716">
        <v>0.1049523</v>
      </c>
      <c r="AR1716" s="8">
        <v>0</v>
      </c>
      <c r="AS1716">
        <v>0.63350609999999996</v>
      </c>
    </row>
    <row r="1717" spans="1:45" x14ac:dyDescent="0.25">
      <c r="A1717">
        <v>315</v>
      </c>
      <c r="B1717">
        <v>1998</v>
      </c>
      <c r="C1717" s="8">
        <v>0</v>
      </c>
      <c r="D1717">
        <v>0.1228997</v>
      </c>
      <c r="E1717">
        <v>0.21720690000000001</v>
      </c>
      <c r="F1717">
        <v>4.42537E-2</v>
      </c>
      <c r="G1717">
        <v>0.81780540000000002</v>
      </c>
      <c r="H1717">
        <v>0.26217960000000001</v>
      </c>
      <c r="Q1717" s="10">
        <f t="shared" si="72"/>
        <v>1.3345632889517282E-2</v>
      </c>
      <c r="AI1717">
        <v>8.2168000000000005E-2</v>
      </c>
      <c r="AJ1717">
        <f t="shared" si="71"/>
        <v>8.2168000000000005E-2</v>
      </c>
      <c r="AO1717">
        <v>8.2168000000000005E-2</v>
      </c>
      <c r="AR1717" s="8">
        <v>0</v>
      </c>
      <c r="AS1717">
        <v>0.6791701</v>
      </c>
    </row>
    <row r="1718" spans="1:45" x14ac:dyDescent="0.25">
      <c r="A1718">
        <v>315</v>
      </c>
      <c r="B1718">
        <v>1999</v>
      </c>
      <c r="C1718" s="8">
        <v>0</v>
      </c>
      <c r="D1718">
        <v>0.1049523</v>
      </c>
      <c r="E1718">
        <v>0.22088720000000001</v>
      </c>
      <c r="F1718">
        <v>5.5948900000000003E-2</v>
      </c>
      <c r="G1718">
        <v>1.196898</v>
      </c>
      <c r="H1718">
        <v>0.23340330000000001</v>
      </c>
      <c r="Q1718" s="10">
        <f t="shared" si="72"/>
        <v>6.4871560643714561E-3</v>
      </c>
      <c r="AI1718">
        <v>0.1029157</v>
      </c>
      <c r="AJ1718">
        <f t="shared" si="71"/>
        <v>0.1029157</v>
      </c>
      <c r="AO1718">
        <v>0.1029157</v>
      </c>
      <c r="AR1718" s="8">
        <v>0</v>
      </c>
      <c r="AS1718">
        <v>0.74870159999999997</v>
      </c>
    </row>
    <row r="1719" spans="1:45" x14ac:dyDescent="0.25">
      <c r="A1719">
        <v>315</v>
      </c>
      <c r="B1719">
        <v>2000</v>
      </c>
      <c r="C1719" s="8">
        <v>0</v>
      </c>
      <c r="D1719">
        <v>8.2168000000000005E-2</v>
      </c>
      <c r="E1719">
        <v>0.15159130000000001</v>
      </c>
      <c r="F1719">
        <v>2.87672E-2</v>
      </c>
      <c r="G1719">
        <v>0.67584</v>
      </c>
      <c r="H1719">
        <v>0.19933390000000001</v>
      </c>
      <c r="Q1719" s="10">
        <f t="shared" si="72"/>
        <v>1.9580675320308834E-2</v>
      </c>
      <c r="AI1719">
        <v>0.1182415</v>
      </c>
      <c r="AJ1719">
        <f t="shared" si="71"/>
        <v>0.1182415</v>
      </c>
      <c r="AO1719">
        <v>0.1182415</v>
      </c>
      <c r="AR1719" s="8">
        <v>0</v>
      </c>
      <c r="AS1719">
        <v>0.81780540000000002</v>
      </c>
    </row>
    <row r="1720" spans="1:45" x14ac:dyDescent="0.25">
      <c r="A1720">
        <v>315</v>
      </c>
      <c r="B1720">
        <v>2001</v>
      </c>
      <c r="C1720" s="8">
        <v>0</v>
      </c>
      <c r="D1720">
        <v>0.1029157</v>
      </c>
      <c r="E1720">
        <v>0.1238442</v>
      </c>
      <c r="F1720">
        <v>4.1703400000000002E-2</v>
      </c>
      <c r="G1720">
        <v>0.75422299999999998</v>
      </c>
      <c r="H1720">
        <v>0.20227100000000001</v>
      </c>
      <c r="Q1720" s="10">
        <f t="shared" si="72"/>
        <v>1.6446447333159406E-2</v>
      </c>
      <c r="AI1720">
        <v>9.5546300000000001E-2</v>
      </c>
      <c r="AJ1720">
        <f t="shared" si="71"/>
        <v>9.5546300000000001E-2</v>
      </c>
      <c r="AO1720">
        <v>9.5546300000000001E-2</v>
      </c>
      <c r="AR1720" s="8">
        <v>0</v>
      </c>
      <c r="AS1720">
        <v>1.196898</v>
      </c>
    </row>
    <row r="1721" spans="1:45" x14ac:dyDescent="0.25">
      <c r="A1721">
        <v>315</v>
      </c>
      <c r="B1721">
        <v>2002</v>
      </c>
      <c r="C1721" s="8">
        <v>0</v>
      </c>
      <c r="D1721">
        <v>0.1182415</v>
      </c>
      <c r="E1721">
        <v>3.44106E-2</v>
      </c>
      <c r="F1721">
        <v>4.33353E-2</v>
      </c>
      <c r="G1721">
        <v>0.66009300000000004</v>
      </c>
      <c r="H1721">
        <v>0.22288620000000001</v>
      </c>
      <c r="Q1721" s="10">
        <f t="shared" si="72"/>
        <v>2.1775656683865736E-2</v>
      </c>
      <c r="AI1721">
        <v>0.15084649999999999</v>
      </c>
      <c r="AJ1721">
        <f t="shared" si="71"/>
        <v>0.15084649999999999</v>
      </c>
      <c r="AO1721">
        <v>0.15084649999999999</v>
      </c>
      <c r="AR1721" s="8">
        <v>0</v>
      </c>
      <c r="AS1721">
        <v>0.67584</v>
      </c>
    </row>
    <row r="1722" spans="1:45" x14ac:dyDescent="0.25">
      <c r="A1722">
        <v>315</v>
      </c>
      <c r="B1722">
        <v>2003</v>
      </c>
      <c r="C1722" s="8">
        <v>0</v>
      </c>
      <c r="D1722">
        <v>9.5546300000000001E-2</v>
      </c>
      <c r="E1722">
        <v>7.57192E-2</v>
      </c>
      <c r="F1722">
        <v>3.9129799999999999E-2</v>
      </c>
      <c r="G1722">
        <v>0.79314150000000005</v>
      </c>
      <c r="H1722">
        <v>0.19779169999999999</v>
      </c>
      <c r="Q1722" s="10">
        <f t="shared" si="72"/>
        <v>1.6817883988216983E-2</v>
      </c>
      <c r="AI1722">
        <v>0.29003380000000001</v>
      </c>
      <c r="AJ1722">
        <f t="shared" si="71"/>
        <v>0.29003380000000001</v>
      </c>
      <c r="AO1722">
        <v>0.29003380000000001</v>
      </c>
      <c r="AR1722" s="8">
        <v>0</v>
      </c>
      <c r="AS1722">
        <v>0.75422299999999998</v>
      </c>
    </row>
    <row r="1723" spans="1:45" x14ac:dyDescent="0.25">
      <c r="A1723">
        <v>315</v>
      </c>
      <c r="B1723">
        <v>2004</v>
      </c>
      <c r="C1723" s="8">
        <v>0</v>
      </c>
      <c r="D1723">
        <v>0.15084649999999999</v>
      </c>
      <c r="E1723">
        <v>6.8110000000000004E-2</v>
      </c>
      <c r="F1723">
        <v>3.98518E-2</v>
      </c>
      <c r="G1723">
        <v>0.82580920000000002</v>
      </c>
      <c r="H1723">
        <v>0.22125320000000001</v>
      </c>
      <c r="Q1723" s="10">
        <f t="shared" si="72"/>
        <v>1.6664554753285255E-2</v>
      </c>
      <c r="AI1723">
        <v>0.26197700000000002</v>
      </c>
      <c r="AJ1723">
        <f t="shared" si="71"/>
        <v>0.26197700000000002</v>
      </c>
      <c r="AO1723">
        <v>0.26197700000000002</v>
      </c>
      <c r="AR1723" s="8">
        <v>0</v>
      </c>
      <c r="AS1723">
        <v>0.66009300000000004</v>
      </c>
    </row>
    <row r="1724" spans="1:45" x14ac:dyDescent="0.25">
      <c r="A1724">
        <v>316</v>
      </c>
      <c r="B1724">
        <v>1995</v>
      </c>
      <c r="C1724" s="8">
        <v>0</v>
      </c>
      <c r="D1724">
        <v>0.29003380000000001</v>
      </c>
      <c r="E1724">
        <v>0.13497310000000001</v>
      </c>
      <c r="F1724">
        <v>5.4013100000000001E-2</v>
      </c>
      <c r="G1724">
        <v>5.452388</v>
      </c>
      <c r="H1724">
        <v>0.27777190000000002</v>
      </c>
      <c r="Q1724" s="10">
        <f t="shared" si="72"/>
        <v>9.4607569641810722E-6</v>
      </c>
      <c r="AI1724">
        <v>0.336005</v>
      </c>
      <c r="AJ1724">
        <f t="shared" si="71"/>
        <v>0.336005</v>
      </c>
      <c r="AO1724">
        <v>0.336005</v>
      </c>
      <c r="AR1724" s="8">
        <v>0</v>
      </c>
      <c r="AS1724">
        <v>0.79314150000000005</v>
      </c>
    </row>
    <row r="1725" spans="1:45" x14ac:dyDescent="0.25">
      <c r="A1725">
        <v>316</v>
      </c>
      <c r="B1725">
        <v>1996</v>
      </c>
      <c r="C1725" s="8">
        <v>0</v>
      </c>
      <c r="D1725">
        <v>0.26197700000000002</v>
      </c>
      <c r="E1725">
        <v>0.23040749999999999</v>
      </c>
      <c r="F1725">
        <v>7.4614399999999997E-2</v>
      </c>
      <c r="G1725">
        <v>3.9667509999999999</v>
      </c>
      <c r="H1725">
        <v>0.27941440000000001</v>
      </c>
      <c r="Q1725" s="10">
        <f t="shared" si="72"/>
        <v>7.3731296080083671E-5</v>
      </c>
      <c r="AI1725">
        <v>0.25309229999999999</v>
      </c>
      <c r="AJ1725">
        <f t="shared" si="71"/>
        <v>0.25309229999999999</v>
      </c>
      <c r="AO1725">
        <v>0.25309229999999999</v>
      </c>
      <c r="AR1725" s="8">
        <v>0</v>
      </c>
      <c r="AS1725">
        <v>0.82580920000000002</v>
      </c>
    </row>
    <row r="1726" spans="1:45" x14ac:dyDescent="0.25">
      <c r="A1726">
        <v>316</v>
      </c>
      <c r="B1726">
        <v>1997</v>
      </c>
      <c r="C1726" s="8">
        <v>0</v>
      </c>
      <c r="D1726">
        <v>0.336005</v>
      </c>
      <c r="E1726">
        <v>0.14432919999999999</v>
      </c>
      <c r="F1726">
        <v>4.0302900000000003E-2</v>
      </c>
      <c r="G1726">
        <v>3.2273149999999999</v>
      </c>
      <c r="H1726">
        <v>0.2200029</v>
      </c>
      <c r="Q1726" s="10">
        <f t="shared" si="72"/>
        <v>3.5495271321255711E-4</v>
      </c>
      <c r="AI1726">
        <v>0.25852069999999999</v>
      </c>
      <c r="AJ1726">
        <f t="shared" si="71"/>
        <v>0.25852069999999999</v>
      </c>
      <c r="AO1726">
        <v>0.25852069999999999</v>
      </c>
      <c r="AR1726" s="8">
        <v>0</v>
      </c>
      <c r="AS1726">
        <v>5.452388</v>
      </c>
    </row>
    <row r="1727" spans="1:45" x14ac:dyDescent="0.25">
      <c r="A1727">
        <v>316</v>
      </c>
      <c r="B1727">
        <v>1998</v>
      </c>
      <c r="C1727" s="8">
        <v>0</v>
      </c>
      <c r="D1727">
        <v>0.25309229999999999</v>
      </c>
      <c r="E1727">
        <v>0.1653201</v>
      </c>
      <c r="F1727">
        <v>3.32246E-2</v>
      </c>
      <c r="G1727">
        <v>1.3212120000000001</v>
      </c>
      <c r="H1727">
        <v>0.2086866</v>
      </c>
      <c r="Q1727" s="10">
        <f t="shared" si="72"/>
        <v>7.2398457312551866E-3</v>
      </c>
      <c r="AI1727">
        <v>0.45378010000000002</v>
      </c>
      <c r="AJ1727">
        <f t="shared" si="71"/>
        <v>0.45378010000000002</v>
      </c>
      <c r="AO1727">
        <v>0.45378010000000002</v>
      </c>
      <c r="AR1727" s="8">
        <v>0</v>
      </c>
      <c r="AS1727">
        <v>3.9667509999999999</v>
      </c>
    </row>
    <row r="1728" spans="1:45" x14ac:dyDescent="0.25">
      <c r="A1728">
        <v>316</v>
      </c>
      <c r="B1728">
        <v>1999</v>
      </c>
      <c r="C1728" s="8">
        <v>0</v>
      </c>
      <c r="D1728">
        <v>0.25852069999999999</v>
      </c>
      <c r="E1728">
        <v>0.1569612</v>
      </c>
      <c r="F1728">
        <v>3.8221699999999997E-2</v>
      </c>
      <c r="G1728">
        <v>2.2294160000000001</v>
      </c>
      <c r="H1728">
        <v>0.23626520000000001</v>
      </c>
      <c r="Q1728" s="10">
        <f t="shared" si="72"/>
        <v>1.6978802503218988E-3</v>
      </c>
      <c r="AI1728">
        <v>0.61471589999999998</v>
      </c>
      <c r="AJ1728">
        <f t="shared" si="71"/>
        <v>0.52051970800000003</v>
      </c>
      <c r="AO1728">
        <v>0.52051970800000003</v>
      </c>
      <c r="AR1728" s="8">
        <v>0</v>
      </c>
      <c r="AS1728">
        <v>3.2273149999999999</v>
      </c>
    </row>
    <row r="1729" spans="1:45" x14ac:dyDescent="0.25">
      <c r="A1729">
        <v>316</v>
      </c>
      <c r="B1729">
        <v>2000</v>
      </c>
      <c r="C1729" s="8">
        <v>0</v>
      </c>
      <c r="D1729">
        <v>0.45378010000000002</v>
      </c>
      <c r="E1729">
        <v>0.18428169999999999</v>
      </c>
      <c r="F1729">
        <v>6.9967100000000004E-2</v>
      </c>
      <c r="G1729">
        <v>18.937519999999999</v>
      </c>
      <c r="H1729">
        <v>0.26468659999999999</v>
      </c>
      <c r="Q1729" s="10">
        <f t="shared" si="72"/>
        <v>3.8229905406404747E-15</v>
      </c>
      <c r="AI1729">
        <v>0.32895380000000002</v>
      </c>
      <c r="AJ1729">
        <f t="shared" si="71"/>
        <v>0.32895380000000002</v>
      </c>
      <c r="AO1729">
        <v>0.32895380000000002</v>
      </c>
      <c r="AR1729" s="8">
        <v>0</v>
      </c>
      <c r="AS1729">
        <v>1.3212120000000001</v>
      </c>
    </row>
    <row r="1730" spans="1:45" x14ac:dyDescent="0.25">
      <c r="A1730">
        <v>316</v>
      </c>
      <c r="B1730">
        <v>2001</v>
      </c>
      <c r="C1730" s="8">
        <v>0</v>
      </c>
      <c r="D1730">
        <v>0.61471589999999998</v>
      </c>
      <c r="E1730">
        <v>0.16286210000000001</v>
      </c>
      <c r="F1730">
        <v>1.78631E-2</v>
      </c>
      <c r="G1730">
        <v>2.8193139999999999</v>
      </c>
      <c r="H1730">
        <v>0.14590159999999999</v>
      </c>
      <c r="Q1730" s="10">
        <f t="shared" si="72"/>
        <v>8.4878218369752981E-4</v>
      </c>
      <c r="AI1730">
        <v>0.38980670000000001</v>
      </c>
      <c r="AJ1730">
        <f t="shared" si="71"/>
        <v>0.38980670000000001</v>
      </c>
      <c r="AO1730">
        <v>0.38980670000000001</v>
      </c>
      <c r="AR1730" s="8">
        <v>0</v>
      </c>
      <c r="AS1730">
        <v>2.2294160000000001</v>
      </c>
    </row>
    <row r="1731" spans="1:45" x14ac:dyDescent="0.25">
      <c r="A1731">
        <v>316</v>
      </c>
      <c r="B1731">
        <v>2002</v>
      </c>
      <c r="C1731" s="8">
        <v>0</v>
      </c>
      <c r="D1731">
        <v>0.32895380000000002</v>
      </c>
      <c r="E1731">
        <v>0.19460540000000001</v>
      </c>
      <c r="F1731">
        <v>3.6053300000000003E-2</v>
      </c>
      <c r="G1731">
        <v>2.4739620000000002</v>
      </c>
      <c r="H1731">
        <v>0.15108849999999999</v>
      </c>
      <c r="Q1731" s="10">
        <f t="shared" si="72"/>
        <v>1.0825297761408589E-3</v>
      </c>
      <c r="AI1731">
        <v>0.39502660000000001</v>
      </c>
      <c r="AJ1731">
        <f t="shared" si="71"/>
        <v>0.39502660000000001</v>
      </c>
      <c r="AO1731">
        <v>0.39502660000000001</v>
      </c>
      <c r="AR1731" s="8">
        <v>0</v>
      </c>
      <c r="AS1731">
        <v>18.937519999999999</v>
      </c>
    </row>
    <row r="1732" spans="1:45" x14ac:dyDescent="0.25">
      <c r="A1732">
        <v>316</v>
      </c>
      <c r="B1732">
        <v>2003</v>
      </c>
      <c r="C1732" s="8">
        <v>0</v>
      </c>
      <c r="D1732">
        <v>0.38980670000000001</v>
      </c>
      <c r="E1732">
        <v>0.1604237</v>
      </c>
      <c r="F1732">
        <v>5.0371899999999997E-2</v>
      </c>
      <c r="G1732">
        <v>2.1611030000000002</v>
      </c>
      <c r="H1732">
        <v>0.16063279999999999</v>
      </c>
      <c r="Q1732" s="10">
        <f t="shared" si="72"/>
        <v>1.7220716027034238E-3</v>
      </c>
      <c r="AI1732">
        <v>4.7725299999999998E-2</v>
      </c>
      <c r="AJ1732">
        <f t="shared" si="71"/>
        <v>4.7725299999999998E-2</v>
      </c>
      <c r="AO1732">
        <v>4.7725299999999998E-2</v>
      </c>
      <c r="AR1732" s="8">
        <v>0</v>
      </c>
      <c r="AS1732">
        <v>2.8193139999999999</v>
      </c>
    </row>
    <row r="1733" spans="1:45" x14ac:dyDescent="0.25">
      <c r="A1733">
        <v>316</v>
      </c>
      <c r="B1733">
        <v>2004</v>
      </c>
      <c r="C1733" s="8">
        <v>0</v>
      </c>
      <c r="D1733">
        <v>0.39502660000000001</v>
      </c>
      <c r="E1733">
        <v>0.21612000000000001</v>
      </c>
      <c r="F1733">
        <v>4.0942100000000002E-2</v>
      </c>
      <c r="G1733">
        <v>3.3813909999999998</v>
      </c>
      <c r="H1733">
        <v>0.179838</v>
      </c>
      <c r="Q1733" s="10">
        <f t="shared" si="72"/>
        <v>2.4879394501026972E-4</v>
      </c>
      <c r="AI1733">
        <v>7.3106599999999994E-2</v>
      </c>
      <c r="AJ1733">
        <f t="shared" ref="AJ1733:AJ1796" si="73">MAX(MIN(AI1733,AM$5),AM$4)</f>
        <v>7.3106599999999994E-2</v>
      </c>
      <c r="AO1733">
        <v>7.3106599999999994E-2</v>
      </c>
      <c r="AR1733" s="8">
        <v>0</v>
      </c>
      <c r="AS1733">
        <v>2.4739620000000002</v>
      </c>
    </row>
    <row r="1734" spans="1:45" x14ac:dyDescent="0.25">
      <c r="A1734">
        <v>317</v>
      </c>
      <c r="B1734">
        <v>1995</v>
      </c>
      <c r="C1734" s="8">
        <v>0</v>
      </c>
      <c r="D1734">
        <v>4.7725299999999998E-2</v>
      </c>
      <c r="E1734">
        <v>0.1972061</v>
      </c>
      <c r="F1734">
        <v>4.9726699999999999E-2</v>
      </c>
      <c r="G1734">
        <v>0.32844810000000002</v>
      </c>
      <c r="H1734">
        <v>0.18058540000000001</v>
      </c>
      <c r="Q1734" s="10">
        <f t="shared" si="72"/>
        <v>2.6091485149387635E-2</v>
      </c>
      <c r="AI1734">
        <v>8.6012000000000005E-2</v>
      </c>
      <c r="AJ1734">
        <f t="shared" si="73"/>
        <v>8.6012000000000005E-2</v>
      </c>
      <c r="AO1734">
        <v>8.6012000000000005E-2</v>
      </c>
      <c r="AR1734" s="8">
        <v>0</v>
      </c>
      <c r="AS1734">
        <v>2.1611030000000002</v>
      </c>
    </row>
    <row r="1735" spans="1:45" x14ac:dyDescent="0.25">
      <c r="A1735">
        <v>317</v>
      </c>
      <c r="B1735">
        <v>1996</v>
      </c>
      <c r="C1735" s="8">
        <v>0</v>
      </c>
      <c r="D1735">
        <v>7.3106599999999994E-2</v>
      </c>
      <c r="E1735">
        <v>0.19690869999999999</v>
      </c>
      <c r="F1735">
        <v>4.2791099999999999E-2</v>
      </c>
      <c r="G1735">
        <v>0.27186900000000003</v>
      </c>
      <c r="H1735">
        <v>0.16715269999999999</v>
      </c>
      <c r="Q1735" s="10">
        <f t="shared" ref="Q1735:Q1798" si="74">1/(1+EXP(-(J$6+SUMPRODUCT(K$6:O$6,D1735:H1735))))</f>
        <v>3.0135859750751913E-2</v>
      </c>
      <c r="AI1735">
        <v>0.11005910000000001</v>
      </c>
      <c r="AJ1735">
        <f t="shared" si="73"/>
        <v>0.11005910000000001</v>
      </c>
      <c r="AO1735">
        <v>0.11005910000000001</v>
      </c>
      <c r="AR1735" s="8">
        <v>0</v>
      </c>
      <c r="AS1735">
        <v>3.3813909999999998</v>
      </c>
    </row>
    <row r="1736" spans="1:45" x14ac:dyDescent="0.25">
      <c r="A1736">
        <v>317</v>
      </c>
      <c r="B1736">
        <v>1997</v>
      </c>
      <c r="C1736" s="8">
        <v>0</v>
      </c>
      <c r="D1736">
        <v>8.6012000000000005E-2</v>
      </c>
      <c r="E1736">
        <v>0.2094184</v>
      </c>
      <c r="F1736">
        <v>3.6357199999999999E-2</v>
      </c>
      <c r="G1736">
        <v>0.2948016</v>
      </c>
      <c r="H1736">
        <v>0.19443750000000001</v>
      </c>
      <c r="Q1736" s="10">
        <f t="shared" si="74"/>
        <v>3.0695796438836673E-2</v>
      </c>
      <c r="AI1736">
        <v>8.0076499999999995E-2</v>
      </c>
      <c r="AJ1736">
        <f t="shared" si="73"/>
        <v>8.0076499999999995E-2</v>
      </c>
      <c r="AO1736">
        <v>8.0076499999999995E-2</v>
      </c>
      <c r="AR1736" s="8">
        <v>0</v>
      </c>
      <c r="AS1736">
        <v>0.32844810000000002</v>
      </c>
    </row>
    <row r="1737" spans="1:45" x14ac:dyDescent="0.25">
      <c r="A1737">
        <v>317</v>
      </c>
      <c r="B1737">
        <v>1998</v>
      </c>
      <c r="C1737" s="8">
        <v>0</v>
      </c>
      <c r="D1737">
        <v>0.11005910000000001</v>
      </c>
      <c r="E1737">
        <v>0.20483319999999999</v>
      </c>
      <c r="F1737">
        <v>4.2049099999999999E-2</v>
      </c>
      <c r="G1737">
        <v>0.2451547</v>
      </c>
      <c r="H1737">
        <v>0.16884469999999999</v>
      </c>
      <c r="Q1737" s="10">
        <f t="shared" si="74"/>
        <v>3.1734741537390615E-2</v>
      </c>
      <c r="AI1737">
        <v>7.7021400000000004E-2</v>
      </c>
      <c r="AJ1737">
        <f t="shared" si="73"/>
        <v>7.7021400000000004E-2</v>
      </c>
      <c r="AO1737">
        <v>7.7021400000000004E-2</v>
      </c>
      <c r="AR1737" s="8">
        <v>0</v>
      </c>
      <c r="AS1737">
        <v>0.27186900000000003</v>
      </c>
    </row>
    <row r="1738" spans="1:45" x14ac:dyDescent="0.25">
      <c r="A1738">
        <v>317</v>
      </c>
      <c r="B1738">
        <v>1999</v>
      </c>
      <c r="C1738" s="8">
        <v>0</v>
      </c>
      <c r="D1738">
        <v>8.0076499999999995E-2</v>
      </c>
      <c r="E1738">
        <v>0.21182790000000001</v>
      </c>
      <c r="F1738">
        <v>6.1124600000000001E-2</v>
      </c>
      <c r="G1738">
        <v>0.16542660000000001</v>
      </c>
      <c r="H1738">
        <v>0.14758589999999999</v>
      </c>
      <c r="Q1738" s="10">
        <f t="shared" si="74"/>
        <v>2.9904213074422412E-2</v>
      </c>
      <c r="AI1738">
        <v>8.0035300000000004E-2</v>
      </c>
      <c r="AJ1738">
        <f t="shared" si="73"/>
        <v>8.0035300000000004E-2</v>
      </c>
      <c r="AO1738">
        <v>8.0035300000000004E-2</v>
      </c>
      <c r="AR1738" s="8">
        <v>0</v>
      </c>
      <c r="AS1738">
        <v>0.2948016</v>
      </c>
    </row>
    <row r="1739" spans="1:45" x14ac:dyDescent="0.25">
      <c r="A1739">
        <v>317</v>
      </c>
      <c r="B1739">
        <v>2000</v>
      </c>
      <c r="C1739" s="8">
        <v>0</v>
      </c>
      <c r="D1739">
        <v>7.7021400000000004E-2</v>
      </c>
      <c r="E1739">
        <v>0.2112773</v>
      </c>
      <c r="F1739">
        <v>3.5305000000000003E-2</v>
      </c>
      <c r="G1739">
        <v>8.90045E-2</v>
      </c>
      <c r="H1739">
        <v>0.16790769999999999</v>
      </c>
      <c r="Q1739" s="10">
        <f t="shared" si="74"/>
        <v>4.152894546964047E-2</v>
      </c>
      <c r="AI1739">
        <v>5.6233400000000003E-2</v>
      </c>
      <c r="AJ1739">
        <f t="shared" si="73"/>
        <v>5.6233400000000003E-2</v>
      </c>
      <c r="AO1739">
        <v>5.6233400000000003E-2</v>
      </c>
      <c r="AR1739" s="8">
        <v>0</v>
      </c>
      <c r="AS1739">
        <v>0.2451547</v>
      </c>
    </row>
    <row r="1740" spans="1:45" x14ac:dyDescent="0.25">
      <c r="A1740">
        <v>317</v>
      </c>
      <c r="B1740">
        <v>2001</v>
      </c>
      <c r="C1740" s="8">
        <v>0</v>
      </c>
      <c r="D1740">
        <v>8.0035300000000004E-2</v>
      </c>
      <c r="E1740">
        <v>0.17783950000000001</v>
      </c>
      <c r="F1740">
        <v>4.68031E-2</v>
      </c>
      <c r="G1740">
        <v>0.12800610000000001</v>
      </c>
      <c r="H1740">
        <v>0.17235</v>
      </c>
      <c r="Q1740" s="10">
        <f t="shared" si="74"/>
        <v>3.7671420240894621E-2</v>
      </c>
      <c r="AI1740">
        <v>7.5058200000000005E-2</v>
      </c>
      <c r="AJ1740">
        <f t="shared" si="73"/>
        <v>7.5058200000000005E-2</v>
      </c>
      <c r="AO1740">
        <v>7.5058200000000005E-2</v>
      </c>
      <c r="AR1740" s="8">
        <v>0</v>
      </c>
      <c r="AS1740">
        <v>0.16542660000000001</v>
      </c>
    </row>
    <row r="1741" spans="1:45" x14ac:dyDescent="0.25">
      <c r="A1741">
        <v>317</v>
      </c>
      <c r="B1741">
        <v>2002</v>
      </c>
      <c r="C1741" s="8">
        <v>0</v>
      </c>
      <c r="D1741">
        <v>5.6233400000000003E-2</v>
      </c>
      <c r="E1741">
        <v>0.1692786</v>
      </c>
      <c r="F1741">
        <v>3.8856500000000002E-2</v>
      </c>
      <c r="G1741">
        <v>0.1621503</v>
      </c>
      <c r="H1741">
        <v>0.17980860000000001</v>
      </c>
      <c r="Q1741" s="10">
        <f t="shared" si="74"/>
        <v>3.8269011889574517E-2</v>
      </c>
      <c r="AI1741">
        <v>7.3843300000000001E-2</v>
      </c>
      <c r="AJ1741">
        <f t="shared" si="73"/>
        <v>7.3843300000000001E-2</v>
      </c>
      <c r="AO1741">
        <v>7.3843300000000001E-2</v>
      </c>
      <c r="AR1741" s="8">
        <v>0</v>
      </c>
      <c r="AS1741">
        <v>8.90045E-2</v>
      </c>
    </row>
    <row r="1742" spans="1:45" x14ac:dyDescent="0.25">
      <c r="A1742">
        <v>317</v>
      </c>
      <c r="B1742">
        <v>2003</v>
      </c>
      <c r="C1742" s="8">
        <v>0</v>
      </c>
      <c r="D1742">
        <v>7.5058200000000005E-2</v>
      </c>
      <c r="E1742">
        <v>0.2062387</v>
      </c>
      <c r="F1742">
        <v>4.4931699999999998E-2</v>
      </c>
      <c r="G1742">
        <v>0.38458609999999999</v>
      </c>
      <c r="H1742">
        <v>0.178535</v>
      </c>
      <c r="Q1742" s="10">
        <f t="shared" si="74"/>
        <v>2.4749436099988163E-2</v>
      </c>
      <c r="AI1742">
        <v>-6.7319999999999999E-4</v>
      </c>
      <c r="AJ1742">
        <f t="shared" si="73"/>
        <v>-6.7319999999999999E-4</v>
      </c>
      <c r="AO1742">
        <v>-6.7319999999999999E-4</v>
      </c>
      <c r="AR1742" s="8">
        <v>0</v>
      </c>
      <c r="AS1742">
        <v>0.12800610000000001</v>
      </c>
    </row>
    <row r="1743" spans="1:45" x14ac:dyDescent="0.25">
      <c r="A1743">
        <v>317</v>
      </c>
      <c r="B1743">
        <v>2004</v>
      </c>
      <c r="C1743" s="8">
        <v>0</v>
      </c>
      <c r="D1743">
        <v>7.3843300000000001E-2</v>
      </c>
      <c r="E1743">
        <v>0.25409300000000001</v>
      </c>
      <c r="F1743">
        <v>3.2620400000000001E-2</v>
      </c>
      <c r="G1743">
        <v>0.39104129999999998</v>
      </c>
      <c r="H1743">
        <v>0.19340470000000001</v>
      </c>
      <c r="Q1743" s="10">
        <f t="shared" si="74"/>
        <v>2.5417546199808388E-2</v>
      </c>
      <c r="AI1743">
        <v>-7.5415999999999999E-3</v>
      </c>
      <c r="AJ1743">
        <f t="shared" si="73"/>
        <v>-7.5415999999999999E-3</v>
      </c>
      <c r="AO1743">
        <v>-7.5415999999999999E-3</v>
      </c>
      <c r="AR1743" s="8">
        <v>0</v>
      </c>
      <c r="AS1743">
        <v>0.1621503</v>
      </c>
    </row>
    <row r="1744" spans="1:45" x14ac:dyDescent="0.25">
      <c r="A1744">
        <v>318</v>
      </c>
      <c r="B1744">
        <v>1999</v>
      </c>
      <c r="C1744" s="8">
        <v>0</v>
      </c>
      <c r="D1744">
        <v>-6.7319999999999999E-4</v>
      </c>
      <c r="E1744">
        <v>0.16428019999999999</v>
      </c>
      <c r="F1744">
        <v>5.2905099999999997E-2</v>
      </c>
      <c r="G1744">
        <v>5.0348119999999996</v>
      </c>
      <c r="H1744">
        <v>0.10620350000000001</v>
      </c>
      <c r="Q1744" s="10">
        <f t="shared" si="74"/>
        <v>1.4183118709973224E-5</v>
      </c>
      <c r="AI1744">
        <v>1.39179E-2</v>
      </c>
      <c r="AJ1744">
        <f t="shared" si="73"/>
        <v>1.39179E-2</v>
      </c>
      <c r="AO1744">
        <v>1.39179E-2</v>
      </c>
      <c r="AR1744" s="8">
        <v>0</v>
      </c>
      <c r="AS1744">
        <v>0.38458609999999999</v>
      </c>
    </row>
    <row r="1745" spans="1:45" x14ac:dyDescent="0.25">
      <c r="A1745">
        <v>318</v>
      </c>
      <c r="B1745">
        <v>2000</v>
      </c>
      <c r="C1745" s="8">
        <v>0</v>
      </c>
      <c r="D1745">
        <v>-7.5415999999999999E-3</v>
      </c>
      <c r="E1745">
        <v>0.19552240000000001</v>
      </c>
      <c r="F1745">
        <v>4.5110299999999999E-2</v>
      </c>
      <c r="G1745">
        <v>2.8060960000000001</v>
      </c>
      <c r="H1745">
        <v>9.2437199999999997E-2</v>
      </c>
      <c r="Q1745" s="10">
        <f t="shared" si="74"/>
        <v>4.9709695470884902E-4</v>
      </c>
      <c r="AI1745">
        <v>4.0952799999999998E-2</v>
      </c>
      <c r="AJ1745">
        <f t="shared" si="73"/>
        <v>4.0952799999999998E-2</v>
      </c>
      <c r="AO1745">
        <v>4.0952799999999998E-2</v>
      </c>
      <c r="AR1745" s="8">
        <v>0</v>
      </c>
      <c r="AS1745">
        <v>0.39104129999999998</v>
      </c>
    </row>
    <row r="1746" spans="1:45" x14ac:dyDescent="0.25">
      <c r="A1746">
        <v>318</v>
      </c>
      <c r="B1746">
        <v>2001</v>
      </c>
      <c r="C1746" s="8">
        <v>0</v>
      </c>
      <c r="D1746">
        <v>1.39179E-2</v>
      </c>
      <c r="E1746">
        <v>0.23270859999999999</v>
      </c>
      <c r="F1746">
        <v>7.62906E-2</v>
      </c>
      <c r="G1746">
        <v>3.2144149999999998</v>
      </c>
      <c r="H1746">
        <v>0.1149341</v>
      </c>
      <c r="Q1746" s="10">
        <f t="shared" si="74"/>
        <v>1.9592726161595282E-4</v>
      </c>
      <c r="AI1746">
        <v>-4.0450300000000002E-2</v>
      </c>
      <c r="AJ1746">
        <f t="shared" si="73"/>
        <v>-4.0450300000000002E-2</v>
      </c>
      <c r="AO1746">
        <v>-4.0450300000000002E-2</v>
      </c>
      <c r="AR1746" s="8">
        <v>0</v>
      </c>
      <c r="AS1746">
        <v>5.0348119999999996</v>
      </c>
    </row>
    <row r="1747" spans="1:45" x14ac:dyDescent="0.25">
      <c r="A1747">
        <v>318</v>
      </c>
      <c r="B1747">
        <v>2002</v>
      </c>
      <c r="C1747" s="8">
        <v>0</v>
      </c>
      <c r="D1747">
        <v>4.0952799999999998E-2</v>
      </c>
      <c r="E1747">
        <v>-2.3705299999999999E-2</v>
      </c>
      <c r="F1747">
        <v>8.1107299999999993E-2</v>
      </c>
      <c r="G1747">
        <v>3.8530099999999998</v>
      </c>
      <c r="H1747">
        <v>0.18387819999999999</v>
      </c>
      <c r="Q1747" s="10">
        <f t="shared" si="74"/>
        <v>1.0441829857831409E-4</v>
      </c>
      <c r="AI1747">
        <v>0.1313201</v>
      </c>
      <c r="AJ1747">
        <f t="shared" si="73"/>
        <v>0.1313201</v>
      </c>
      <c r="AO1747">
        <v>0.1313201</v>
      </c>
      <c r="AR1747" s="8">
        <v>0</v>
      </c>
      <c r="AS1747">
        <v>2.8060960000000001</v>
      </c>
    </row>
    <row r="1748" spans="1:45" x14ac:dyDescent="0.25">
      <c r="A1748">
        <v>318</v>
      </c>
      <c r="B1748">
        <v>2003</v>
      </c>
      <c r="C1748" s="8">
        <v>0</v>
      </c>
      <c r="D1748">
        <v>-4.0450300000000002E-2</v>
      </c>
      <c r="E1748">
        <v>6.1443999999999999E-2</v>
      </c>
      <c r="F1748">
        <v>8.3220100000000005E-2</v>
      </c>
      <c r="G1748">
        <v>4.0430549999999998</v>
      </c>
      <c r="H1748">
        <v>0.15276090000000001</v>
      </c>
      <c r="Q1748" s="10">
        <f t="shared" si="74"/>
        <v>6.3552411086691127E-5</v>
      </c>
      <c r="AI1748">
        <v>0.31506450000000003</v>
      </c>
      <c r="AJ1748">
        <f t="shared" si="73"/>
        <v>0.31506450000000003</v>
      </c>
      <c r="AO1748">
        <v>0.31506450000000003</v>
      </c>
      <c r="AR1748" s="8">
        <v>0</v>
      </c>
      <c r="AS1748">
        <v>3.2144149999999998</v>
      </c>
    </row>
    <row r="1749" spans="1:45" x14ac:dyDescent="0.25">
      <c r="A1749">
        <v>318</v>
      </c>
      <c r="B1749">
        <v>2004</v>
      </c>
      <c r="C1749" s="8">
        <v>0</v>
      </c>
      <c r="D1749">
        <v>0.1313201</v>
      </c>
      <c r="E1749">
        <v>0.13986899999999999</v>
      </c>
      <c r="F1749">
        <v>8.3464499999999997E-2</v>
      </c>
      <c r="G1749">
        <v>3.550494</v>
      </c>
      <c r="H1749">
        <v>0.17160449999999999</v>
      </c>
      <c r="Q1749" s="10">
        <f t="shared" si="74"/>
        <v>1.3477516362770989E-4</v>
      </c>
      <c r="AI1749">
        <v>0.35532249999999999</v>
      </c>
      <c r="AJ1749">
        <f t="shared" si="73"/>
        <v>0.35532249999999999</v>
      </c>
      <c r="AO1749">
        <v>0.35532249999999999</v>
      </c>
      <c r="AR1749" s="8">
        <v>0</v>
      </c>
      <c r="AS1749">
        <v>3.8530099999999998</v>
      </c>
    </row>
    <row r="1750" spans="1:45" x14ac:dyDescent="0.25">
      <c r="A1750">
        <v>319</v>
      </c>
      <c r="B1750">
        <v>1995</v>
      </c>
      <c r="C1750" s="8">
        <v>0</v>
      </c>
      <c r="D1750">
        <v>0.31506450000000003</v>
      </c>
      <c r="E1750">
        <v>-0.18606880000000001</v>
      </c>
      <c r="F1750">
        <v>5.2419E-2</v>
      </c>
      <c r="G1750">
        <v>0.5409003</v>
      </c>
      <c r="H1750">
        <v>0.30359019999999998</v>
      </c>
      <c r="Q1750" s="10">
        <f t="shared" si="74"/>
        <v>3.7851260245402474E-2</v>
      </c>
      <c r="AI1750">
        <v>0.14126050000000001</v>
      </c>
      <c r="AJ1750">
        <f t="shared" si="73"/>
        <v>0.14126050000000001</v>
      </c>
      <c r="AO1750">
        <v>0.14126050000000001</v>
      </c>
      <c r="AR1750" s="8">
        <v>0</v>
      </c>
      <c r="AS1750">
        <v>4.0430549999999998</v>
      </c>
    </row>
    <row r="1751" spans="1:45" x14ac:dyDescent="0.25">
      <c r="A1751">
        <v>319</v>
      </c>
      <c r="B1751">
        <v>1996</v>
      </c>
      <c r="C1751" s="8">
        <v>0</v>
      </c>
      <c r="D1751">
        <v>0.35532249999999999</v>
      </c>
      <c r="E1751">
        <v>-0.2206468</v>
      </c>
      <c r="F1751">
        <v>3.8967700000000001E-2</v>
      </c>
      <c r="G1751">
        <v>0.43511309999999997</v>
      </c>
      <c r="H1751">
        <v>0.31496239999999998</v>
      </c>
      <c r="Q1751" s="10">
        <f t="shared" si="74"/>
        <v>5.2884148949816107E-2</v>
      </c>
      <c r="AI1751">
        <v>0.15848570000000001</v>
      </c>
      <c r="AJ1751">
        <f t="shared" si="73"/>
        <v>0.15848570000000001</v>
      </c>
      <c r="AO1751">
        <v>0.15848570000000001</v>
      </c>
      <c r="AR1751" s="8">
        <v>0</v>
      </c>
      <c r="AS1751">
        <v>3.550494</v>
      </c>
    </row>
    <row r="1752" spans="1:45" x14ac:dyDescent="0.25">
      <c r="A1752">
        <v>319</v>
      </c>
      <c r="B1752">
        <v>1997</v>
      </c>
      <c r="C1752" s="8">
        <v>0</v>
      </c>
      <c r="D1752">
        <v>0.14126050000000001</v>
      </c>
      <c r="E1752">
        <v>-0.1246462</v>
      </c>
      <c r="F1752">
        <v>3.4016600000000001E-2</v>
      </c>
      <c r="G1752">
        <v>0.2196746</v>
      </c>
      <c r="H1752">
        <v>0.2114664</v>
      </c>
      <c r="Q1752" s="10">
        <f t="shared" si="74"/>
        <v>5.7604541501162954E-2</v>
      </c>
      <c r="AI1752">
        <v>0.1513987</v>
      </c>
      <c r="AJ1752">
        <f t="shared" si="73"/>
        <v>0.1513987</v>
      </c>
      <c r="AO1752">
        <v>0.1513987</v>
      </c>
      <c r="AR1752" s="8">
        <v>0</v>
      </c>
      <c r="AS1752">
        <v>0.5409003</v>
      </c>
    </row>
    <row r="1753" spans="1:45" x14ac:dyDescent="0.25">
      <c r="A1753">
        <v>319</v>
      </c>
      <c r="B1753">
        <v>1998</v>
      </c>
      <c r="C1753" s="8">
        <v>0</v>
      </c>
      <c r="D1753">
        <v>0.15848570000000001</v>
      </c>
      <c r="E1753">
        <v>-9.8088999999999996E-2</v>
      </c>
      <c r="F1753">
        <v>3.8105300000000002E-2</v>
      </c>
      <c r="G1753">
        <v>0.38285649999999999</v>
      </c>
      <c r="H1753">
        <v>0.315137</v>
      </c>
      <c r="Q1753" s="10">
        <f t="shared" si="74"/>
        <v>4.5010483144484678E-2</v>
      </c>
      <c r="AI1753">
        <v>0.1353297</v>
      </c>
      <c r="AJ1753">
        <f t="shared" si="73"/>
        <v>0.1353297</v>
      </c>
      <c r="AO1753">
        <v>0.1353297</v>
      </c>
      <c r="AR1753" s="8">
        <v>0</v>
      </c>
      <c r="AS1753">
        <v>0.43511309999999997</v>
      </c>
    </row>
    <row r="1754" spans="1:45" x14ac:dyDescent="0.25">
      <c r="A1754">
        <v>319</v>
      </c>
      <c r="B1754">
        <v>1999</v>
      </c>
      <c r="C1754" s="8">
        <v>0</v>
      </c>
      <c r="D1754">
        <v>0.1513987</v>
      </c>
      <c r="E1754">
        <v>-4.3025800000000003E-2</v>
      </c>
      <c r="F1754">
        <v>4.2889400000000001E-2</v>
      </c>
      <c r="G1754">
        <v>0.24335760000000001</v>
      </c>
      <c r="H1754">
        <v>0.3036799</v>
      </c>
      <c r="Q1754" s="10">
        <f t="shared" si="74"/>
        <v>4.9225335580598488E-2</v>
      </c>
      <c r="AI1754">
        <v>4.0452000000000002E-2</v>
      </c>
      <c r="AJ1754">
        <f t="shared" si="73"/>
        <v>4.0452000000000002E-2</v>
      </c>
      <c r="AO1754">
        <v>4.0452000000000002E-2</v>
      </c>
      <c r="AR1754" s="8">
        <v>0</v>
      </c>
      <c r="AS1754">
        <v>0.2196746</v>
      </c>
    </row>
    <row r="1755" spans="1:45" x14ac:dyDescent="0.25">
      <c r="A1755">
        <v>319</v>
      </c>
      <c r="B1755">
        <v>2000</v>
      </c>
      <c r="C1755" s="8">
        <v>0</v>
      </c>
      <c r="D1755">
        <v>0.1353297</v>
      </c>
      <c r="E1755">
        <v>-3.59219E-2</v>
      </c>
      <c r="F1755">
        <v>3.8300099999999997E-2</v>
      </c>
      <c r="G1755">
        <v>0.13437350000000001</v>
      </c>
      <c r="H1755">
        <v>0.32758019999999999</v>
      </c>
      <c r="Q1755" s="10">
        <f t="shared" si="74"/>
        <v>5.9936670233669567E-2</v>
      </c>
      <c r="AI1755">
        <v>7.1074300000000007E-2</v>
      </c>
      <c r="AJ1755">
        <f t="shared" si="73"/>
        <v>7.1074300000000007E-2</v>
      </c>
      <c r="AO1755">
        <v>7.1074300000000007E-2</v>
      </c>
      <c r="AR1755" s="8">
        <v>0</v>
      </c>
      <c r="AS1755">
        <v>0.38285649999999999</v>
      </c>
    </row>
    <row r="1756" spans="1:45" x14ac:dyDescent="0.25">
      <c r="A1756">
        <v>320</v>
      </c>
      <c r="B1756">
        <v>1999</v>
      </c>
      <c r="C1756" s="8">
        <v>0</v>
      </c>
      <c r="D1756">
        <v>4.0452000000000002E-2</v>
      </c>
      <c r="E1756">
        <v>9.2424900000000004E-2</v>
      </c>
      <c r="F1756">
        <v>2.8225099999999999E-2</v>
      </c>
      <c r="G1756">
        <v>1.354087</v>
      </c>
      <c r="H1756">
        <v>0.369558</v>
      </c>
      <c r="Q1756" s="10">
        <f t="shared" si="74"/>
        <v>8.0363000829188451E-3</v>
      </c>
      <c r="AI1756">
        <v>-3.52897E-2</v>
      </c>
      <c r="AJ1756">
        <f t="shared" si="73"/>
        <v>-3.52897E-2</v>
      </c>
      <c r="AO1756">
        <v>-3.52897E-2</v>
      </c>
      <c r="AR1756" s="8">
        <v>0</v>
      </c>
      <c r="AS1756">
        <v>0.24335760000000001</v>
      </c>
    </row>
    <row r="1757" spans="1:45" x14ac:dyDescent="0.25">
      <c r="A1757">
        <v>320</v>
      </c>
      <c r="B1757">
        <v>2000</v>
      </c>
      <c r="C1757" s="8">
        <v>1</v>
      </c>
      <c r="D1757">
        <v>7.1074300000000007E-2</v>
      </c>
      <c r="E1757">
        <v>6.9261100000000006E-2</v>
      </c>
      <c r="F1757">
        <v>4.2002400000000002E-2</v>
      </c>
      <c r="G1757">
        <v>1.187908</v>
      </c>
      <c r="H1757">
        <v>0.6643384</v>
      </c>
      <c r="Q1757" s="10">
        <f t="shared" si="74"/>
        <v>1.1750383944837142E-2</v>
      </c>
      <c r="AI1757">
        <v>1.66778E-2</v>
      </c>
      <c r="AJ1757">
        <f t="shared" si="73"/>
        <v>1.66778E-2</v>
      </c>
      <c r="AO1757">
        <v>1.66778E-2</v>
      </c>
      <c r="AR1757" s="8">
        <v>0</v>
      </c>
      <c r="AS1757">
        <v>0.13437350000000001</v>
      </c>
    </row>
    <row r="1758" spans="1:45" x14ac:dyDescent="0.25">
      <c r="A1758">
        <v>321</v>
      </c>
      <c r="B1758">
        <v>2001</v>
      </c>
      <c r="C1758" s="8">
        <v>0</v>
      </c>
      <c r="D1758">
        <v>-3.52897E-2</v>
      </c>
      <c r="E1758">
        <v>8.9114799999999994E-2</v>
      </c>
      <c r="F1758">
        <v>4.1073400000000003E-2</v>
      </c>
      <c r="G1758">
        <v>0.73441330000000005</v>
      </c>
      <c r="H1758">
        <v>7.44953E-2</v>
      </c>
      <c r="Q1758" s="10">
        <f t="shared" si="74"/>
        <v>1.5666901344298746E-2</v>
      </c>
      <c r="AI1758">
        <v>-1.0208000000000001E-3</v>
      </c>
      <c r="AJ1758">
        <f t="shared" si="73"/>
        <v>-1.0208000000000001E-3</v>
      </c>
      <c r="AO1758">
        <v>-1.0208000000000001E-3</v>
      </c>
      <c r="AR1758" s="8">
        <v>0</v>
      </c>
      <c r="AS1758">
        <v>1.354087</v>
      </c>
    </row>
    <row r="1759" spans="1:45" x14ac:dyDescent="0.25">
      <c r="A1759">
        <v>321</v>
      </c>
      <c r="B1759">
        <v>2002</v>
      </c>
      <c r="C1759" s="8">
        <v>0</v>
      </c>
      <c r="D1759">
        <v>1.66778E-2</v>
      </c>
      <c r="E1759">
        <v>0.12188209999999999</v>
      </c>
      <c r="F1759">
        <v>4.5930499999999999E-2</v>
      </c>
      <c r="G1759">
        <v>0.8280594</v>
      </c>
      <c r="H1759">
        <v>7.3277900000000007E-2</v>
      </c>
      <c r="Q1759" s="10">
        <f t="shared" si="74"/>
        <v>1.2675047381116543E-2</v>
      </c>
      <c r="AI1759">
        <v>-5.9359E-3</v>
      </c>
      <c r="AJ1759">
        <f t="shared" si="73"/>
        <v>-5.9359E-3</v>
      </c>
      <c r="AO1759">
        <v>-5.9359E-3</v>
      </c>
      <c r="AR1759" s="8">
        <v>1</v>
      </c>
      <c r="AS1759">
        <v>1.187908</v>
      </c>
    </row>
    <row r="1760" spans="1:45" x14ac:dyDescent="0.25">
      <c r="A1760">
        <v>321</v>
      </c>
      <c r="B1760">
        <v>2003</v>
      </c>
      <c r="C1760" s="8">
        <v>0</v>
      </c>
      <c r="D1760">
        <v>-1.0208000000000001E-3</v>
      </c>
      <c r="E1760">
        <v>0.13933010000000001</v>
      </c>
      <c r="F1760">
        <v>4.2584400000000001E-2</v>
      </c>
      <c r="G1760">
        <v>0.9804446</v>
      </c>
      <c r="H1760">
        <v>9.7433099999999995E-2</v>
      </c>
      <c r="Q1760" s="10">
        <f t="shared" si="74"/>
        <v>1.0059046511275545E-2</v>
      </c>
      <c r="AI1760">
        <v>2.2778799999999998E-2</v>
      </c>
      <c r="AJ1760">
        <f t="shared" si="73"/>
        <v>2.2778799999999998E-2</v>
      </c>
      <c r="AO1760">
        <v>2.2778799999999998E-2</v>
      </c>
      <c r="AR1760" s="8">
        <v>0</v>
      </c>
      <c r="AS1760">
        <v>0.73441330000000005</v>
      </c>
    </row>
    <row r="1761" spans="1:45" x14ac:dyDescent="0.25">
      <c r="A1761">
        <v>321</v>
      </c>
      <c r="B1761">
        <v>2004</v>
      </c>
      <c r="C1761" s="8">
        <v>0</v>
      </c>
      <c r="D1761">
        <v>-5.9359E-3</v>
      </c>
      <c r="E1761">
        <v>0.15476400000000001</v>
      </c>
      <c r="F1761">
        <v>3.6318599999999999E-2</v>
      </c>
      <c r="G1761">
        <v>0.98790089999999997</v>
      </c>
      <c r="H1761">
        <v>0.1776075</v>
      </c>
      <c r="Q1761" s="10">
        <f t="shared" si="74"/>
        <v>1.0710875674231438E-2</v>
      </c>
      <c r="AI1761">
        <v>3.5855499999999998E-2</v>
      </c>
      <c r="AJ1761">
        <f t="shared" si="73"/>
        <v>3.5855499999999998E-2</v>
      </c>
      <c r="AO1761">
        <v>3.5855499999999998E-2</v>
      </c>
      <c r="AR1761" s="8">
        <v>0</v>
      </c>
      <c r="AS1761">
        <v>0.8280594</v>
      </c>
    </row>
    <row r="1762" spans="1:45" x14ac:dyDescent="0.25">
      <c r="A1762">
        <v>322</v>
      </c>
      <c r="B1762">
        <v>2000</v>
      </c>
      <c r="C1762" s="8">
        <v>0</v>
      </c>
      <c r="D1762">
        <v>2.2778799999999998E-2</v>
      </c>
      <c r="E1762">
        <v>0.15805830000000001</v>
      </c>
      <c r="F1762">
        <v>5.45538E-2</v>
      </c>
      <c r="G1762">
        <v>1.6183700000000001</v>
      </c>
      <c r="H1762">
        <v>0.22145229999999999</v>
      </c>
      <c r="Q1762" s="10">
        <f t="shared" si="74"/>
        <v>3.5331621861665404E-3</v>
      </c>
      <c r="AI1762">
        <v>-4.6834800000000003E-2</v>
      </c>
      <c r="AJ1762">
        <f t="shared" si="73"/>
        <v>-4.6834800000000003E-2</v>
      </c>
      <c r="AO1762">
        <v>-4.6834800000000003E-2</v>
      </c>
      <c r="AR1762" s="8">
        <v>0</v>
      </c>
      <c r="AS1762">
        <v>0.9804446</v>
      </c>
    </row>
    <row r="1763" spans="1:45" x14ac:dyDescent="0.25">
      <c r="A1763">
        <v>322</v>
      </c>
      <c r="B1763">
        <v>2001</v>
      </c>
      <c r="C1763" s="8">
        <v>0</v>
      </c>
      <c r="D1763">
        <v>3.5855499999999998E-2</v>
      </c>
      <c r="E1763">
        <v>7.9571299999999998E-2</v>
      </c>
      <c r="F1763">
        <v>4.6699499999999998E-2</v>
      </c>
      <c r="G1763">
        <v>1.1998059999999999</v>
      </c>
      <c r="H1763">
        <v>0.1809799</v>
      </c>
      <c r="Q1763" s="10">
        <f t="shared" si="74"/>
        <v>8.0203910785606857E-3</v>
      </c>
      <c r="AI1763">
        <v>0.1001092</v>
      </c>
      <c r="AJ1763">
        <f t="shared" si="73"/>
        <v>0.1001092</v>
      </c>
      <c r="AO1763">
        <v>0.1001092</v>
      </c>
      <c r="AR1763" s="8">
        <v>0</v>
      </c>
      <c r="AS1763">
        <v>0.98790089999999997</v>
      </c>
    </row>
    <row r="1764" spans="1:45" x14ac:dyDescent="0.25">
      <c r="A1764">
        <v>322</v>
      </c>
      <c r="B1764">
        <v>2002</v>
      </c>
      <c r="C1764" s="8">
        <v>0</v>
      </c>
      <c r="D1764">
        <v>-4.6834800000000003E-2</v>
      </c>
      <c r="E1764">
        <v>7.06764E-2</v>
      </c>
      <c r="F1764">
        <v>4.4003500000000001E-2</v>
      </c>
      <c r="G1764">
        <v>0.59154459999999998</v>
      </c>
      <c r="H1764">
        <v>0.16728219999999999</v>
      </c>
      <c r="Q1764" s="10">
        <f t="shared" si="74"/>
        <v>2.0701105196451318E-2</v>
      </c>
      <c r="AI1764">
        <v>-1.1818E-3</v>
      </c>
      <c r="AJ1764">
        <f t="shared" si="73"/>
        <v>-1.1818E-3</v>
      </c>
      <c r="AO1764">
        <v>-1.1818E-3</v>
      </c>
      <c r="AR1764" s="8">
        <v>0</v>
      </c>
      <c r="AS1764">
        <v>1.6183700000000001</v>
      </c>
    </row>
    <row r="1765" spans="1:45" x14ac:dyDescent="0.25">
      <c r="A1765">
        <v>322</v>
      </c>
      <c r="B1765">
        <v>2003</v>
      </c>
      <c r="C1765" s="8">
        <v>0</v>
      </c>
      <c r="D1765">
        <v>0.1001092</v>
      </c>
      <c r="E1765">
        <v>3.7682100000000003E-2</v>
      </c>
      <c r="F1765">
        <v>4.3161600000000001E-2</v>
      </c>
      <c r="G1765">
        <v>0.68927720000000003</v>
      </c>
      <c r="H1765">
        <v>0.15331539999999999</v>
      </c>
      <c r="Q1765" s="10">
        <f t="shared" si="74"/>
        <v>1.973460011582857E-2</v>
      </c>
      <c r="AI1765">
        <v>1.8128600000000002E-2</v>
      </c>
      <c r="AJ1765">
        <f t="shared" si="73"/>
        <v>1.8128600000000002E-2</v>
      </c>
      <c r="AO1765">
        <v>1.8128600000000002E-2</v>
      </c>
      <c r="AR1765" s="8">
        <v>0</v>
      </c>
      <c r="AS1765">
        <v>1.1998059999999999</v>
      </c>
    </row>
    <row r="1766" spans="1:45" x14ac:dyDescent="0.25">
      <c r="A1766">
        <v>323</v>
      </c>
      <c r="B1766">
        <v>1995</v>
      </c>
      <c r="C1766" s="8">
        <v>0</v>
      </c>
      <c r="D1766">
        <v>-1.1818E-3</v>
      </c>
      <c r="E1766">
        <v>9.7070999999999998E-3</v>
      </c>
      <c r="F1766">
        <v>4.0719900000000003E-2</v>
      </c>
      <c r="G1766">
        <v>1.0281910000000001</v>
      </c>
      <c r="H1766">
        <v>0.53088080000000004</v>
      </c>
      <c r="Q1766" s="10">
        <f t="shared" si="74"/>
        <v>1.4871540160269514E-2</v>
      </c>
      <c r="AI1766">
        <v>1.8714700000000001E-2</v>
      </c>
      <c r="AJ1766">
        <f t="shared" si="73"/>
        <v>1.8714700000000001E-2</v>
      </c>
      <c r="AO1766">
        <v>1.8714700000000001E-2</v>
      </c>
      <c r="AR1766" s="8">
        <v>0</v>
      </c>
      <c r="AS1766">
        <v>0.59154459999999998</v>
      </c>
    </row>
    <row r="1767" spans="1:45" x14ac:dyDescent="0.25">
      <c r="A1767">
        <v>323</v>
      </c>
      <c r="B1767">
        <v>1996</v>
      </c>
      <c r="C1767" s="8">
        <v>0</v>
      </c>
      <c r="D1767">
        <v>1.8128600000000002E-2</v>
      </c>
      <c r="E1767">
        <v>5.5584799999999997E-2</v>
      </c>
      <c r="F1767">
        <v>6.8081199999999994E-2</v>
      </c>
      <c r="G1767">
        <v>2.1481309999999998</v>
      </c>
      <c r="H1767">
        <v>0.53968740000000004</v>
      </c>
      <c r="Q1767" s="10">
        <f t="shared" si="74"/>
        <v>1.9264180480695941E-3</v>
      </c>
      <c r="AI1767">
        <v>4.0524699999999997E-2</v>
      </c>
      <c r="AJ1767">
        <f t="shared" si="73"/>
        <v>4.0524699999999997E-2</v>
      </c>
      <c r="AO1767">
        <v>4.0524699999999997E-2</v>
      </c>
      <c r="AR1767" s="8">
        <v>0</v>
      </c>
      <c r="AS1767">
        <v>0.68927720000000003</v>
      </c>
    </row>
    <row r="1768" spans="1:45" x14ac:dyDescent="0.25">
      <c r="A1768">
        <v>323</v>
      </c>
      <c r="B1768">
        <v>1997</v>
      </c>
      <c r="C1768" s="8">
        <v>0</v>
      </c>
      <c r="D1768">
        <v>1.8714700000000001E-2</v>
      </c>
      <c r="E1768">
        <v>0.1517182</v>
      </c>
      <c r="F1768">
        <v>7.2193999999999994E-2</v>
      </c>
      <c r="G1768">
        <v>2.4523380000000001</v>
      </c>
      <c r="H1768">
        <v>0.55737590000000004</v>
      </c>
      <c r="Q1768" s="10">
        <f t="shared" si="74"/>
        <v>1.0103770175615458E-3</v>
      </c>
      <c r="AI1768">
        <v>2.5720400000000001E-2</v>
      </c>
      <c r="AJ1768">
        <f t="shared" si="73"/>
        <v>2.5720400000000001E-2</v>
      </c>
      <c r="AO1768">
        <v>2.5720400000000001E-2</v>
      </c>
      <c r="AR1768" s="8">
        <v>0</v>
      </c>
      <c r="AS1768">
        <v>1.0281910000000001</v>
      </c>
    </row>
    <row r="1769" spans="1:45" x14ac:dyDescent="0.25">
      <c r="A1769">
        <v>323</v>
      </c>
      <c r="B1769">
        <v>1998</v>
      </c>
      <c r="C1769" s="8">
        <v>0</v>
      </c>
      <c r="D1769">
        <v>4.0524699999999997E-2</v>
      </c>
      <c r="E1769">
        <v>0.1812154</v>
      </c>
      <c r="F1769">
        <v>6.1497499999999997E-2</v>
      </c>
      <c r="G1769">
        <v>1.4595260000000001</v>
      </c>
      <c r="H1769">
        <v>0.52860529999999994</v>
      </c>
      <c r="Q1769" s="10">
        <f t="shared" si="74"/>
        <v>5.0646093575411376E-3</v>
      </c>
      <c r="AI1769">
        <v>2.09179E-2</v>
      </c>
      <c r="AJ1769">
        <f t="shared" si="73"/>
        <v>2.09179E-2</v>
      </c>
      <c r="AO1769">
        <v>2.09179E-2</v>
      </c>
      <c r="AR1769" s="8">
        <v>0</v>
      </c>
      <c r="AS1769">
        <v>2.1481309999999998</v>
      </c>
    </row>
    <row r="1770" spans="1:45" x14ac:dyDescent="0.25">
      <c r="A1770">
        <v>323</v>
      </c>
      <c r="B1770">
        <v>1999</v>
      </c>
      <c r="C1770" s="8">
        <v>0</v>
      </c>
      <c r="D1770">
        <v>2.5720400000000001E-2</v>
      </c>
      <c r="E1770">
        <v>0.2312555</v>
      </c>
      <c r="F1770">
        <v>4.5019000000000003E-2</v>
      </c>
      <c r="G1770">
        <v>0.9246683</v>
      </c>
      <c r="H1770">
        <v>0.54647199999999996</v>
      </c>
      <c r="Q1770" s="10">
        <f t="shared" si="74"/>
        <v>1.2566632329523949E-2</v>
      </c>
      <c r="AI1770">
        <v>3.9439999999999999E-4</v>
      </c>
      <c r="AJ1770">
        <f t="shared" si="73"/>
        <v>3.9439999999999999E-4</v>
      </c>
      <c r="AO1770">
        <v>3.9439999999999999E-4</v>
      </c>
      <c r="AR1770" s="8">
        <v>0</v>
      </c>
      <c r="AS1770">
        <v>2.4523380000000001</v>
      </c>
    </row>
    <row r="1771" spans="1:45" x14ac:dyDescent="0.25">
      <c r="A1771">
        <v>323</v>
      </c>
      <c r="B1771">
        <v>2000</v>
      </c>
      <c r="C1771" s="8">
        <v>0</v>
      </c>
      <c r="D1771">
        <v>2.09179E-2</v>
      </c>
      <c r="E1771">
        <v>0.272455</v>
      </c>
      <c r="F1771">
        <v>6.9168499999999994E-2</v>
      </c>
      <c r="G1771">
        <v>0.62282680000000001</v>
      </c>
      <c r="H1771">
        <v>0.51581809999999995</v>
      </c>
      <c r="Q1771" s="10">
        <f t="shared" si="74"/>
        <v>1.5411401791180744E-2</v>
      </c>
      <c r="AI1771">
        <v>-2.7410799999999999E-2</v>
      </c>
      <c r="AJ1771">
        <f t="shared" si="73"/>
        <v>-2.7410799999999999E-2</v>
      </c>
      <c r="AO1771">
        <v>-2.7410799999999999E-2</v>
      </c>
      <c r="AR1771" s="8">
        <v>0</v>
      </c>
      <c r="AS1771">
        <v>1.4595260000000001</v>
      </c>
    </row>
    <row r="1772" spans="1:45" x14ac:dyDescent="0.25">
      <c r="A1772">
        <v>323</v>
      </c>
      <c r="B1772">
        <v>2001</v>
      </c>
      <c r="C1772" s="8">
        <v>0</v>
      </c>
      <c r="D1772">
        <v>3.9439999999999999E-4</v>
      </c>
      <c r="E1772">
        <v>0.28962460000000001</v>
      </c>
      <c r="F1772">
        <v>6.4422499999999994E-2</v>
      </c>
      <c r="G1772">
        <v>0.94309180000000004</v>
      </c>
      <c r="H1772">
        <v>0.54840420000000001</v>
      </c>
      <c r="Q1772" s="10">
        <f t="shared" si="74"/>
        <v>9.5388219714956021E-3</v>
      </c>
      <c r="AI1772">
        <v>0.401586</v>
      </c>
      <c r="AJ1772">
        <f t="shared" si="73"/>
        <v>0.401586</v>
      </c>
      <c r="AO1772">
        <v>0.401586</v>
      </c>
      <c r="AR1772" s="8">
        <v>0</v>
      </c>
      <c r="AS1772">
        <v>0.9246683</v>
      </c>
    </row>
    <row r="1773" spans="1:45" x14ac:dyDescent="0.25">
      <c r="A1773">
        <v>323</v>
      </c>
      <c r="B1773">
        <v>2002</v>
      </c>
      <c r="C1773" s="8">
        <v>0</v>
      </c>
      <c r="D1773">
        <v>-2.7410799999999999E-2</v>
      </c>
      <c r="E1773">
        <v>0.28048640000000002</v>
      </c>
      <c r="F1773">
        <v>2.9704399999999999E-2</v>
      </c>
      <c r="G1773">
        <v>0.46731889999999998</v>
      </c>
      <c r="H1773">
        <v>0.52141570000000004</v>
      </c>
      <c r="Q1773" s="10">
        <f t="shared" si="74"/>
        <v>2.6036863264135585E-2</v>
      </c>
      <c r="AI1773">
        <v>0.46343279999999998</v>
      </c>
      <c r="AJ1773">
        <f t="shared" si="73"/>
        <v>0.46343279999999998</v>
      </c>
      <c r="AO1773">
        <v>0.46343279999999998</v>
      </c>
      <c r="AR1773" s="8">
        <v>0</v>
      </c>
      <c r="AS1773">
        <v>0.62282680000000001</v>
      </c>
    </row>
    <row r="1774" spans="1:45" x14ac:dyDescent="0.25">
      <c r="A1774">
        <v>324</v>
      </c>
      <c r="B1774">
        <v>1995</v>
      </c>
      <c r="C1774" s="8">
        <v>0</v>
      </c>
      <c r="D1774">
        <v>0.401586</v>
      </c>
      <c r="E1774">
        <v>0.2781691</v>
      </c>
      <c r="F1774">
        <v>4.9048000000000001E-2</v>
      </c>
      <c r="G1774">
        <v>1.394647</v>
      </c>
      <c r="H1774">
        <v>0.53671919999999995</v>
      </c>
      <c r="Q1774" s="10">
        <f t="shared" si="74"/>
        <v>6.282104276134657E-3</v>
      </c>
      <c r="AI1774">
        <v>0.42453800000000003</v>
      </c>
      <c r="AJ1774">
        <f t="shared" si="73"/>
        <v>0.42453800000000003</v>
      </c>
      <c r="AO1774">
        <v>0.42453800000000003</v>
      </c>
      <c r="AR1774" s="8">
        <v>0</v>
      </c>
      <c r="AS1774">
        <v>0.94309180000000004</v>
      </c>
    </row>
    <row r="1775" spans="1:45" x14ac:dyDescent="0.25">
      <c r="A1775">
        <v>324</v>
      </c>
      <c r="B1775">
        <v>1996</v>
      </c>
      <c r="C1775" s="8">
        <v>0</v>
      </c>
      <c r="D1775">
        <v>0.46343279999999998</v>
      </c>
      <c r="E1775">
        <v>0.29116700000000001</v>
      </c>
      <c r="F1775">
        <v>5.6059400000000002E-2</v>
      </c>
      <c r="G1775">
        <v>0.97193969999999996</v>
      </c>
      <c r="H1775">
        <v>0.55580130000000005</v>
      </c>
      <c r="Q1775" s="10">
        <f t="shared" si="74"/>
        <v>1.1801537258507185E-2</v>
      </c>
      <c r="AI1775">
        <v>0.45538109999999998</v>
      </c>
      <c r="AJ1775">
        <f t="shared" si="73"/>
        <v>0.45538109999999998</v>
      </c>
      <c r="AO1775">
        <v>0.45538109999999998</v>
      </c>
      <c r="AR1775" s="8">
        <v>0</v>
      </c>
      <c r="AS1775">
        <v>0.46731889999999998</v>
      </c>
    </row>
    <row r="1776" spans="1:45" x14ac:dyDescent="0.25">
      <c r="A1776">
        <v>324</v>
      </c>
      <c r="B1776">
        <v>1997</v>
      </c>
      <c r="C1776" s="8">
        <v>0</v>
      </c>
      <c r="D1776">
        <v>0.42453800000000003</v>
      </c>
      <c r="E1776">
        <v>0.29761019999999999</v>
      </c>
      <c r="F1776">
        <v>6.0536399999999997E-2</v>
      </c>
      <c r="G1776">
        <v>0.83826909999999999</v>
      </c>
      <c r="H1776">
        <v>0.54914660000000004</v>
      </c>
      <c r="Q1776" s="10">
        <f t="shared" si="74"/>
        <v>1.3652861534294115E-2</v>
      </c>
      <c r="AI1776">
        <v>0.46410190000000001</v>
      </c>
      <c r="AJ1776">
        <f t="shared" si="73"/>
        <v>0.46410190000000001</v>
      </c>
      <c r="AO1776">
        <v>0.46410190000000001</v>
      </c>
      <c r="AR1776" s="8">
        <v>0</v>
      </c>
      <c r="AS1776">
        <v>1.394647</v>
      </c>
    </row>
    <row r="1777" spans="1:45" x14ac:dyDescent="0.25">
      <c r="A1777">
        <v>324</v>
      </c>
      <c r="B1777">
        <v>1998</v>
      </c>
      <c r="C1777" s="8">
        <v>0</v>
      </c>
      <c r="D1777">
        <v>0.45538109999999998</v>
      </c>
      <c r="E1777">
        <v>0.30716520000000003</v>
      </c>
      <c r="F1777">
        <v>3.5837099999999997E-2</v>
      </c>
      <c r="G1777">
        <v>0.96299369999999995</v>
      </c>
      <c r="H1777">
        <v>0.46922419999999998</v>
      </c>
      <c r="Q1777" s="10">
        <f t="shared" si="74"/>
        <v>1.2972194947053865E-2</v>
      </c>
      <c r="AI1777">
        <v>0.44356370000000001</v>
      </c>
      <c r="AJ1777">
        <f t="shared" si="73"/>
        <v>0.44356370000000001</v>
      </c>
      <c r="AO1777">
        <v>0.44356370000000001</v>
      </c>
      <c r="AR1777" s="8">
        <v>0</v>
      </c>
      <c r="AS1777">
        <v>0.97193969999999996</v>
      </c>
    </row>
    <row r="1778" spans="1:45" x14ac:dyDescent="0.25">
      <c r="A1778">
        <v>324</v>
      </c>
      <c r="B1778">
        <v>1999</v>
      </c>
      <c r="C1778" s="8">
        <v>0</v>
      </c>
      <c r="D1778">
        <v>0.46410190000000001</v>
      </c>
      <c r="E1778">
        <v>0.31484099999999998</v>
      </c>
      <c r="F1778">
        <v>5.7831899999999999E-2</v>
      </c>
      <c r="G1778">
        <v>0.7903618</v>
      </c>
      <c r="H1778">
        <v>0.5175379</v>
      </c>
      <c r="Q1778" s="10">
        <f t="shared" si="74"/>
        <v>1.4624444526403626E-2</v>
      </c>
      <c r="AI1778">
        <v>0.42653669999999999</v>
      </c>
      <c r="AJ1778">
        <f t="shared" si="73"/>
        <v>0.42653669999999999</v>
      </c>
      <c r="AO1778">
        <v>0.42653669999999999</v>
      </c>
      <c r="AR1778" s="8">
        <v>0</v>
      </c>
      <c r="AS1778">
        <v>0.83826909999999999</v>
      </c>
    </row>
    <row r="1779" spans="1:45" x14ac:dyDescent="0.25">
      <c r="A1779">
        <v>324</v>
      </c>
      <c r="B1779">
        <v>2000</v>
      </c>
      <c r="C1779" s="8">
        <v>0</v>
      </c>
      <c r="D1779">
        <v>0.44356370000000001</v>
      </c>
      <c r="E1779">
        <v>0.3151523</v>
      </c>
      <c r="F1779">
        <v>5.71843E-2</v>
      </c>
      <c r="G1779">
        <v>0.74139169999999999</v>
      </c>
      <c r="H1779">
        <v>0.52411890000000005</v>
      </c>
      <c r="Q1779" s="10">
        <f t="shared" si="74"/>
        <v>1.5797267289061129E-2</v>
      </c>
      <c r="AI1779">
        <v>0.40545059999999999</v>
      </c>
      <c r="AJ1779">
        <f t="shared" si="73"/>
        <v>0.40545059999999999</v>
      </c>
      <c r="AO1779">
        <v>0.40545059999999999</v>
      </c>
      <c r="AR1779" s="8">
        <v>0</v>
      </c>
      <c r="AS1779">
        <v>0.96299369999999995</v>
      </c>
    </row>
    <row r="1780" spans="1:45" x14ac:dyDescent="0.25">
      <c r="A1780">
        <v>324</v>
      </c>
      <c r="B1780">
        <v>2001</v>
      </c>
      <c r="C1780" s="8">
        <v>0</v>
      </c>
      <c r="D1780">
        <v>0.42653669999999999</v>
      </c>
      <c r="E1780">
        <v>0.4392916</v>
      </c>
      <c r="F1780">
        <v>5.26405E-2</v>
      </c>
      <c r="G1780">
        <v>1.706542</v>
      </c>
      <c r="H1780">
        <v>0.58491610000000005</v>
      </c>
      <c r="Q1780" s="10">
        <f t="shared" si="74"/>
        <v>3.068214823069178E-3</v>
      </c>
      <c r="AI1780">
        <v>0.43082969999999998</v>
      </c>
      <c r="AJ1780">
        <f t="shared" si="73"/>
        <v>0.43082969999999998</v>
      </c>
      <c r="AO1780">
        <v>0.43082969999999998</v>
      </c>
      <c r="AR1780" s="8">
        <v>0</v>
      </c>
      <c r="AS1780">
        <v>0.7903618</v>
      </c>
    </row>
    <row r="1781" spans="1:45" x14ac:dyDescent="0.25">
      <c r="A1781">
        <v>324</v>
      </c>
      <c r="B1781">
        <v>2002</v>
      </c>
      <c r="C1781" s="8">
        <v>0</v>
      </c>
      <c r="D1781">
        <v>0.40545059999999999</v>
      </c>
      <c r="E1781">
        <v>0.48428379999999999</v>
      </c>
      <c r="F1781">
        <v>4.0463300000000001E-2</v>
      </c>
      <c r="G1781">
        <v>1.507253</v>
      </c>
      <c r="H1781">
        <v>0.58384349999999996</v>
      </c>
      <c r="Q1781" s="10">
        <f t="shared" si="74"/>
        <v>4.3060592714623527E-3</v>
      </c>
      <c r="AI1781">
        <v>0.51607950000000002</v>
      </c>
      <c r="AJ1781">
        <f t="shared" si="73"/>
        <v>0.51607950000000002</v>
      </c>
      <c r="AO1781">
        <v>0.51607950000000002</v>
      </c>
      <c r="AR1781" s="8">
        <v>0</v>
      </c>
      <c r="AS1781">
        <v>0.74139169999999999</v>
      </c>
    </row>
    <row r="1782" spans="1:45" x14ac:dyDescent="0.25">
      <c r="A1782">
        <v>324</v>
      </c>
      <c r="B1782">
        <v>2003</v>
      </c>
      <c r="C1782" s="8">
        <v>0</v>
      </c>
      <c r="D1782">
        <v>0.43082969999999998</v>
      </c>
      <c r="E1782">
        <v>0.4898593</v>
      </c>
      <c r="F1782">
        <v>5.44923E-2</v>
      </c>
      <c r="G1782">
        <v>1.4041619999999999</v>
      </c>
      <c r="H1782">
        <v>0.51119510000000001</v>
      </c>
      <c r="Q1782" s="10">
        <f t="shared" si="74"/>
        <v>4.3467872511763709E-3</v>
      </c>
      <c r="AI1782">
        <v>0.32769330000000002</v>
      </c>
      <c r="AJ1782">
        <f t="shared" si="73"/>
        <v>0.32769330000000002</v>
      </c>
      <c r="AO1782">
        <v>0.32769330000000002</v>
      </c>
      <c r="AR1782" s="8">
        <v>0</v>
      </c>
      <c r="AS1782">
        <v>1.706542</v>
      </c>
    </row>
    <row r="1783" spans="1:45" x14ac:dyDescent="0.25">
      <c r="A1783">
        <v>324</v>
      </c>
      <c r="B1783">
        <v>2004</v>
      </c>
      <c r="C1783" s="8">
        <v>0</v>
      </c>
      <c r="D1783">
        <v>0.51607950000000002</v>
      </c>
      <c r="E1783">
        <v>0.43184080000000002</v>
      </c>
      <c r="F1783">
        <v>5.79678E-2</v>
      </c>
      <c r="G1783">
        <v>1.4460679999999999</v>
      </c>
      <c r="H1783">
        <v>0.53747210000000001</v>
      </c>
      <c r="Q1783" s="10">
        <f t="shared" si="74"/>
        <v>4.5296422493974406E-3</v>
      </c>
      <c r="AI1783">
        <v>0.43642629999999999</v>
      </c>
      <c r="AJ1783">
        <f t="shared" si="73"/>
        <v>0.43642629999999999</v>
      </c>
      <c r="AO1783">
        <v>0.43642629999999999</v>
      </c>
      <c r="AR1783" s="8">
        <v>0</v>
      </c>
      <c r="AS1783">
        <v>1.507253</v>
      </c>
    </row>
    <row r="1784" spans="1:45" x14ac:dyDescent="0.25">
      <c r="A1784">
        <v>325</v>
      </c>
      <c r="B1784">
        <v>2002</v>
      </c>
      <c r="C1784" s="8">
        <v>0</v>
      </c>
      <c r="D1784">
        <v>0.32769330000000002</v>
      </c>
      <c r="E1784">
        <v>0.31305260000000001</v>
      </c>
      <c r="F1784">
        <v>4.3577400000000002E-2</v>
      </c>
      <c r="G1784">
        <v>0.73999320000000002</v>
      </c>
      <c r="H1784">
        <v>0.34704069999999998</v>
      </c>
      <c r="Q1784" s="10">
        <f t="shared" si="74"/>
        <v>1.5133042992855266E-2</v>
      </c>
      <c r="AI1784">
        <v>0.36639549999999999</v>
      </c>
      <c r="AJ1784">
        <f t="shared" si="73"/>
        <v>0.36639549999999999</v>
      </c>
      <c r="AO1784">
        <v>0.36639549999999999</v>
      </c>
      <c r="AR1784" s="8">
        <v>0</v>
      </c>
      <c r="AS1784">
        <v>1.4041619999999999</v>
      </c>
    </row>
    <row r="1785" spans="1:45" x14ac:dyDescent="0.25">
      <c r="A1785">
        <v>325</v>
      </c>
      <c r="B1785">
        <v>2003</v>
      </c>
      <c r="C1785" s="8">
        <v>0</v>
      </c>
      <c r="D1785">
        <v>0.43642629999999999</v>
      </c>
      <c r="E1785">
        <v>0.28509499999999999</v>
      </c>
      <c r="F1785">
        <v>5.4790100000000001E-2</v>
      </c>
      <c r="G1785">
        <v>0.58788879999999999</v>
      </c>
      <c r="H1785">
        <v>0.29247719999999999</v>
      </c>
      <c r="Q1785" s="10">
        <f t="shared" si="74"/>
        <v>1.8505122885040245E-2</v>
      </c>
      <c r="AI1785">
        <v>0.37099320000000002</v>
      </c>
      <c r="AJ1785">
        <f t="shared" si="73"/>
        <v>0.37099320000000002</v>
      </c>
      <c r="AO1785">
        <v>0.37099320000000002</v>
      </c>
      <c r="AR1785" s="8">
        <v>0</v>
      </c>
      <c r="AS1785">
        <v>1.4460679999999999</v>
      </c>
    </row>
    <row r="1786" spans="1:45" x14ac:dyDescent="0.25">
      <c r="A1786">
        <v>325</v>
      </c>
      <c r="B1786">
        <v>2004</v>
      </c>
      <c r="C1786" s="8">
        <v>0</v>
      </c>
      <c r="D1786">
        <v>0.36639549999999999</v>
      </c>
      <c r="E1786">
        <v>0.2653297</v>
      </c>
      <c r="F1786">
        <v>7.1560899999999997E-2</v>
      </c>
      <c r="G1786">
        <v>0.86375639999999998</v>
      </c>
      <c r="H1786">
        <v>0.4327086</v>
      </c>
      <c r="Q1786" s="10">
        <f t="shared" si="74"/>
        <v>1.1450812526202002E-2</v>
      </c>
      <c r="AI1786">
        <v>0.39556910000000001</v>
      </c>
      <c r="AJ1786">
        <f t="shared" si="73"/>
        <v>0.39556910000000001</v>
      </c>
      <c r="AO1786">
        <v>0.39556910000000001</v>
      </c>
      <c r="AR1786" s="8">
        <v>0</v>
      </c>
      <c r="AS1786">
        <v>0.73999320000000002</v>
      </c>
    </row>
    <row r="1787" spans="1:45" x14ac:dyDescent="0.25">
      <c r="A1787">
        <v>326</v>
      </c>
      <c r="B1787">
        <v>1995</v>
      </c>
      <c r="C1787" s="8">
        <v>0</v>
      </c>
      <c r="D1787">
        <v>0.37099320000000002</v>
      </c>
      <c r="E1787">
        <v>0.2819855</v>
      </c>
      <c r="F1787">
        <v>5.84878E-2</v>
      </c>
      <c r="G1787">
        <v>0.30903029999999998</v>
      </c>
      <c r="H1787">
        <v>0.52939990000000003</v>
      </c>
      <c r="Q1787" s="10">
        <f t="shared" si="74"/>
        <v>3.1310582068424186E-2</v>
      </c>
      <c r="AI1787">
        <v>0.36130459999999998</v>
      </c>
      <c r="AJ1787">
        <f t="shared" si="73"/>
        <v>0.36130459999999998</v>
      </c>
      <c r="AO1787">
        <v>0.36130459999999998</v>
      </c>
      <c r="AR1787" s="8">
        <v>0</v>
      </c>
      <c r="AS1787">
        <v>0.58788879999999999</v>
      </c>
    </row>
    <row r="1788" spans="1:45" x14ac:dyDescent="0.25">
      <c r="A1788">
        <v>326</v>
      </c>
      <c r="B1788">
        <v>1996</v>
      </c>
      <c r="C1788" s="8">
        <v>0</v>
      </c>
      <c r="D1788">
        <v>0.39556910000000001</v>
      </c>
      <c r="E1788">
        <v>0.23498949999999999</v>
      </c>
      <c r="F1788">
        <v>1.62162E-2</v>
      </c>
      <c r="G1788">
        <v>0.27651239999999999</v>
      </c>
      <c r="H1788">
        <v>0.57363779999999998</v>
      </c>
      <c r="Q1788" s="10">
        <f t="shared" si="74"/>
        <v>5.0397489291904143E-2</v>
      </c>
      <c r="AI1788">
        <v>0.35326089999999999</v>
      </c>
      <c r="AJ1788">
        <f t="shared" si="73"/>
        <v>0.35326089999999999</v>
      </c>
      <c r="AO1788">
        <v>0.35326089999999999</v>
      </c>
      <c r="AR1788" s="8">
        <v>0</v>
      </c>
      <c r="AS1788">
        <v>0.86375639999999998</v>
      </c>
    </row>
    <row r="1789" spans="1:45" x14ac:dyDescent="0.25">
      <c r="A1789">
        <v>326</v>
      </c>
      <c r="B1789">
        <v>1997</v>
      </c>
      <c r="C1789" s="8">
        <v>0</v>
      </c>
      <c r="D1789">
        <v>0.36130459999999998</v>
      </c>
      <c r="E1789">
        <v>0.2692869</v>
      </c>
      <c r="F1789">
        <v>7.7510499999999996E-2</v>
      </c>
      <c r="G1789">
        <v>0.48844949999999998</v>
      </c>
      <c r="H1789">
        <v>0.65488749999999996</v>
      </c>
      <c r="Q1789" s="10">
        <f t="shared" si="74"/>
        <v>2.2360245511521749E-2</v>
      </c>
      <c r="AI1789">
        <v>0.32650760000000001</v>
      </c>
      <c r="AJ1789">
        <f t="shared" si="73"/>
        <v>0.32650760000000001</v>
      </c>
      <c r="AO1789">
        <v>0.32650760000000001</v>
      </c>
      <c r="AR1789" s="8">
        <v>0</v>
      </c>
      <c r="AS1789">
        <v>0.30903029999999998</v>
      </c>
    </row>
    <row r="1790" spans="1:45" x14ac:dyDescent="0.25">
      <c r="A1790">
        <v>326</v>
      </c>
      <c r="B1790">
        <v>1998</v>
      </c>
      <c r="C1790" s="8">
        <v>0</v>
      </c>
      <c r="D1790">
        <v>0.35326089999999999</v>
      </c>
      <c r="E1790">
        <v>0.27733180000000002</v>
      </c>
      <c r="F1790">
        <v>6.7806900000000003E-2</v>
      </c>
      <c r="G1790">
        <v>0.26160329999999998</v>
      </c>
      <c r="H1790">
        <v>0.62333369999999999</v>
      </c>
      <c r="Q1790" s="10">
        <f t="shared" si="74"/>
        <v>3.3139720511049506E-2</v>
      </c>
      <c r="AI1790">
        <v>0.1017342</v>
      </c>
      <c r="AJ1790">
        <f t="shared" si="73"/>
        <v>0.1017342</v>
      </c>
      <c r="AO1790">
        <v>0.1017342</v>
      </c>
      <c r="AR1790" s="8">
        <v>0</v>
      </c>
      <c r="AS1790">
        <v>0.27651239999999999</v>
      </c>
    </row>
    <row r="1791" spans="1:45" x14ac:dyDescent="0.25">
      <c r="A1791">
        <v>326</v>
      </c>
      <c r="B1791">
        <v>1999</v>
      </c>
      <c r="C1791" s="8">
        <v>0</v>
      </c>
      <c r="D1791">
        <v>0.32650760000000001</v>
      </c>
      <c r="E1791">
        <v>0.28866130000000001</v>
      </c>
      <c r="F1791">
        <v>9.0970200000000001E-2</v>
      </c>
      <c r="G1791">
        <v>0.2322921</v>
      </c>
      <c r="H1791">
        <v>0.65125109999999997</v>
      </c>
      <c r="Q1791" s="10">
        <f t="shared" si="74"/>
        <v>2.8688395678436906E-2</v>
      </c>
      <c r="AI1791">
        <v>5.2795000000000002E-2</v>
      </c>
      <c r="AJ1791">
        <f t="shared" si="73"/>
        <v>5.2795000000000002E-2</v>
      </c>
      <c r="AO1791">
        <v>5.2795000000000002E-2</v>
      </c>
      <c r="AR1791" s="8">
        <v>0</v>
      </c>
      <c r="AS1791">
        <v>0.48844949999999998</v>
      </c>
    </row>
    <row r="1792" spans="1:45" x14ac:dyDescent="0.25">
      <c r="A1792">
        <v>327</v>
      </c>
      <c r="B1792">
        <v>1996</v>
      </c>
      <c r="C1792" s="8">
        <v>0</v>
      </c>
      <c r="D1792">
        <v>0.1017342</v>
      </c>
      <c r="E1792">
        <v>6.1506100000000001E-2</v>
      </c>
      <c r="F1792">
        <v>3.4248800000000003E-2</v>
      </c>
      <c r="G1792">
        <v>0.74436239999999998</v>
      </c>
      <c r="H1792">
        <v>9.8503499999999994E-2</v>
      </c>
      <c r="Q1792" s="10">
        <f t="shared" si="74"/>
        <v>1.8165927281586437E-2</v>
      </c>
      <c r="AI1792">
        <v>5.5690400000000001E-2</v>
      </c>
      <c r="AJ1792">
        <f t="shared" si="73"/>
        <v>5.5690400000000001E-2</v>
      </c>
      <c r="AO1792">
        <v>5.5690400000000001E-2</v>
      </c>
      <c r="AR1792" s="8">
        <v>0</v>
      </c>
      <c r="AS1792">
        <v>0.26160329999999998</v>
      </c>
    </row>
    <row r="1793" spans="1:45" x14ac:dyDescent="0.25">
      <c r="A1793">
        <v>327</v>
      </c>
      <c r="B1793">
        <v>1997</v>
      </c>
      <c r="C1793" s="8">
        <v>0</v>
      </c>
      <c r="D1793">
        <v>5.2795000000000002E-2</v>
      </c>
      <c r="E1793">
        <v>6.3954800000000006E-2</v>
      </c>
      <c r="F1793">
        <v>4.7096100000000002E-2</v>
      </c>
      <c r="G1793">
        <v>1.462294</v>
      </c>
      <c r="H1793">
        <v>8.7141200000000002E-2</v>
      </c>
      <c r="Q1793" s="10">
        <f t="shared" si="74"/>
        <v>5.1294478937572224E-3</v>
      </c>
      <c r="AI1793">
        <v>0.29818830000000002</v>
      </c>
      <c r="AJ1793">
        <f t="shared" si="73"/>
        <v>0.29818830000000002</v>
      </c>
      <c r="AO1793">
        <v>0.29818830000000002</v>
      </c>
      <c r="AR1793" s="8">
        <v>0</v>
      </c>
      <c r="AS1793">
        <v>0.2322921</v>
      </c>
    </row>
    <row r="1794" spans="1:45" x14ac:dyDescent="0.25">
      <c r="A1794">
        <v>327</v>
      </c>
      <c r="B1794">
        <v>1998</v>
      </c>
      <c r="C1794" s="8">
        <v>0</v>
      </c>
      <c r="D1794">
        <v>5.5690400000000001E-2</v>
      </c>
      <c r="E1794">
        <v>4.7315000000000003E-2</v>
      </c>
      <c r="F1794">
        <v>4.7766299999999998E-2</v>
      </c>
      <c r="G1794">
        <v>1.5059979999999999</v>
      </c>
      <c r="H1794">
        <v>9.8156800000000002E-2</v>
      </c>
      <c r="Q1794" s="10">
        <f t="shared" si="74"/>
        <v>4.9156624680219063E-3</v>
      </c>
      <c r="AI1794">
        <v>0.226853</v>
      </c>
      <c r="AJ1794">
        <f t="shared" si="73"/>
        <v>0.226853</v>
      </c>
      <c r="AO1794">
        <v>0.226853</v>
      </c>
      <c r="AR1794" s="8">
        <v>0</v>
      </c>
      <c r="AS1794">
        <v>0.74436239999999998</v>
      </c>
    </row>
    <row r="1795" spans="1:45" x14ac:dyDescent="0.25">
      <c r="A1795">
        <v>328</v>
      </c>
      <c r="B1795">
        <v>1998</v>
      </c>
      <c r="C1795" s="8">
        <v>0</v>
      </c>
      <c r="D1795">
        <v>0.29818830000000002</v>
      </c>
      <c r="E1795">
        <v>4.78979E-2</v>
      </c>
      <c r="F1795">
        <v>4.1631700000000001E-2</v>
      </c>
      <c r="G1795">
        <v>0.27151219999999998</v>
      </c>
      <c r="H1795">
        <v>0.78633839999999999</v>
      </c>
      <c r="Q1795" s="10">
        <f t="shared" si="74"/>
        <v>5.9081541252686824E-2</v>
      </c>
      <c r="AI1795">
        <v>0.2526738</v>
      </c>
      <c r="AJ1795">
        <f t="shared" si="73"/>
        <v>0.2526738</v>
      </c>
      <c r="AO1795">
        <v>0.2526738</v>
      </c>
      <c r="AR1795" s="8">
        <v>0</v>
      </c>
      <c r="AS1795">
        <v>1.462294</v>
      </c>
    </row>
    <row r="1796" spans="1:45" x14ac:dyDescent="0.25">
      <c r="A1796">
        <v>328</v>
      </c>
      <c r="B1796">
        <v>1999</v>
      </c>
      <c r="C1796" s="8">
        <v>0</v>
      </c>
      <c r="D1796">
        <v>0.226853</v>
      </c>
      <c r="E1796">
        <v>6.1306100000000002E-2</v>
      </c>
      <c r="F1796">
        <v>5.47717E-2</v>
      </c>
      <c r="G1796">
        <v>0.23006289999999999</v>
      </c>
      <c r="H1796">
        <v>0.83396599999999999</v>
      </c>
      <c r="Q1796" s="10">
        <f t="shared" si="74"/>
        <v>5.5907103097967974E-2</v>
      </c>
      <c r="AI1796">
        <v>0.30893939999999998</v>
      </c>
      <c r="AJ1796">
        <f t="shared" si="73"/>
        <v>0.30893939999999998</v>
      </c>
      <c r="AO1796">
        <v>0.30893939999999998</v>
      </c>
      <c r="AR1796" s="8">
        <v>0</v>
      </c>
      <c r="AS1796">
        <v>1.5059979999999999</v>
      </c>
    </row>
    <row r="1797" spans="1:45" x14ac:dyDescent="0.25">
      <c r="A1797">
        <v>328</v>
      </c>
      <c r="B1797">
        <v>2000</v>
      </c>
      <c r="C1797" s="8">
        <v>0</v>
      </c>
      <c r="D1797">
        <v>0.2526738</v>
      </c>
      <c r="E1797">
        <v>0.1071399</v>
      </c>
      <c r="F1797">
        <v>3.7194199999999997E-2</v>
      </c>
      <c r="G1797">
        <v>0.28602309999999997</v>
      </c>
      <c r="H1797">
        <v>0.77409130000000004</v>
      </c>
      <c r="Q1797" s="10">
        <f t="shared" si="74"/>
        <v>5.3750342145599789E-2</v>
      </c>
      <c r="AI1797">
        <v>0.1193965</v>
      </c>
      <c r="AJ1797">
        <f t="shared" ref="AJ1797:AJ1860" si="75">MAX(MIN(AI1797,AM$5),AM$4)</f>
        <v>0.1193965</v>
      </c>
      <c r="AO1797">
        <v>0.1193965</v>
      </c>
      <c r="AR1797" s="8">
        <v>0</v>
      </c>
      <c r="AS1797">
        <v>0.27151219999999998</v>
      </c>
    </row>
    <row r="1798" spans="1:45" x14ac:dyDescent="0.25">
      <c r="A1798">
        <v>328</v>
      </c>
      <c r="B1798">
        <v>2001</v>
      </c>
      <c r="C1798" s="8">
        <v>0</v>
      </c>
      <c r="D1798">
        <v>0.30893939999999998</v>
      </c>
      <c r="E1798">
        <v>0.14571410000000001</v>
      </c>
      <c r="F1798">
        <v>4.5533700000000003E-2</v>
      </c>
      <c r="G1798">
        <v>0.75547839999999999</v>
      </c>
      <c r="H1798">
        <v>0.66785689999999998</v>
      </c>
      <c r="Q1798" s="10">
        <f t="shared" si="74"/>
        <v>2.2278712336131826E-2</v>
      </c>
      <c r="AI1798">
        <v>0.1631919</v>
      </c>
      <c r="AJ1798">
        <f t="shared" si="75"/>
        <v>0.1631919</v>
      </c>
      <c r="AO1798">
        <v>0.1631919</v>
      </c>
      <c r="AR1798" s="8">
        <v>0</v>
      </c>
      <c r="AS1798">
        <v>0.23006289999999999</v>
      </c>
    </row>
    <row r="1799" spans="1:45" x14ac:dyDescent="0.25">
      <c r="A1799">
        <v>328</v>
      </c>
      <c r="B1799">
        <v>2002</v>
      </c>
      <c r="C1799" s="8">
        <v>0</v>
      </c>
      <c r="D1799">
        <v>0.1193965</v>
      </c>
      <c r="E1799">
        <v>0.1467183</v>
      </c>
      <c r="F1799">
        <v>4.69025E-2</v>
      </c>
      <c r="G1799">
        <v>0.6482369</v>
      </c>
      <c r="H1799">
        <v>0.66864509999999999</v>
      </c>
      <c r="Q1799" s="10">
        <f t="shared" ref="Q1799:Q1862" si="76">1/(1+EXP(-(J$6+SUMPRODUCT(K$6:O$6,D1799:H1799))))</f>
        <v>2.4099728363771455E-2</v>
      </c>
      <c r="AI1799">
        <v>0.17482300000000001</v>
      </c>
      <c r="AJ1799">
        <f t="shared" si="75"/>
        <v>0.17482300000000001</v>
      </c>
      <c r="AO1799">
        <v>0.17482300000000001</v>
      </c>
      <c r="AR1799" s="8">
        <v>0</v>
      </c>
      <c r="AS1799">
        <v>0.28602309999999997</v>
      </c>
    </row>
    <row r="1800" spans="1:45" x14ac:dyDescent="0.25">
      <c r="A1800">
        <v>328</v>
      </c>
      <c r="B1800">
        <v>2003</v>
      </c>
      <c r="C1800" s="8">
        <v>0</v>
      </c>
      <c r="D1800">
        <v>0.1631919</v>
      </c>
      <c r="E1800">
        <v>0.1537278</v>
      </c>
      <c r="F1800">
        <v>2.2698099999999999E-2</v>
      </c>
      <c r="G1800">
        <v>0.55409929999999996</v>
      </c>
      <c r="H1800">
        <v>0.67341379999999995</v>
      </c>
      <c r="Q1800" s="10">
        <f t="shared" si="76"/>
        <v>3.4006073643664834E-2</v>
      </c>
      <c r="AI1800">
        <v>0.1445709</v>
      </c>
      <c r="AJ1800">
        <f t="shared" si="75"/>
        <v>0.1445709</v>
      </c>
      <c r="AO1800">
        <v>0.1445709</v>
      </c>
      <c r="AR1800" s="8">
        <v>0</v>
      </c>
      <c r="AS1800">
        <v>0.75547839999999999</v>
      </c>
    </row>
    <row r="1801" spans="1:45" x14ac:dyDescent="0.25">
      <c r="A1801">
        <v>328</v>
      </c>
      <c r="B1801">
        <v>2004</v>
      </c>
      <c r="C1801" s="8">
        <v>0</v>
      </c>
      <c r="D1801">
        <v>0.17482300000000001</v>
      </c>
      <c r="E1801">
        <v>0.18474479999999999</v>
      </c>
      <c r="F1801">
        <v>4.2993000000000003E-2</v>
      </c>
      <c r="G1801">
        <v>0.56608879999999995</v>
      </c>
      <c r="H1801">
        <v>0.71233000000000002</v>
      </c>
      <c r="Q1801" s="10">
        <f t="shared" si="76"/>
        <v>2.8079691157818915E-2</v>
      </c>
      <c r="AI1801">
        <v>9.0489200000000006E-2</v>
      </c>
      <c r="AJ1801">
        <f t="shared" si="75"/>
        <v>9.0489200000000006E-2</v>
      </c>
      <c r="AO1801">
        <v>9.0489200000000006E-2</v>
      </c>
      <c r="AR1801" s="8">
        <v>0</v>
      </c>
      <c r="AS1801">
        <v>0.6482369</v>
      </c>
    </row>
    <row r="1802" spans="1:45" x14ac:dyDescent="0.25">
      <c r="A1802">
        <v>329</v>
      </c>
      <c r="B1802">
        <v>1995</v>
      </c>
      <c r="C1802" s="8">
        <v>0</v>
      </c>
      <c r="D1802">
        <v>0.1445709</v>
      </c>
      <c r="E1802">
        <v>5.72147E-2</v>
      </c>
      <c r="F1802">
        <v>3.2760400000000002E-2</v>
      </c>
      <c r="G1802">
        <v>0.4335965</v>
      </c>
      <c r="H1802">
        <v>0.2575441</v>
      </c>
      <c r="Q1802" s="10">
        <f t="shared" si="76"/>
        <v>3.3563311079893715E-2</v>
      </c>
      <c r="AI1802">
        <v>5.7434199999999998E-2</v>
      </c>
      <c r="AJ1802">
        <f t="shared" si="75"/>
        <v>5.7434199999999998E-2</v>
      </c>
      <c r="AO1802">
        <v>5.7434199999999998E-2</v>
      </c>
      <c r="AR1802" s="8">
        <v>0</v>
      </c>
      <c r="AS1802">
        <v>0.55409929999999996</v>
      </c>
    </row>
    <row r="1803" spans="1:45" x14ac:dyDescent="0.25">
      <c r="A1803">
        <v>329</v>
      </c>
      <c r="B1803">
        <v>1996</v>
      </c>
      <c r="C1803" s="8">
        <v>0</v>
      </c>
      <c r="D1803">
        <v>9.0489200000000006E-2</v>
      </c>
      <c r="E1803">
        <v>7.5216099999999994E-2</v>
      </c>
      <c r="F1803">
        <v>5.7647400000000001E-2</v>
      </c>
      <c r="G1803">
        <v>0.69899730000000004</v>
      </c>
      <c r="H1803">
        <v>0.29028749999999998</v>
      </c>
      <c r="Q1803" s="10">
        <f t="shared" si="76"/>
        <v>1.7801865410716607E-2</v>
      </c>
      <c r="AI1803">
        <v>8.3031800000000003E-2</v>
      </c>
      <c r="AJ1803">
        <f t="shared" si="75"/>
        <v>8.3031800000000003E-2</v>
      </c>
      <c r="AO1803">
        <v>8.3031800000000003E-2</v>
      </c>
      <c r="AR1803" s="8">
        <v>0</v>
      </c>
      <c r="AS1803">
        <v>0.56608879999999995</v>
      </c>
    </row>
    <row r="1804" spans="1:45" x14ac:dyDescent="0.25">
      <c r="A1804">
        <v>329</v>
      </c>
      <c r="B1804">
        <v>1997</v>
      </c>
      <c r="C1804" s="8">
        <v>0</v>
      </c>
      <c r="D1804">
        <v>5.7434199999999998E-2</v>
      </c>
      <c r="E1804">
        <v>-0.31427110000000003</v>
      </c>
      <c r="F1804">
        <v>6.3541299999999995E-2</v>
      </c>
      <c r="G1804">
        <v>1.1466050000000001</v>
      </c>
      <c r="H1804">
        <v>0.26226129999999997</v>
      </c>
      <c r="Q1804" s="10">
        <f t="shared" si="76"/>
        <v>1.4263513609808915E-2</v>
      </c>
      <c r="AI1804">
        <v>0.1140041</v>
      </c>
      <c r="AJ1804">
        <f t="shared" si="75"/>
        <v>0.1140041</v>
      </c>
      <c r="AO1804">
        <v>0.1140041</v>
      </c>
      <c r="AR1804" s="8">
        <v>0</v>
      </c>
      <c r="AS1804">
        <v>0.4335965</v>
      </c>
    </row>
    <row r="1805" spans="1:45" x14ac:dyDescent="0.25">
      <c r="A1805">
        <v>329</v>
      </c>
      <c r="B1805">
        <v>1998</v>
      </c>
      <c r="C1805" s="8">
        <v>0</v>
      </c>
      <c r="D1805">
        <v>8.3031800000000003E-2</v>
      </c>
      <c r="E1805">
        <v>-0.24637429999999999</v>
      </c>
      <c r="F1805">
        <v>6.1765E-2</v>
      </c>
      <c r="G1805">
        <v>1.3471630000000001</v>
      </c>
      <c r="H1805">
        <v>0.24891469999999999</v>
      </c>
      <c r="Q1805" s="10">
        <f t="shared" si="76"/>
        <v>9.5893111232553934E-3</v>
      </c>
      <c r="AI1805">
        <v>5.0177100000000002E-2</v>
      </c>
      <c r="AJ1805">
        <f t="shared" si="75"/>
        <v>5.0177100000000002E-2</v>
      </c>
      <c r="AO1805">
        <v>5.0177100000000002E-2</v>
      </c>
      <c r="AR1805" s="8">
        <v>0</v>
      </c>
      <c r="AS1805">
        <v>0.69899730000000004</v>
      </c>
    </row>
    <row r="1806" spans="1:45" x14ac:dyDescent="0.25">
      <c r="A1806">
        <v>329</v>
      </c>
      <c r="B1806">
        <v>1999</v>
      </c>
      <c r="C1806" s="8">
        <v>0</v>
      </c>
      <c r="D1806">
        <v>0.1140041</v>
      </c>
      <c r="E1806">
        <v>-0.2389577</v>
      </c>
      <c r="F1806">
        <v>6.6925899999999997E-2</v>
      </c>
      <c r="G1806">
        <v>0.99704729999999997</v>
      </c>
      <c r="H1806">
        <v>0.25961309999999999</v>
      </c>
      <c r="Q1806" s="10">
        <f t="shared" si="76"/>
        <v>1.610911460991955E-2</v>
      </c>
      <c r="AI1806">
        <v>2.6011099999999999E-2</v>
      </c>
      <c r="AJ1806">
        <f t="shared" si="75"/>
        <v>2.6011099999999999E-2</v>
      </c>
      <c r="AO1806">
        <v>2.6011099999999999E-2</v>
      </c>
      <c r="AR1806" s="8">
        <v>0</v>
      </c>
      <c r="AS1806">
        <v>1.1466050000000001</v>
      </c>
    </row>
    <row r="1807" spans="1:45" x14ac:dyDescent="0.25">
      <c r="A1807">
        <v>330</v>
      </c>
      <c r="B1807">
        <v>1995</v>
      </c>
      <c r="C1807" s="8">
        <v>0</v>
      </c>
      <c r="D1807">
        <v>5.0177100000000002E-2</v>
      </c>
      <c r="E1807">
        <v>-0.58390379999999997</v>
      </c>
      <c r="F1807">
        <v>9.5544699999999996E-2</v>
      </c>
      <c r="G1807">
        <v>0.3489932</v>
      </c>
      <c r="H1807">
        <v>0.37838880000000003</v>
      </c>
      <c r="Q1807" s="10">
        <f t="shared" si="76"/>
        <v>5.954670637932296E-2</v>
      </c>
      <c r="AI1807">
        <v>6.8057199999999998E-2</v>
      </c>
      <c r="AJ1807">
        <f t="shared" si="75"/>
        <v>6.8057199999999998E-2</v>
      </c>
      <c r="AO1807">
        <v>6.8057199999999998E-2</v>
      </c>
      <c r="AR1807" s="8">
        <v>0</v>
      </c>
      <c r="AS1807">
        <v>1.3471630000000001</v>
      </c>
    </row>
    <row r="1808" spans="1:45" x14ac:dyDescent="0.25">
      <c r="A1808">
        <v>330</v>
      </c>
      <c r="B1808">
        <v>1996</v>
      </c>
      <c r="C1808" s="8">
        <v>0</v>
      </c>
      <c r="D1808">
        <v>2.6011099999999999E-2</v>
      </c>
      <c r="E1808">
        <v>-0.54456199999999999</v>
      </c>
      <c r="F1808">
        <v>6.4980999999999997E-2</v>
      </c>
      <c r="G1808">
        <v>0.61118070000000002</v>
      </c>
      <c r="H1808">
        <v>0.31789400000000001</v>
      </c>
      <c r="Q1808" s="10">
        <f t="shared" si="76"/>
        <v>4.5753726313000738E-2</v>
      </c>
      <c r="AI1808">
        <v>0.23011219999999999</v>
      </c>
      <c r="AJ1808">
        <f t="shared" si="75"/>
        <v>0.23011219999999999</v>
      </c>
      <c r="AO1808">
        <v>0.23011219999999999</v>
      </c>
      <c r="AR1808" s="8">
        <v>0</v>
      </c>
      <c r="AS1808">
        <v>0.99704729999999997</v>
      </c>
    </row>
    <row r="1809" spans="1:45" x14ac:dyDescent="0.25">
      <c r="A1809">
        <v>330</v>
      </c>
      <c r="B1809">
        <v>1997</v>
      </c>
      <c r="C1809" s="8">
        <v>0</v>
      </c>
      <c r="D1809">
        <v>6.8057199999999998E-2</v>
      </c>
      <c r="E1809">
        <v>-0.53634110000000002</v>
      </c>
      <c r="F1809">
        <v>5.3644600000000001E-2</v>
      </c>
      <c r="G1809">
        <v>0.53322049999999999</v>
      </c>
      <c r="H1809">
        <v>0.32013530000000001</v>
      </c>
      <c r="Q1809" s="10">
        <f t="shared" si="76"/>
        <v>5.6472495056805364E-2</v>
      </c>
      <c r="AI1809">
        <v>0.24546270000000001</v>
      </c>
      <c r="AJ1809">
        <f t="shared" si="75"/>
        <v>0.24546270000000001</v>
      </c>
      <c r="AO1809">
        <v>0.24546270000000001</v>
      </c>
      <c r="AR1809" s="8">
        <v>0</v>
      </c>
      <c r="AS1809">
        <v>0.3489932</v>
      </c>
    </row>
    <row r="1810" spans="1:45" x14ac:dyDescent="0.25">
      <c r="A1810">
        <v>331</v>
      </c>
      <c r="B1810">
        <v>1995</v>
      </c>
      <c r="C1810" s="8">
        <v>0</v>
      </c>
      <c r="D1810">
        <v>0.23011219999999999</v>
      </c>
      <c r="E1810">
        <v>0.63170959999999998</v>
      </c>
      <c r="F1810">
        <v>6.21489E-2</v>
      </c>
      <c r="G1810">
        <v>6.3047839999999997</v>
      </c>
      <c r="H1810">
        <v>0.29515580000000002</v>
      </c>
      <c r="Q1810" s="10">
        <f t="shared" si="76"/>
        <v>1.0913173739347185E-6</v>
      </c>
      <c r="AI1810">
        <v>0.2824933</v>
      </c>
      <c r="AJ1810">
        <f t="shared" si="75"/>
        <v>0.2824933</v>
      </c>
      <c r="AO1810">
        <v>0.2824933</v>
      </c>
      <c r="AR1810" s="8">
        <v>0</v>
      </c>
      <c r="AS1810">
        <v>0.61118070000000002</v>
      </c>
    </row>
    <row r="1811" spans="1:45" x14ac:dyDescent="0.25">
      <c r="A1811">
        <v>331</v>
      </c>
      <c r="B1811">
        <v>1996</v>
      </c>
      <c r="C1811" s="8">
        <v>0</v>
      </c>
      <c r="D1811">
        <v>0.24546270000000001</v>
      </c>
      <c r="E1811">
        <v>0.56769009999999998</v>
      </c>
      <c r="F1811">
        <v>8.35336E-2</v>
      </c>
      <c r="G1811">
        <v>7.2645200000000001</v>
      </c>
      <c r="H1811">
        <v>0.30139320000000003</v>
      </c>
      <c r="Q1811" s="10">
        <f t="shared" si="76"/>
        <v>2.2095670433256737E-7</v>
      </c>
      <c r="AI1811">
        <v>0.14144010000000001</v>
      </c>
      <c r="AJ1811">
        <f t="shared" si="75"/>
        <v>0.14144010000000001</v>
      </c>
      <c r="AO1811">
        <v>0.14144010000000001</v>
      </c>
      <c r="AR1811" s="8">
        <v>0</v>
      </c>
      <c r="AS1811">
        <v>0.53322049999999999</v>
      </c>
    </row>
    <row r="1812" spans="1:45" x14ac:dyDescent="0.25">
      <c r="A1812">
        <v>331</v>
      </c>
      <c r="B1812">
        <v>1997</v>
      </c>
      <c r="C1812" s="8">
        <v>0</v>
      </c>
      <c r="D1812">
        <v>0.2824933</v>
      </c>
      <c r="E1812">
        <v>0.5920202</v>
      </c>
      <c r="F1812">
        <v>6.3426800000000005E-2</v>
      </c>
      <c r="G1812">
        <v>9.766788</v>
      </c>
      <c r="H1812">
        <v>0.29029060000000001</v>
      </c>
      <c r="Q1812" s="10">
        <f t="shared" si="76"/>
        <v>4.6846488825248343E-9</v>
      </c>
      <c r="AI1812">
        <v>0.22065870000000001</v>
      </c>
      <c r="AJ1812">
        <f t="shared" si="75"/>
        <v>0.22065870000000001</v>
      </c>
      <c r="AO1812">
        <v>0.22065870000000001</v>
      </c>
      <c r="AR1812" s="8">
        <v>0</v>
      </c>
      <c r="AS1812">
        <v>6.3047839999999997</v>
      </c>
    </row>
    <row r="1813" spans="1:45" x14ac:dyDescent="0.25">
      <c r="A1813">
        <v>331</v>
      </c>
      <c r="B1813">
        <v>1998</v>
      </c>
      <c r="C1813" s="8">
        <v>0</v>
      </c>
      <c r="D1813">
        <v>0.14144010000000001</v>
      </c>
      <c r="E1813">
        <v>0.55088820000000005</v>
      </c>
      <c r="F1813">
        <v>5.8751999999999999E-2</v>
      </c>
      <c r="G1813">
        <v>8.9727490000000003</v>
      </c>
      <c r="H1813">
        <v>0.26650449999999998</v>
      </c>
      <c r="Q1813" s="10">
        <f t="shared" si="76"/>
        <v>1.7007855651010133E-8</v>
      </c>
      <c r="AI1813">
        <v>0.30317110000000003</v>
      </c>
      <c r="AJ1813">
        <f t="shared" si="75"/>
        <v>0.30317110000000003</v>
      </c>
      <c r="AO1813">
        <v>0.30317110000000003</v>
      </c>
      <c r="AR1813" s="8">
        <v>0</v>
      </c>
      <c r="AS1813">
        <v>7.2645200000000001</v>
      </c>
    </row>
    <row r="1814" spans="1:45" x14ac:dyDescent="0.25">
      <c r="A1814">
        <v>331</v>
      </c>
      <c r="B1814">
        <v>1999</v>
      </c>
      <c r="C1814" s="8">
        <v>0</v>
      </c>
      <c r="D1814">
        <v>0.22065870000000001</v>
      </c>
      <c r="E1814">
        <v>0.56211480000000003</v>
      </c>
      <c r="F1814">
        <v>8.4740300000000005E-2</v>
      </c>
      <c r="G1814">
        <v>10.027340000000001</v>
      </c>
      <c r="H1814">
        <v>0.2781477</v>
      </c>
      <c r="Q1814" s="10">
        <f t="shared" si="76"/>
        <v>2.6351044628694525E-9</v>
      </c>
      <c r="AI1814">
        <v>0.3125964</v>
      </c>
      <c r="AJ1814">
        <f t="shared" si="75"/>
        <v>0.3125964</v>
      </c>
      <c r="AO1814">
        <v>0.3125964</v>
      </c>
      <c r="AR1814" s="8">
        <v>0</v>
      </c>
      <c r="AS1814">
        <v>9.766788</v>
      </c>
    </row>
    <row r="1815" spans="1:45" x14ac:dyDescent="0.25">
      <c r="A1815">
        <v>331</v>
      </c>
      <c r="B1815">
        <v>2000</v>
      </c>
      <c r="C1815" s="8">
        <v>0</v>
      </c>
      <c r="D1815">
        <v>0.30317110000000003</v>
      </c>
      <c r="E1815">
        <v>0.60606369999999998</v>
      </c>
      <c r="F1815">
        <v>6.1032299999999998E-2</v>
      </c>
      <c r="G1815">
        <v>11.706480000000001</v>
      </c>
      <c r="H1815">
        <v>0.26079720000000001</v>
      </c>
      <c r="Q1815" s="10">
        <f t="shared" si="76"/>
        <v>2.1060610911823451E-10</v>
      </c>
      <c r="AI1815">
        <v>0.22366749999999999</v>
      </c>
      <c r="AJ1815">
        <f t="shared" si="75"/>
        <v>0.22366749999999999</v>
      </c>
      <c r="AO1815">
        <v>0.22366749999999999</v>
      </c>
      <c r="AR1815" s="8">
        <v>0</v>
      </c>
      <c r="AS1815">
        <v>8.9727490000000003</v>
      </c>
    </row>
    <row r="1816" spans="1:45" x14ac:dyDescent="0.25">
      <c r="A1816">
        <v>331</v>
      </c>
      <c r="B1816">
        <v>2001</v>
      </c>
      <c r="C1816" s="8">
        <v>0</v>
      </c>
      <c r="D1816">
        <v>0.3125964</v>
      </c>
      <c r="E1816">
        <v>0.62360329999999997</v>
      </c>
      <c r="F1816">
        <v>6.3258300000000003E-2</v>
      </c>
      <c r="G1816">
        <v>12.74689</v>
      </c>
      <c r="H1816">
        <v>0.24376120000000001</v>
      </c>
      <c r="Q1816" s="10">
        <f t="shared" si="76"/>
        <v>3.8169533125246594E-11</v>
      </c>
      <c r="AI1816">
        <v>0.2127213</v>
      </c>
      <c r="AJ1816">
        <f t="shared" si="75"/>
        <v>0.2127213</v>
      </c>
      <c r="AO1816">
        <v>0.2127213</v>
      </c>
      <c r="AR1816" s="8">
        <v>0</v>
      </c>
      <c r="AS1816">
        <v>10.027340000000001</v>
      </c>
    </row>
    <row r="1817" spans="1:45" x14ac:dyDescent="0.25">
      <c r="A1817">
        <v>331</v>
      </c>
      <c r="B1817">
        <v>2002</v>
      </c>
      <c r="C1817" s="8">
        <v>0</v>
      </c>
      <c r="D1817">
        <v>0.22366749999999999</v>
      </c>
      <c r="E1817">
        <v>0.64354599999999995</v>
      </c>
      <c r="F1817">
        <v>7.9122499999999998E-2</v>
      </c>
      <c r="G1817">
        <v>8.9508749999999999</v>
      </c>
      <c r="H1817">
        <v>0.26007069999999999</v>
      </c>
      <c r="Q1817" s="10">
        <f t="shared" si="76"/>
        <v>1.3476532128871879E-8</v>
      </c>
      <c r="AI1817">
        <v>0.2915797</v>
      </c>
      <c r="AJ1817">
        <f t="shared" si="75"/>
        <v>0.2915797</v>
      </c>
      <c r="AO1817">
        <v>0.2915797</v>
      </c>
      <c r="AR1817" s="8">
        <v>0</v>
      </c>
      <c r="AS1817">
        <v>11.706480000000001</v>
      </c>
    </row>
    <row r="1818" spans="1:45" x14ac:dyDescent="0.25">
      <c r="A1818">
        <v>331</v>
      </c>
      <c r="B1818">
        <v>2003</v>
      </c>
      <c r="C1818" s="8">
        <v>0</v>
      </c>
      <c r="D1818">
        <v>0.2127213</v>
      </c>
      <c r="E1818">
        <v>0.6548657</v>
      </c>
      <c r="F1818">
        <v>6.9369200000000006E-2</v>
      </c>
      <c r="G1818">
        <v>7.187182</v>
      </c>
      <c r="H1818">
        <v>0.25812839999999998</v>
      </c>
      <c r="Q1818" s="10">
        <f t="shared" si="76"/>
        <v>2.3683861626824671E-7</v>
      </c>
      <c r="AI1818">
        <v>7.2155800000000006E-2</v>
      </c>
      <c r="AJ1818">
        <f t="shared" si="75"/>
        <v>7.2155800000000006E-2</v>
      </c>
      <c r="AO1818">
        <v>7.2155800000000006E-2</v>
      </c>
      <c r="AR1818" s="8">
        <v>0</v>
      </c>
      <c r="AS1818">
        <v>12.74689</v>
      </c>
    </row>
    <row r="1819" spans="1:45" x14ac:dyDescent="0.25">
      <c r="A1819">
        <v>331</v>
      </c>
      <c r="B1819">
        <v>2004</v>
      </c>
      <c r="C1819" s="8">
        <v>0</v>
      </c>
      <c r="D1819">
        <v>0.2915797</v>
      </c>
      <c r="E1819">
        <v>0.67398409999999997</v>
      </c>
      <c r="F1819">
        <v>8.6289599999999994E-2</v>
      </c>
      <c r="G1819">
        <v>8.7803810000000002</v>
      </c>
      <c r="H1819">
        <v>0.26498620000000001</v>
      </c>
      <c r="Q1819" s="10">
        <f t="shared" si="76"/>
        <v>1.6481672851431844E-8</v>
      </c>
      <c r="AI1819">
        <v>8.7959200000000001E-2</v>
      </c>
      <c r="AJ1819">
        <f t="shared" si="75"/>
        <v>8.7959200000000001E-2</v>
      </c>
      <c r="AO1819">
        <v>8.7959200000000001E-2</v>
      </c>
      <c r="AR1819" s="8">
        <v>0</v>
      </c>
      <c r="AS1819">
        <v>8.9508749999999999</v>
      </c>
    </row>
    <row r="1820" spans="1:45" x14ac:dyDescent="0.25">
      <c r="A1820">
        <v>332</v>
      </c>
      <c r="B1820">
        <v>1995</v>
      </c>
      <c r="C1820" s="8">
        <v>0</v>
      </c>
      <c r="D1820">
        <v>7.2155800000000006E-2</v>
      </c>
      <c r="E1820">
        <v>0.2355602</v>
      </c>
      <c r="F1820">
        <v>7.7038899999999993E-2</v>
      </c>
      <c r="G1820">
        <v>0.90508270000000002</v>
      </c>
      <c r="H1820">
        <v>0.55850290000000002</v>
      </c>
      <c r="Q1820" s="10">
        <f t="shared" si="76"/>
        <v>1.0266573645609841E-2</v>
      </c>
      <c r="AI1820">
        <v>-2.8442200000000001E-2</v>
      </c>
      <c r="AJ1820">
        <f t="shared" si="75"/>
        <v>-2.8442200000000001E-2</v>
      </c>
      <c r="AO1820">
        <v>-2.8442200000000001E-2</v>
      </c>
      <c r="AR1820" s="8">
        <v>0</v>
      </c>
      <c r="AS1820">
        <v>7.187182</v>
      </c>
    </row>
    <row r="1821" spans="1:45" x14ac:dyDescent="0.25">
      <c r="A1821">
        <v>332</v>
      </c>
      <c r="B1821">
        <v>1996</v>
      </c>
      <c r="C1821" s="8">
        <v>0</v>
      </c>
      <c r="D1821">
        <v>8.7959200000000001E-2</v>
      </c>
      <c r="E1821">
        <v>0.23480019999999999</v>
      </c>
      <c r="F1821">
        <v>5.7409000000000002E-2</v>
      </c>
      <c r="G1821">
        <v>0.89712720000000001</v>
      </c>
      <c r="H1821">
        <v>0.53471139999999995</v>
      </c>
      <c r="Q1821" s="10">
        <f t="shared" si="76"/>
        <v>1.2057544151363614E-2</v>
      </c>
      <c r="AI1821">
        <v>-7.6936199999999996E-2</v>
      </c>
      <c r="AJ1821">
        <f t="shared" si="75"/>
        <v>-7.6936199999999996E-2</v>
      </c>
      <c r="AO1821">
        <v>-7.6936199999999996E-2</v>
      </c>
      <c r="AR1821" s="8">
        <v>0</v>
      </c>
      <c r="AS1821">
        <v>8.7803810000000002</v>
      </c>
    </row>
    <row r="1822" spans="1:45" x14ac:dyDescent="0.25">
      <c r="A1822">
        <v>332</v>
      </c>
      <c r="B1822">
        <v>1997</v>
      </c>
      <c r="C1822" s="8">
        <v>0</v>
      </c>
      <c r="D1822">
        <v>-2.8442200000000001E-2</v>
      </c>
      <c r="E1822">
        <v>0.22135730000000001</v>
      </c>
      <c r="F1822">
        <v>7.81163E-2</v>
      </c>
      <c r="G1822">
        <v>0.98867819999999995</v>
      </c>
      <c r="H1822">
        <v>0.50134350000000005</v>
      </c>
      <c r="Q1822" s="10">
        <f t="shared" si="76"/>
        <v>8.435486966266394E-3</v>
      </c>
      <c r="AI1822">
        <v>-1.5487000000000001E-2</v>
      </c>
      <c r="AJ1822">
        <f t="shared" si="75"/>
        <v>-1.5487000000000001E-2</v>
      </c>
      <c r="AO1822">
        <v>-1.5487000000000001E-2</v>
      </c>
      <c r="AR1822" s="8">
        <v>0</v>
      </c>
      <c r="AS1822">
        <v>0.90508270000000002</v>
      </c>
    </row>
    <row r="1823" spans="1:45" x14ac:dyDescent="0.25">
      <c r="A1823">
        <v>332</v>
      </c>
      <c r="B1823">
        <v>1998</v>
      </c>
      <c r="C1823" s="8">
        <v>0</v>
      </c>
      <c r="D1823">
        <v>-7.6936199999999996E-2</v>
      </c>
      <c r="E1823">
        <v>0.2107212</v>
      </c>
      <c r="F1823">
        <v>5.6711699999999997E-2</v>
      </c>
      <c r="G1823">
        <v>0.6859691</v>
      </c>
      <c r="H1823">
        <v>0.45895560000000002</v>
      </c>
      <c r="Q1823" s="10">
        <f t="shared" si="76"/>
        <v>1.5609797424520303E-2</v>
      </c>
      <c r="AI1823">
        <v>1.72304E-2</v>
      </c>
      <c r="AJ1823">
        <f t="shared" si="75"/>
        <v>1.72304E-2</v>
      </c>
      <c r="AO1823">
        <v>1.72304E-2</v>
      </c>
      <c r="AR1823" s="8">
        <v>0</v>
      </c>
      <c r="AS1823">
        <v>0.89712720000000001</v>
      </c>
    </row>
    <row r="1824" spans="1:45" x14ac:dyDescent="0.25">
      <c r="A1824">
        <v>332</v>
      </c>
      <c r="B1824">
        <v>1999</v>
      </c>
      <c r="C1824" s="8">
        <v>0</v>
      </c>
      <c r="D1824">
        <v>-1.5487000000000001E-2</v>
      </c>
      <c r="E1824">
        <v>0.2201012</v>
      </c>
      <c r="F1824">
        <v>6.23067E-2</v>
      </c>
      <c r="G1824">
        <v>0.90949740000000001</v>
      </c>
      <c r="H1824">
        <v>0.52779129999999996</v>
      </c>
      <c r="Q1824" s="10">
        <f t="shared" si="76"/>
        <v>1.1089475338326238E-2</v>
      </c>
      <c r="AI1824">
        <v>1.6238200000000001E-2</v>
      </c>
      <c r="AJ1824">
        <f t="shared" si="75"/>
        <v>1.6238200000000001E-2</v>
      </c>
      <c r="AO1824">
        <v>1.6238200000000001E-2</v>
      </c>
      <c r="AR1824" s="8">
        <v>0</v>
      </c>
      <c r="AS1824">
        <v>0.98867819999999995</v>
      </c>
    </row>
    <row r="1825" spans="1:45" x14ac:dyDescent="0.25">
      <c r="A1825">
        <v>332</v>
      </c>
      <c r="B1825">
        <v>2000</v>
      </c>
      <c r="C1825" s="8">
        <v>0</v>
      </c>
      <c r="D1825">
        <v>1.72304E-2</v>
      </c>
      <c r="E1825">
        <v>0.2362059</v>
      </c>
      <c r="F1825">
        <v>5.9556499999999998E-2</v>
      </c>
      <c r="G1825">
        <v>0.69560270000000002</v>
      </c>
      <c r="H1825">
        <v>0.44729380000000002</v>
      </c>
      <c r="Q1825" s="10">
        <f t="shared" si="76"/>
        <v>1.4957209789848842E-2</v>
      </c>
      <c r="AI1825">
        <v>4.4272300000000001E-2</v>
      </c>
      <c r="AJ1825">
        <f t="shared" si="75"/>
        <v>4.4272300000000001E-2</v>
      </c>
      <c r="AO1825">
        <v>4.4272300000000001E-2</v>
      </c>
      <c r="AR1825" s="8">
        <v>0</v>
      </c>
      <c r="AS1825">
        <v>0.6859691</v>
      </c>
    </row>
    <row r="1826" spans="1:45" x14ac:dyDescent="0.25">
      <c r="A1826">
        <v>332</v>
      </c>
      <c r="B1826">
        <v>2001</v>
      </c>
      <c r="C1826" s="8">
        <v>0</v>
      </c>
      <c r="D1826">
        <v>1.6238200000000001E-2</v>
      </c>
      <c r="E1826">
        <v>0.25087280000000001</v>
      </c>
      <c r="F1826">
        <v>5.1244999999999999E-2</v>
      </c>
      <c r="G1826">
        <v>0.84234620000000004</v>
      </c>
      <c r="H1826">
        <v>0.49759520000000002</v>
      </c>
      <c r="Q1826" s="10">
        <f t="shared" si="76"/>
        <v>1.2800077328719866E-2</v>
      </c>
      <c r="AI1826">
        <v>2.1114899999999999E-2</v>
      </c>
      <c r="AJ1826">
        <f t="shared" si="75"/>
        <v>2.1114899999999999E-2</v>
      </c>
      <c r="AO1826">
        <v>2.1114899999999999E-2</v>
      </c>
      <c r="AR1826" s="8">
        <v>0</v>
      </c>
      <c r="AS1826">
        <v>0.90949740000000001</v>
      </c>
    </row>
    <row r="1827" spans="1:45" x14ac:dyDescent="0.25">
      <c r="A1827">
        <v>332</v>
      </c>
      <c r="B1827">
        <v>2002</v>
      </c>
      <c r="C1827" s="8">
        <v>0</v>
      </c>
      <c r="D1827">
        <v>4.4272300000000001E-2</v>
      </c>
      <c r="E1827">
        <v>0.27952050000000001</v>
      </c>
      <c r="F1827">
        <v>5.1787699999999999E-2</v>
      </c>
      <c r="G1827">
        <v>0.92826679999999995</v>
      </c>
      <c r="H1827">
        <v>0.50140969999999996</v>
      </c>
      <c r="Q1827" s="10">
        <f t="shared" si="76"/>
        <v>1.0832012749565287E-2</v>
      </c>
      <c r="AI1827">
        <v>2.1830200000000001E-2</v>
      </c>
      <c r="AJ1827">
        <f t="shared" si="75"/>
        <v>2.1830200000000001E-2</v>
      </c>
      <c r="AO1827">
        <v>2.1830200000000001E-2</v>
      </c>
      <c r="AR1827" s="8">
        <v>0</v>
      </c>
      <c r="AS1827">
        <v>0.69560270000000002</v>
      </c>
    </row>
    <row r="1828" spans="1:45" x14ac:dyDescent="0.25">
      <c r="A1828">
        <v>332</v>
      </c>
      <c r="B1828">
        <v>2003</v>
      </c>
      <c r="C1828" s="8">
        <v>0</v>
      </c>
      <c r="D1828">
        <v>2.1114899999999999E-2</v>
      </c>
      <c r="E1828">
        <v>0.2830416</v>
      </c>
      <c r="F1828">
        <v>6.2903899999999999E-2</v>
      </c>
      <c r="G1828">
        <v>0.98772819999999995</v>
      </c>
      <c r="H1828">
        <v>0.48859599999999997</v>
      </c>
      <c r="Q1828" s="10">
        <f t="shared" si="76"/>
        <v>8.8303441668360141E-3</v>
      </c>
      <c r="AI1828">
        <v>0.41628399999999999</v>
      </c>
      <c r="AJ1828">
        <f t="shared" si="75"/>
        <v>0.41628399999999999</v>
      </c>
      <c r="AO1828">
        <v>0.41628399999999999</v>
      </c>
      <c r="AR1828" s="8">
        <v>0</v>
      </c>
      <c r="AS1828">
        <v>0.84234620000000004</v>
      </c>
    </row>
    <row r="1829" spans="1:45" x14ac:dyDescent="0.25">
      <c r="A1829">
        <v>332</v>
      </c>
      <c r="B1829">
        <v>2004</v>
      </c>
      <c r="C1829" s="8">
        <v>0</v>
      </c>
      <c r="D1829">
        <v>2.1830200000000001E-2</v>
      </c>
      <c r="E1829">
        <v>0.31777820000000001</v>
      </c>
      <c r="F1829">
        <v>6.6143400000000005E-2</v>
      </c>
      <c r="G1829">
        <v>1.1244449999999999</v>
      </c>
      <c r="H1829">
        <v>0.47174100000000002</v>
      </c>
      <c r="Q1829" s="10">
        <f t="shared" si="76"/>
        <v>6.5278234070938164E-3</v>
      </c>
      <c r="AI1829">
        <v>4.9563200000000002E-2</v>
      </c>
      <c r="AJ1829">
        <f t="shared" si="75"/>
        <v>4.9563200000000002E-2</v>
      </c>
      <c r="AO1829">
        <v>4.9563200000000002E-2</v>
      </c>
      <c r="AR1829" s="8">
        <v>0</v>
      </c>
      <c r="AS1829">
        <v>0.92826679999999995</v>
      </c>
    </row>
    <row r="1830" spans="1:45" x14ac:dyDescent="0.25">
      <c r="A1830">
        <v>333</v>
      </c>
      <c r="B1830">
        <v>1995</v>
      </c>
      <c r="C1830" s="8">
        <v>0</v>
      </c>
      <c r="D1830">
        <v>0.41628399999999999</v>
      </c>
      <c r="E1830">
        <v>0.21698999999999999</v>
      </c>
      <c r="F1830">
        <v>0.1183507</v>
      </c>
      <c r="G1830">
        <v>3.5134949999999998</v>
      </c>
      <c r="H1830">
        <v>0.51232420000000001</v>
      </c>
      <c r="Q1830" s="10">
        <f t="shared" si="76"/>
        <v>1.3437250694708677E-4</v>
      </c>
      <c r="AI1830">
        <v>4.2073300000000001E-2</v>
      </c>
      <c r="AJ1830">
        <f t="shared" si="75"/>
        <v>4.2073300000000001E-2</v>
      </c>
      <c r="AO1830">
        <v>4.2073300000000001E-2</v>
      </c>
      <c r="AR1830" s="8">
        <v>0</v>
      </c>
      <c r="AS1830">
        <v>0.98772819999999995</v>
      </c>
    </row>
    <row r="1831" spans="1:45" x14ac:dyDescent="0.25">
      <c r="A1831">
        <v>333</v>
      </c>
      <c r="B1831">
        <v>1996</v>
      </c>
      <c r="C1831" s="8">
        <v>0</v>
      </c>
      <c r="D1831">
        <v>4.9563200000000002E-2</v>
      </c>
      <c r="E1831">
        <v>0.30891629999999998</v>
      </c>
      <c r="F1831">
        <v>0.16352849999999999</v>
      </c>
      <c r="G1831">
        <v>2.9396770000000001</v>
      </c>
      <c r="H1831">
        <v>0.7769798</v>
      </c>
      <c r="Q1831" s="10">
        <f t="shared" si="76"/>
        <v>2.0684699931797191E-4</v>
      </c>
      <c r="AI1831">
        <v>-0.10171289999999999</v>
      </c>
      <c r="AJ1831">
        <f t="shared" si="75"/>
        <v>-0.10171289999999999</v>
      </c>
      <c r="AO1831">
        <v>-0.10171289999999999</v>
      </c>
      <c r="AR1831" s="8">
        <v>0</v>
      </c>
      <c r="AS1831">
        <v>1.1244449999999999</v>
      </c>
    </row>
    <row r="1832" spans="1:45" x14ac:dyDescent="0.25">
      <c r="A1832">
        <v>333</v>
      </c>
      <c r="B1832">
        <v>1997</v>
      </c>
      <c r="C1832" s="8">
        <v>0</v>
      </c>
      <c r="D1832">
        <v>4.2073300000000001E-2</v>
      </c>
      <c r="E1832">
        <v>0.32516800000000001</v>
      </c>
      <c r="F1832">
        <v>9.9607899999999999E-2</v>
      </c>
      <c r="G1832">
        <v>3.3869120000000001</v>
      </c>
      <c r="H1832">
        <v>0.50648000000000004</v>
      </c>
      <c r="Q1832" s="10">
        <f t="shared" si="76"/>
        <v>1.3925017710526494E-4</v>
      </c>
      <c r="AI1832">
        <v>-0.1308792</v>
      </c>
      <c r="AJ1832">
        <f t="shared" si="75"/>
        <v>-0.113345184</v>
      </c>
      <c r="AO1832">
        <v>-0.113345184</v>
      </c>
      <c r="AR1832" s="8">
        <v>0</v>
      </c>
      <c r="AS1832">
        <v>3.5134949999999998</v>
      </c>
    </row>
    <row r="1833" spans="1:45" x14ac:dyDescent="0.25">
      <c r="A1833">
        <v>333</v>
      </c>
      <c r="B1833">
        <v>1998</v>
      </c>
      <c r="C1833" s="8">
        <v>0</v>
      </c>
      <c r="D1833">
        <v>-0.10171289999999999</v>
      </c>
      <c r="E1833">
        <v>0.15690779999999999</v>
      </c>
      <c r="F1833">
        <v>0.10399120000000001</v>
      </c>
      <c r="G1833">
        <v>3.038001</v>
      </c>
      <c r="H1833">
        <v>0.51690579999999997</v>
      </c>
      <c r="Q1833" s="10">
        <f t="shared" si="76"/>
        <v>2.8389898263061846E-4</v>
      </c>
      <c r="AI1833">
        <v>0.35917460000000001</v>
      </c>
      <c r="AJ1833">
        <f t="shared" si="75"/>
        <v>0.35917460000000001</v>
      </c>
      <c r="AO1833">
        <v>0.35917460000000001</v>
      </c>
      <c r="AR1833" s="8">
        <v>0</v>
      </c>
      <c r="AS1833">
        <v>2.9396770000000001</v>
      </c>
    </row>
    <row r="1834" spans="1:45" x14ac:dyDescent="0.25">
      <c r="A1834">
        <v>333</v>
      </c>
      <c r="B1834">
        <v>1999</v>
      </c>
      <c r="C1834" s="8">
        <v>0</v>
      </c>
      <c r="D1834">
        <v>-0.1308792</v>
      </c>
      <c r="E1834">
        <v>9.4371099999999999E-2</v>
      </c>
      <c r="F1834">
        <v>9.1541800000000006E-2</v>
      </c>
      <c r="G1834">
        <v>2.2183440000000001</v>
      </c>
      <c r="H1834">
        <v>0.48964249999999998</v>
      </c>
      <c r="Q1834" s="10">
        <f t="shared" si="76"/>
        <v>1.230779145490656E-3</v>
      </c>
      <c r="AI1834">
        <v>0.28799599999999997</v>
      </c>
      <c r="AJ1834">
        <f t="shared" si="75"/>
        <v>0.28799599999999997</v>
      </c>
      <c r="AO1834">
        <v>0.28799599999999997</v>
      </c>
      <c r="AR1834" s="8">
        <v>0</v>
      </c>
      <c r="AS1834">
        <v>3.3869120000000001</v>
      </c>
    </row>
    <row r="1835" spans="1:45" x14ac:dyDescent="0.25">
      <c r="A1835">
        <v>334</v>
      </c>
      <c r="B1835">
        <v>1999</v>
      </c>
      <c r="C1835" s="8">
        <v>0</v>
      </c>
      <c r="D1835">
        <v>0.35917460000000001</v>
      </c>
      <c r="E1835">
        <v>-1.6127359999999999</v>
      </c>
      <c r="F1835">
        <v>0.10970779999999999</v>
      </c>
      <c r="G1835">
        <v>0.14214370000000001</v>
      </c>
      <c r="H1835">
        <v>0.34761229999999999</v>
      </c>
      <c r="Q1835" s="10">
        <f t="shared" si="76"/>
        <v>0.28123554535583523</v>
      </c>
      <c r="AI1835">
        <v>0.2191293</v>
      </c>
      <c r="AJ1835">
        <f t="shared" si="75"/>
        <v>0.2191293</v>
      </c>
      <c r="AO1835">
        <v>0.2191293</v>
      </c>
      <c r="AR1835" s="8">
        <v>0</v>
      </c>
      <c r="AS1835">
        <v>3.038001</v>
      </c>
    </row>
    <row r="1836" spans="1:45" x14ac:dyDescent="0.25">
      <c r="A1836">
        <v>334</v>
      </c>
      <c r="B1836">
        <v>2000</v>
      </c>
      <c r="C1836" s="8">
        <v>0</v>
      </c>
      <c r="D1836">
        <v>0.28799599999999997</v>
      </c>
      <c r="E1836">
        <v>-1.8197589999999999</v>
      </c>
      <c r="F1836">
        <v>0.1036501</v>
      </c>
      <c r="G1836">
        <v>0.10348400000000001</v>
      </c>
      <c r="H1836">
        <v>0.41119889999999998</v>
      </c>
      <c r="Q1836" s="10">
        <f t="shared" si="76"/>
        <v>0.37347170142600877</v>
      </c>
      <c r="AI1836">
        <v>0.20928069999999999</v>
      </c>
      <c r="AJ1836">
        <f t="shared" si="75"/>
        <v>0.20928069999999999</v>
      </c>
      <c r="AO1836">
        <v>0.20928069999999999</v>
      </c>
      <c r="AR1836" s="8">
        <v>0</v>
      </c>
      <c r="AS1836">
        <v>2.2183440000000001</v>
      </c>
    </row>
    <row r="1837" spans="1:45" x14ac:dyDescent="0.25">
      <c r="A1837">
        <v>334</v>
      </c>
      <c r="B1837">
        <v>2001</v>
      </c>
      <c r="C1837" s="8">
        <v>0</v>
      </c>
      <c r="D1837">
        <v>0.2191293</v>
      </c>
      <c r="E1837">
        <v>-1.802265</v>
      </c>
      <c r="F1837">
        <v>9.7609199999999993E-2</v>
      </c>
      <c r="G1837">
        <v>0.14084160000000001</v>
      </c>
      <c r="H1837">
        <v>0.40312710000000002</v>
      </c>
      <c r="Q1837" s="10">
        <f t="shared" si="76"/>
        <v>0.35719951503991332</v>
      </c>
      <c r="AI1837">
        <v>0.25325700000000001</v>
      </c>
      <c r="AJ1837">
        <f t="shared" si="75"/>
        <v>0.25325700000000001</v>
      </c>
      <c r="AO1837">
        <v>0.25325700000000001</v>
      </c>
      <c r="AR1837" s="8">
        <v>0</v>
      </c>
      <c r="AS1837">
        <v>0.14214370000000001</v>
      </c>
    </row>
    <row r="1838" spans="1:45" x14ac:dyDescent="0.25">
      <c r="A1838">
        <v>334</v>
      </c>
      <c r="B1838">
        <v>2002</v>
      </c>
      <c r="C1838" s="8">
        <v>0</v>
      </c>
      <c r="D1838">
        <v>0.20928069999999999</v>
      </c>
      <c r="E1838">
        <v>-1.717363</v>
      </c>
      <c r="F1838">
        <v>0.10513840000000001</v>
      </c>
      <c r="G1838">
        <v>0.1554411</v>
      </c>
      <c r="H1838">
        <v>0.42604540000000002</v>
      </c>
      <c r="Q1838" s="10">
        <f t="shared" si="76"/>
        <v>0.31338105154488838</v>
      </c>
      <c r="AI1838">
        <v>0.31210009999999999</v>
      </c>
      <c r="AJ1838">
        <f t="shared" si="75"/>
        <v>0.31210009999999999</v>
      </c>
      <c r="AO1838">
        <v>0.31210009999999999</v>
      </c>
      <c r="AR1838" s="8">
        <v>0</v>
      </c>
      <c r="AS1838">
        <v>0.10348400000000001</v>
      </c>
    </row>
    <row r="1839" spans="1:45" x14ac:dyDescent="0.25">
      <c r="A1839">
        <v>334</v>
      </c>
      <c r="B1839">
        <v>2003</v>
      </c>
      <c r="C1839" s="8">
        <v>0</v>
      </c>
      <c r="D1839">
        <v>0.25325700000000001</v>
      </c>
      <c r="E1839">
        <v>-1.5575330000000001</v>
      </c>
      <c r="F1839">
        <v>0.1146962</v>
      </c>
      <c r="G1839">
        <v>0.32777659999999997</v>
      </c>
      <c r="H1839">
        <v>0.45876420000000001</v>
      </c>
      <c r="Q1839" s="10">
        <f t="shared" si="76"/>
        <v>0.20926823388044574</v>
      </c>
      <c r="AI1839">
        <v>0.38643179999999999</v>
      </c>
      <c r="AJ1839">
        <f t="shared" si="75"/>
        <v>0.38643179999999999</v>
      </c>
      <c r="AO1839">
        <v>0.38643179999999999</v>
      </c>
      <c r="AR1839" s="8">
        <v>0</v>
      </c>
      <c r="AS1839">
        <v>0.14084160000000001</v>
      </c>
    </row>
    <row r="1840" spans="1:45" x14ac:dyDescent="0.25">
      <c r="A1840">
        <v>334</v>
      </c>
      <c r="B1840">
        <v>2004</v>
      </c>
      <c r="C1840" s="8">
        <v>0</v>
      </c>
      <c r="D1840">
        <v>0.31210009999999999</v>
      </c>
      <c r="E1840">
        <v>-1.5414140000000001</v>
      </c>
      <c r="F1840">
        <v>0.13111809999999999</v>
      </c>
      <c r="G1840">
        <v>0.49606689999999998</v>
      </c>
      <c r="H1840">
        <v>0.4858828</v>
      </c>
      <c r="Q1840" s="10">
        <f t="shared" si="76"/>
        <v>0.15301651667375599</v>
      </c>
      <c r="AI1840">
        <v>0.33778019999999997</v>
      </c>
      <c r="AJ1840">
        <f t="shared" si="75"/>
        <v>0.33778019999999997</v>
      </c>
      <c r="AO1840">
        <v>0.33778019999999997</v>
      </c>
      <c r="AR1840" s="8">
        <v>0</v>
      </c>
      <c r="AS1840">
        <v>0.1554411</v>
      </c>
    </row>
    <row r="1841" spans="1:45" x14ac:dyDescent="0.25">
      <c r="A1841">
        <v>335</v>
      </c>
      <c r="B1841">
        <v>1995</v>
      </c>
      <c r="C1841" s="8">
        <v>0</v>
      </c>
      <c r="D1841">
        <v>0.38643179999999999</v>
      </c>
      <c r="E1841">
        <v>0.246837</v>
      </c>
      <c r="F1841">
        <v>4.5046000000000003E-2</v>
      </c>
      <c r="G1841">
        <v>0.29635489999999998</v>
      </c>
      <c r="H1841">
        <v>0.71106740000000002</v>
      </c>
      <c r="Q1841" s="10">
        <f t="shared" si="76"/>
        <v>4.1719204289665572E-2</v>
      </c>
      <c r="AI1841">
        <v>0.33445809999999998</v>
      </c>
      <c r="AJ1841">
        <f t="shared" si="75"/>
        <v>0.33445809999999998</v>
      </c>
      <c r="AO1841">
        <v>0.33445809999999998</v>
      </c>
      <c r="AR1841" s="8">
        <v>0</v>
      </c>
      <c r="AS1841">
        <v>0.32777659999999997</v>
      </c>
    </row>
    <row r="1842" spans="1:45" x14ac:dyDescent="0.25">
      <c r="A1842">
        <v>335</v>
      </c>
      <c r="B1842">
        <v>1996</v>
      </c>
      <c r="C1842" s="8">
        <v>0</v>
      </c>
      <c r="D1842">
        <v>0.33778019999999997</v>
      </c>
      <c r="E1842">
        <v>0.25388129999999998</v>
      </c>
      <c r="F1842">
        <v>4.3602000000000002E-2</v>
      </c>
      <c r="G1842">
        <v>0.62243959999999998</v>
      </c>
      <c r="H1842">
        <v>0.69777040000000001</v>
      </c>
      <c r="Q1842" s="10">
        <f t="shared" si="76"/>
        <v>2.4580378605975079E-2</v>
      </c>
      <c r="AI1842">
        <v>6.7412000000000001E-3</v>
      </c>
      <c r="AJ1842">
        <f t="shared" si="75"/>
        <v>6.7412000000000001E-3</v>
      </c>
      <c r="AO1842">
        <v>6.7412000000000001E-3</v>
      </c>
      <c r="AR1842" s="8">
        <v>0</v>
      </c>
      <c r="AS1842">
        <v>0.49606689999999998</v>
      </c>
    </row>
    <row r="1843" spans="1:45" x14ac:dyDescent="0.25">
      <c r="A1843">
        <v>335</v>
      </c>
      <c r="B1843">
        <v>1997</v>
      </c>
      <c r="C1843" s="8">
        <v>0</v>
      </c>
      <c r="D1843">
        <v>0.33445809999999998</v>
      </c>
      <c r="E1843">
        <v>0.2847442</v>
      </c>
      <c r="F1843">
        <v>5.3331000000000003E-2</v>
      </c>
      <c r="G1843">
        <v>0.69244839999999996</v>
      </c>
      <c r="H1843">
        <v>0.74753349999999996</v>
      </c>
      <c r="Q1843" s="10">
        <f t="shared" si="76"/>
        <v>2.0119907797900689E-2</v>
      </c>
      <c r="AI1843">
        <v>1.36261E-2</v>
      </c>
      <c r="AJ1843">
        <f t="shared" si="75"/>
        <v>1.36261E-2</v>
      </c>
      <c r="AO1843">
        <v>1.36261E-2</v>
      </c>
      <c r="AR1843" s="8">
        <v>0</v>
      </c>
      <c r="AS1843">
        <v>0.29635489999999998</v>
      </c>
    </row>
    <row r="1844" spans="1:45" x14ac:dyDescent="0.25">
      <c r="A1844">
        <v>336</v>
      </c>
      <c r="B1844">
        <v>1995</v>
      </c>
      <c r="C1844" s="8">
        <v>0</v>
      </c>
      <c r="D1844">
        <v>6.7412000000000001E-3</v>
      </c>
      <c r="E1844">
        <v>0.1129134</v>
      </c>
      <c r="F1844">
        <v>6.7600599999999997E-2</v>
      </c>
      <c r="G1844">
        <v>1.024583</v>
      </c>
      <c r="H1844">
        <v>0.29624060000000002</v>
      </c>
      <c r="Q1844" s="10">
        <f t="shared" si="76"/>
        <v>9.0599934292567297E-3</v>
      </c>
      <c r="AI1844">
        <v>-7.3302099999999995E-2</v>
      </c>
      <c r="AJ1844">
        <f t="shared" si="75"/>
        <v>-7.3302099999999995E-2</v>
      </c>
      <c r="AO1844">
        <v>-7.3302099999999995E-2</v>
      </c>
      <c r="AR1844" s="8">
        <v>0</v>
      </c>
      <c r="AS1844">
        <v>0.62243959999999998</v>
      </c>
    </row>
    <row r="1845" spans="1:45" x14ac:dyDescent="0.25">
      <c r="A1845">
        <v>336</v>
      </c>
      <c r="B1845">
        <v>1996</v>
      </c>
      <c r="C1845" s="8">
        <v>0</v>
      </c>
      <c r="D1845">
        <v>1.36261E-2</v>
      </c>
      <c r="E1845">
        <v>0.1115126</v>
      </c>
      <c r="F1845">
        <v>5.4103699999999998E-2</v>
      </c>
      <c r="G1845">
        <v>1.0974109999999999</v>
      </c>
      <c r="H1845">
        <v>0.3166022</v>
      </c>
      <c r="Q1845" s="10">
        <f t="shared" si="76"/>
        <v>9.1448904736808195E-3</v>
      </c>
      <c r="AI1845">
        <v>-3.51642E-2</v>
      </c>
      <c r="AJ1845">
        <f t="shared" si="75"/>
        <v>-3.51642E-2</v>
      </c>
      <c r="AO1845">
        <v>-3.51642E-2</v>
      </c>
      <c r="AR1845" s="8">
        <v>0</v>
      </c>
      <c r="AS1845">
        <v>0.69244839999999996</v>
      </c>
    </row>
    <row r="1846" spans="1:45" x14ac:dyDescent="0.25">
      <c r="A1846">
        <v>336</v>
      </c>
      <c r="B1846">
        <v>1997</v>
      </c>
      <c r="C1846" s="8">
        <v>0</v>
      </c>
      <c r="D1846">
        <v>-7.3302099999999995E-2</v>
      </c>
      <c r="E1846">
        <v>0.1148883</v>
      </c>
      <c r="F1846">
        <v>4.45884E-2</v>
      </c>
      <c r="G1846">
        <v>1.0451239999999999</v>
      </c>
      <c r="H1846">
        <v>0.37328430000000001</v>
      </c>
      <c r="Q1846" s="10">
        <f t="shared" si="76"/>
        <v>1.0647357455691141E-2</v>
      </c>
      <c r="AI1846">
        <v>-5.4685900000000003E-2</v>
      </c>
      <c r="AJ1846">
        <f t="shared" si="75"/>
        <v>-5.4685900000000003E-2</v>
      </c>
      <c r="AO1846">
        <v>-5.4685900000000003E-2</v>
      </c>
      <c r="AR1846" s="8">
        <v>0</v>
      </c>
      <c r="AS1846">
        <v>1.024583</v>
      </c>
    </row>
    <row r="1847" spans="1:45" x14ac:dyDescent="0.25">
      <c r="A1847">
        <v>336</v>
      </c>
      <c r="B1847">
        <v>1998</v>
      </c>
      <c r="C1847" s="8">
        <v>0</v>
      </c>
      <c r="D1847">
        <v>-3.51642E-2</v>
      </c>
      <c r="E1847">
        <v>5.2313400000000003E-2</v>
      </c>
      <c r="F1847">
        <v>4.1253999999999999E-2</v>
      </c>
      <c r="G1847">
        <v>0.23784340000000001</v>
      </c>
      <c r="H1847">
        <v>0.15551309999999999</v>
      </c>
      <c r="Q1847" s="10">
        <f t="shared" si="76"/>
        <v>3.7443581992969432E-2</v>
      </c>
      <c r="AI1847">
        <v>-7.0713100000000001E-2</v>
      </c>
      <c r="AJ1847">
        <f t="shared" si="75"/>
        <v>-7.0713100000000001E-2</v>
      </c>
      <c r="AO1847">
        <v>-7.0713100000000001E-2</v>
      </c>
      <c r="AR1847" s="8">
        <v>0</v>
      </c>
      <c r="AS1847">
        <v>1.0974109999999999</v>
      </c>
    </row>
    <row r="1848" spans="1:45" x14ac:dyDescent="0.25">
      <c r="A1848">
        <v>336</v>
      </c>
      <c r="B1848">
        <v>1999</v>
      </c>
      <c r="C1848" s="8">
        <v>0</v>
      </c>
      <c r="D1848">
        <v>-5.4685900000000003E-2</v>
      </c>
      <c r="E1848">
        <v>1.4279699999999999E-2</v>
      </c>
      <c r="F1848">
        <v>4.4648300000000002E-2</v>
      </c>
      <c r="G1848">
        <v>0.32234040000000003</v>
      </c>
      <c r="H1848">
        <v>6.8800399999999998E-2</v>
      </c>
      <c r="Q1848" s="10">
        <f t="shared" si="76"/>
        <v>3.1827238915924573E-2</v>
      </c>
      <c r="AI1848">
        <v>-4.4514699999999997E-2</v>
      </c>
      <c r="AJ1848">
        <f t="shared" si="75"/>
        <v>-4.4514699999999997E-2</v>
      </c>
      <c r="AO1848">
        <v>-4.4514699999999997E-2</v>
      </c>
      <c r="AR1848" s="8">
        <v>0</v>
      </c>
      <c r="AS1848">
        <v>1.0451239999999999</v>
      </c>
    </row>
    <row r="1849" spans="1:45" x14ac:dyDescent="0.25">
      <c r="A1849">
        <v>336</v>
      </c>
      <c r="B1849">
        <v>2000</v>
      </c>
      <c r="C1849" s="8">
        <v>0</v>
      </c>
      <c r="D1849">
        <v>-7.0713100000000001E-2</v>
      </c>
      <c r="E1849">
        <v>2.8830000000000001E-2</v>
      </c>
      <c r="F1849">
        <v>5.36506E-2</v>
      </c>
      <c r="G1849">
        <v>0.92660810000000005</v>
      </c>
      <c r="H1849">
        <v>0.1332729</v>
      </c>
      <c r="Q1849" s="10">
        <f t="shared" si="76"/>
        <v>1.1682655275452323E-2</v>
      </c>
      <c r="AI1849">
        <v>-6.7118000000000004E-3</v>
      </c>
      <c r="AJ1849">
        <f t="shared" si="75"/>
        <v>-6.7118000000000004E-3</v>
      </c>
      <c r="AO1849">
        <v>-6.7118000000000004E-3</v>
      </c>
      <c r="AR1849" s="8">
        <v>0</v>
      </c>
      <c r="AS1849">
        <v>0.23784340000000001</v>
      </c>
    </row>
    <row r="1850" spans="1:45" x14ac:dyDescent="0.25">
      <c r="A1850">
        <v>336</v>
      </c>
      <c r="B1850">
        <v>2001</v>
      </c>
      <c r="C1850" s="8">
        <v>0</v>
      </c>
      <c r="D1850">
        <v>-4.4514699999999997E-2</v>
      </c>
      <c r="E1850">
        <v>4.5358299999999997E-2</v>
      </c>
      <c r="F1850">
        <v>3.5160400000000001E-2</v>
      </c>
      <c r="G1850">
        <v>0.8789399</v>
      </c>
      <c r="H1850">
        <v>6.2482099999999999E-2</v>
      </c>
      <c r="Q1850" s="10">
        <f t="shared" si="76"/>
        <v>1.3774348349841816E-2</v>
      </c>
      <c r="AI1850">
        <v>2.2006999999999999E-2</v>
      </c>
      <c r="AJ1850">
        <f t="shared" si="75"/>
        <v>2.2006999999999999E-2</v>
      </c>
      <c r="AO1850">
        <v>2.2006999999999999E-2</v>
      </c>
      <c r="AR1850" s="8">
        <v>0</v>
      </c>
      <c r="AS1850">
        <v>0.32234040000000003</v>
      </c>
    </row>
    <row r="1851" spans="1:45" x14ac:dyDescent="0.25">
      <c r="A1851">
        <v>336</v>
      </c>
      <c r="B1851">
        <v>2002</v>
      </c>
      <c r="C1851" s="8">
        <v>0</v>
      </c>
      <c r="D1851">
        <v>-6.7118000000000004E-3</v>
      </c>
      <c r="E1851">
        <v>6.5523499999999998E-2</v>
      </c>
      <c r="F1851">
        <v>3.0388999999999999E-2</v>
      </c>
      <c r="G1851">
        <v>0.67616310000000002</v>
      </c>
      <c r="H1851">
        <v>5.4667E-2</v>
      </c>
      <c r="Q1851" s="10">
        <f t="shared" si="76"/>
        <v>1.9298041443544398E-2</v>
      </c>
      <c r="AI1851">
        <v>-5.5668999999999996E-3</v>
      </c>
      <c r="AJ1851">
        <f t="shared" si="75"/>
        <v>-5.5668999999999996E-3</v>
      </c>
      <c r="AO1851">
        <v>-5.5668999999999996E-3</v>
      </c>
      <c r="AR1851" s="8">
        <v>0</v>
      </c>
      <c r="AS1851">
        <v>0.92660810000000005</v>
      </c>
    </row>
    <row r="1852" spans="1:45" x14ac:dyDescent="0.25">
      <c r="A1852">
        <v>336</v>
      </c>
      <c r="B1852">
        <v>2003</v>
      </c>
      <c r="C1852" s="8">
        <v>0</v>
      </c>
      <c r="D1852">
        <v>2.2006999999999999E-2</v>
      </c>
      <c r="E1852">
        <v>9.53296E-2</v>
      </c>
      <c r="F1852">
        <v>5.1310300000000003E-2</v>
      </c>
      <c r="G1852">
        <v>1.0139</v>
      </c>
      <c r="H1852">
        <v>5.1939399999999997E-2</v>
      </c>
      <c r="Q1852" s="10">
        <f t="shared" si="76"/>
        <v>9.3132579213266418E-3</v>
      </c>
      <c r="AI1852">
        <v>0.43257679999999998</v>
      </c>
      <c r="AJ1852">
        <f t="shared" si="75"/>
        <v>0.43257679999999998</v>
      </c>
      <c r="AO1852">
        <v>0.43257679999999998</v>
      </c>
      <c r="AR1852" s="8">
        <v>0</v>
      </c>
      <c r="AS1852">
        <v>0.8789399</v>
      </c>
    </row>
    <row r="1853" spans="1:45" x14ac:dyDescent="0.25">
      <c r="A1853">
        <v>336</v>
      </c>
      <c r="B1853">
        <v>2004</v>
      </c>
      <c r="C1853" s="8">
        <v>0</v>
      </c>
      <c r="D1853">
        <v>-5.5668999999999996E-3</v>
      </c>
      <c r="E1853">
        <v>0.1056491</v>
      </c>
      <c r="F1853">
        <v>3.8063E-2</v>
      </c>
      <c r="G1853">
        <v>1.2749090000000001</v>
      </c>
      <c r="H1853">
        <v>5.7226100000000002E-2</v>
      </c>
      <c r="Q1853" s="10">
        <f t="shared" si="76"/>
        <v>6.6922469510098661E-3</v>
      </c>
      <c r="AI1853">
        <v>0.48795759999999999</v>
      </c>
      <c r="AJ1853">
        <f t="shared" si="75"/>
        <v>0.48795759999999999</v>
      </c>
      <c r="AO1853">
        <v>0.48795759999999999</v>
      </c>
      <c r="AR1853" s="8">
        <v>0</v>
      </c>
      <c r="AS1853">
        <v>0.67616310000000002</v>
      </c>
    </row>
    <row r="1854" spans="1:45" x14ac:dyDescent="0.25">
      <c r="A1854">
        <v>337</v>
      </c>
      <c r="B1854">
        <v>1995</v>
      </c>
      <c r="C1854" s="8">
        <v>0</v>
      </c>
      <c r="D1854">
        <v>0.43257679999999998</v>
      </c>
      <c r="E1854">
        <v>0.2639415</v>
      </c>
      <c r="F1854">
        <v>5.71242E-2</v>
      </c>
      <c r="G1854">
        <v>0.760965</v>
      </c>
      <c r="H1854">
        <v>0.5121329</v>
      </c>
      <c r="Q1854" s="10">
        <f t="shared" si="76"/>
        <v>1.6298884938502668E-2</v>
      </c>
      <c r="AI1854">
        <v>0.49344909999999997</v>
      </c>
      <c r="AJ1854">
        <f t="shared" si="75"/>
        <v>0.49344909999999997</v>
      </c>
      <c r="AO1854">
        <v>0.49344909999999997</v>
      </c>
      <c r="AR1854" s="8">
        <v>0</v>
      </c>
      <c r="AS1854">
        <v>1.0139</v>
      </c>
    </row>
    <row r="1855" spans="1:45" x14ac:dyDescent="0.25">
      <c r="A1855">
        <v>337</v>
      </c>
      <c r="B1855">
        <v>1996</v>
      </c>
      <c r="C1855" s="8">
        <v>0</v>
      </c>
      <c r="D1855">
        <v>0.48795759999999999</v>
      </c>
      <c r="E1855">
        <v>0.27622449999999998</v>
      </c>
      <c r="F1855">
        <v>5.2134199999999999E-2</v>
      </c>
      <c r="G1855">
        <v>0.87608050000000004</v>
      </c>
      <c r="H1855">
        <v>0.49092439999999998</v>
      </c>
      <c r="Q1855" s="10">
        <f t="shared" si="76"/>
        <v>1.4038536662076566E-2</v>
      </c>
      <c r="AI1855">
        <v>0.52307099999999995</v>
      </c>
      <c r="AJ1855">
        <f t="shared" si="75"/>
        <v>0.52051970800000003</v>
      </c>
      <c r="AO1855">
        <v>0.52051970800000003</v>
      </c>
      <c r="AR1855" s="8">
        <v>0</v>
      </c>
      <c r="AS1855">
        <v>1.2749090000000001</v>
      </c>
    </row>
    <row r="1856" spans="1:45" x14ac:dyDescent="0.25">
      <c r="A1856">
        <v>337</v>
      </c>
      <c r="B1856">
        <v>1997</v>
      </c>
      <c r="C1856" s="8">
        <v>0</v>
      </c>
      <c r="D1856">
        <v>0.49344909999999997</v>
      </c>
      <c r="E1856">
        <v>0.35413559999999999</v>
      </c>
      <c r="F1856">
        <v>5.17233E-2</v>
      </c>
      <c r="G1856">
        <v>1.116679</v>
      </c>
      <c r="H1856">
        <v>0.48898760000000002</v>
      </c>
      <c r="Q1856" s="10">
        <f t="shared" si="76"/>
        <v>8.6273796286316894E-3</v>
      </c>
      <c r="AI1856">
        <v>-7.1533999999999999E-3</v>
      </c>
      <c r="AJ1856">
        <f t="shared" si="75"/>
        <v>-7.1533999999999999E-3</v>
      </c>
      <c r="AO1856">
        <v>-7.1533999999999999E-3</v>
      </c>
      <c r="AR1856" s="8">
        <v>0</v>
      </c>
      <c r="AS1856">
        <v>0.760965</v>
      </c>
    </row>
    <row r="1857" spans="1:45" x14ac:dyDescent="0.25">
      <c r="A1857">
        <v>337</v>
      </c>
      <c r="B1857">
        <v>1998</v>
      </c>
      <c r="C1857" s="8">
        <v>0</v>
      </c>
      <c r="D1857">
        <v>0.52307099999999995</v>
      </c>
      <c r="E1857">
        <v>0.3766312</v>
      </c>
      <c r="F1857">
        <v>3.0161400000000001E-2</v>
      </c>
      <c r="G1857">
        <v>1.368995</v>
      </c>
      <c r="H1857">
        <v>0.4789465</v>
      </c>
      <c r="Q1857" s="10">
        <f t="shared" si="76"/>
        <v>6.6900550364963436E-3</v>
      </c>
      <c r="AI1857">
        <v>4.9058900000000003E-2</v>
      </c>
      <c r="AJ1857">
        <f t="shared" si="75"/>
        <v>4.9058900000000003E-2</v>
      </c>
      <c r="AO1857">
        <v>4.9058900000000003E-2</v>
      </c>
      <c r="AR1857" s="8">
        <v>0</v>
      </c>
      <c r="AS1857">
        <v>0.87608050000000004</v>
      </c>
    </row>
    <row r="1858" spans="1:45" x14ac:dyDescent="0.25">
      <c r="A1858">
        <v>338</v>
      </c>
      <c r="B1858">
        <v>1995</v>
      </c>
      <c r="C1858" s="8">
        <v>0</v>
      </c>
      <c r="D1858">
        <v>-7.1533999999999999E-3</v>
      </c>
      <c r="E1858">
        <v>0.31322499999999998</v>
      </c>
      <c r="F1858">
        <v>4.31992E-2</v>
      </c>
      <c r="G1858">
        <v>1.3637319999999999</v>
      </c>
      <c r="H1858">
        <v>0.117284</v>
      </c>
      <c r="Q1858" s="10">
        <f t="shared" si="76"/>
        <v>4.2865325283348394E-3</v>
      </c>
      <c r="AI1858">
        <v>-2.1881000000000001E-3</v>
      </c>
      <c r="AJ1858">
        <f t="shared" si="75"/>
        <v>-2.1881000000000001E-3</v>
      </c>
      <c r="AO1858">
        <v>-2.1881000000000001E-3</v>
      </c>
      <c r="AR1858" s="8">
        <v>0</v>
      </c>
      <c r="AS1858">
        <v>1.116679</v>
      </c>
    </row>
    <row r="1859" spans="1:45" x14ac:dyDescent="0.25">
      <c r="A1859">
        <v>338</v>
      </c>
      <c r="B1859">
        <v>1996</v>
      </c>
      <c r="C1859" s="8">
        <v>0</v>
      </c>
      <c r="D1859">
        <v>4.9058900000000003E-2</v>
      </c>
      <c r="E1859">
        <v>0.3789613</v>
      </c>
      <c r="F1859">
        <v>6.5734699999999993E-2</v>
      </c>
      <c r="G1859">
        <v>1.2162329999999999</v>
      </c>
      <c r="H1859">
        <v>0.1401551</v>
      </c>
      <c r="Q1859" s="10">
        <f t="shared" si="76"/>
        <v>4.2723708646150542E-3</v>
      </c>
      <c r="AI1859">
        <v>0.1035494</v>
      </c>
      <c r="AJ1859">
        <f t="shared" si="75"/>
        <v>0.1035494</v>
      </c>
      <c r="AO1859">
        <v>0.1035494</v>
      </c>
      <c r="AR1859" s="8">
        <v>0</v>
      </c>
      <c r="AS1859">
        <v>1.368995</v>
      </c>
    </row>
    <row r="1860" spans="1:45" x14ac:dyDescent="0.25">
      <c r="A1860">
        <v>338</v>
      </c>
      <c r="B1860">
        <v>1997</v>
      </c>
      <c r="C1860" s="8">
        <v>0</v>
      </c>
      <c r="D1860">
        <v>-2.1881000000000001E-3</v>
      </c>
      <c r="E1860">
        <v>0.31206709999999999</v>
      </c>
      <c r="F1860">
        <v>6.8880800000000006E-2</v>
      </c>
      <c r="G1860">
        <v>2.0081760000000002</v>
      </c>
      <c r="H1860">
        <v>0.15299450000000001</v>
      </c>
      <c r="Q1860" s="10">
        <f t="shared" si="76"/>
        <v>1.2865283566274963E-3</v>
      </c>
      <c r="AI1860">
        <v>0.12795339999999999</v>
      </c>
      <c r="AJ1860">
        <f t="shared" si="75"/>
        <v>0.12795339999999999</v>
      </c>
      <c r="AO1860">
        <v>0.12795339999999999</v>
      </c>
      <c r="AR1860" s="8">
        <v>0</v>
      </c>
      <c r="AS1860">
        <v>1.3637319999999999</v>
      </c>
    </row>
    <row r="1861" spans="1:45" x14ac:dyDescent="0.25">
      <c r="A1861">
        <v>338</v>
      </c>
      <c r="B1861">
        <v>1998</v>
      </c>
      <c r="C1861" s="8">
        <v>0</v>
      </c>
      <c r="D1861">
        <v>0.1035494</v>
      </c>
      <c r="E1861">
        <v>0.378243</v>
      </c>
      <c r="F1861">
        <v>7.0190900000000001E-2</v>
      </c>
      <c r="G1861">
        <v>3.2131069999999999</v>
      </c>
      <c r="H1861">
        <v>0.147233</v>
      </c>
      <c r="Q1861" s="10">
        <f t="shared" si="76"/>
        <v>1.7665312767041146E-4</v>
      </c>
      <c r="AI1861">
        <v>6.4568999999999998E-3</v>
      </c>
      <c r="AJ1861">
        <f t="shared" ref="AJ1861:AJ1924" si="77">MAX(MIN(AI1861,AM$5),AM$4)</f>
        <v>6.4568999999999998E-3</v>
      </c>
      <c r="AO1861">
        <v>6.4568999999999998E-3</v>
      </c>
      <c r="AR1861" s="8">
        <v>0</v>
      </c>
      <c r="AS1861">
        <v>1.2162329999999999</v>
      </c>
    </row>
    <row r="1862" spans="1:45" x14ac:dyDescent="0.25">
      <c r="A1862">
        <v>338</v>
      </c>
      <c r="B1862">
        <v>1999</v>
      </c>
      <c r="C1862" s="8">
        <v>0</v>
      </c>
      <c r="D1862">
        <v>0.12795339999999999</v>
      </c>
      <c r="E1862">
        <v>0.45097500000000001</v>
      </c>
      <c r="F1862">
        <v>3.0689500000000002E-2</v>
      </c>
      <c r="G1862">
        <v>4.6013549999999999</v>
      </c>
      <c r="H1862">
        <v>7.6998899999999995E-2</v>
      </c>
      <c r="Q1862" s="10">
        <f t="shared" si="76"/>
        <v>2.3077203270067109E-5</v>
      </c>
      <c r="AI1862">
        <v>2.8592800000000002E-2</v>
      </c>
      <c r="AJ1862">
        <f t="shared" si="77"/>
        <v>2.8592800000000002E-2</v>
      </c>
      <c r="AO1862">
        <v>2.8592800000000002E-2</v>
      </c>
      <c r="AR1862" s="8">
        <v>0</v>
      </c>
      <c r="AS1862">
        <v>2.0081760000000002</v>
      </c>
    </row>
    <row r="1863" spans="1:45" x14ac:dyDescent="0.25">
      <c r="A1863">
        <v>338</v>
      </c>
      <c r="B1863">
        <v>2000</v>
      </c>
      <c r="C1863" s="8">
        <v>0</v>
      </c>
      <c r="D1863">
        <v>6.4568999999999998E-3</v>
      </c>
      <c r="E1863">
        <v>0.3561723</v>
      </c>
      <c r="F1863">
        <v>2.3370499999999999E-2</v>
      </c>
      <c r="G1863">
        <v>0.48823759999999999</v>
      </c>
      <c r="H1863">
        <v>0.1069413</v>
      </c>
      <c r="Q1863" s="10">
        <f t="shared" ref="Q1863:Q1926" si="78">1/(1+EXP(-(J$6+SUMPRODUCT(K$6:O$6,D1863:H1863))))</f>
        <v>1.8754233200909572E-2</v>
      </c>
      <c r="AI1863">
        <v>3.6834600000000002E-2</v>
      </c>
      <c r="AJ1863">
        <f t="shared" si="77"/>
        <v>3.6834600000000002E-2</v>
      </c>
      <c r="AO1863">
        <v>3.6834600000000002E-2</v>
      </c>
      <c r="AR1863" s="8">
        <v>0</v>
      </c>
      <c r="AS1863">
        <v>3.2131069999999999</v>
      </c>
    </row>
    <row r="1864" spans="1:45" x14ac:dyDescent="0.25">
      <c r="A1864">
        <v>338</v>
      </c>
      <c r="B1864">
        <v>2001</v>
      </c>
      <c r="C1864" s="8">
        <v>0</v>
      </c>
      <c r="D1864">
        <v>2.8592800000000002E-2</v>
      </c>
      <c r="E1864">
        <v>0.36081039999999998</v>
      </c>
      <c r="F1864">
        <v>4.2749099999999998E-2</v>
      </c>
      <c r="G1864">
        <v>0.67075430000000003</v>
      </c>
      <c r="H1864">
        <v>9.5463900000000004E-2</v>
      </c>
      <c r="Q1864" s="10">
        <f t="shared" si="78"/>
        <v>1.2033489130464366E-2</v>
      </c>
      <c r="AI1864">
        <v>7.9368999999999995E-2</v>
      </c>
      <c r="AJ1864">
        <f t="shared" si="77"/>
        <v>7.9368999999999995E-2</v>
      </c>
      <c r="AO1864">
        <v>7.9368999999999995E-2</v>
      </c>
      <c r="AR1864" s="8">
        <v>0</v>
      </c>
      <c r="AS1864">
        <v>4.6013549999999999</v>
      </c>
    </row>
    <row r="1865" spans="1:45" x14ac:dyDescent="0.25">
      <c r="A1865">
        <v>338</v>
      </c>
      <c r="B1865">
        <v>2002</v>
      </c>
      <c r="C1865" s="8">
        <v>0</v>
      </c>
      <c r="D1865">
        <v>3.6834600000000002E-2</v>
      </c>
      <c r="E1865">
        <v>0.40633789999999997</v>
      </c>
      <c r="F1865">
        <v>4.3839299999999998E-2</v>
      </c>
      <c r="G1865">
        <v>0.60774930000000005</v>
      </c>
      <c r="H1865">
        <v>9.0366299999999997E-2</v>
      </c>
      <c r="Q1865" s="10">
        <f t="shared" si="78"/>
        <v>1.2343405482715798E-2</v>
      </c>
      <c r="AI1865">
        <v>2.05258E-2</v>
      </c>
      <c r="AJ1865">
        <f t="shared" si="77"/>
        <v>2.05258E-2</v>
      </c>
      <c r="AO1865">
        <v>2.05258E-2</v>
      </c>
      <c r="AR1865" s="8">
        <v>0</v>
      </c>
      <c r="AS1865">
        <v>0.48823759999999999</v>
      </c>
    </row>
    <row r="1866" spans="1:45" x14ac:dyDescent="0.25">
      <c r="A1866">
        <v>338</v>
      </c>
      <c r="B1866">
        <v>2003</v>
      </c>
      <c r="C1866" s="8">
        <v>0</v>
      </c>
      <c r="D1866">
        <v>7.9368999999999995E-2</v>
      </c>
      <c r="E1866">
        <v>0.41834529999999998</v>
      </c>
      <c r="F1866">
        <v>3.4604999999999997E-2</v>
      </c>
      <c r="G1866">
        <v>0.78409180000000001</v>
      </c>
      <c r="H1866">
        <v>0.1037134</v>
      </c>
      <c r="Q1866" s="10">
        <f t="shared" si="78"/>
        <v>1.0141487732603932E-2</v>
      </c>
      <c r="AI1866">
        <v>1.07908E-2</v>
      </c>
      <c r="AJ1866">
        <f t="shared" si="77"/>
        <v>1.07908E-2</v>
      </c>
      <c r="AO1866">
        <v>1.07908E-2</v>
      </c>
      <c r="AR1866" s="8">
        <v>0</v>
      </c>
      <c r="AS1866">
        <v>0.67075430000000003</v>
      </c>
    </row>
    <row r="1867" spans="1:45" x14ac:dyDescent="0.25">
      <c r="A1867">
        <v>338</v>
      </c>
      <c r="B1867">
        <v>2004</v>
      </c>
      <c r="C1867" s="8">
        <v>0</v>
      </c>
      <c r="D1867">
        <v>2.05258E-2</v>
      </c>
      <c r="E1867">
        <v>0.36917689999999997</v>
      </c>
      <c r="F1867">
        <v>3.9587900000000002E-2</v>
      </c>
      <c r="G1867">
        <v>0.81857449999999998</v>
      </c>
      <c r="H1867">
        <v>0.1048206</v>
      </c>
      <c r="Q1867" s="10">
        <f t="shared" si="78"/>
        <v>9.6802177719131077E-3</v>
      </c>
      <c r="AI1867">
        <v>-0.10420749999999999</v>
      </c>
      <c r="AJ1867">
        <f t="shared" si="77"/>
        <v>-0.10420749999999999</v>
      </c>
      <c r="AO1867">
        <v>-0.10420749999999999</v>
      </c>
      <c r="AR1867" s="8">
        <v>0</v>
      </c>
      <c r="AS1867">
        <v>0.60774930000000005</v>
      </c>
    </row>
    <row r="1868" spans="1:45" x14ac:dyDescent="0.25">
      <c r="A1868">
        <v>339</v>
      </c>
      <c r="B1868">
        <v>1995</v>
      </c>
      <c r="C1868" s="8">
        <v>0</v>
      </c>
      <c r="D1868">
        <v>1.07908E-2</v>
      </c>
      <c r="E1868">
        <v>0.13428880000000001</v>
      </c>
      <c r="F1868">
        <v>2.26622E-2</v>
      </c>
      <c r="G1868">
        <v>0.58636270000000001</v>
      </c>
      <c r="H1868">
        <v>0.10934339999999999</v>
      </c>
      <c r="Q1868" s="10">
        <f t="shared" si="78"/>
        <v>2.2265461154658019E-2</v>
      </c>
      <c r="AI1868">
        <v>-1.686E-3</v>
      </c>
      <c r="AJ1868">
        <f t="shared" si="77"/>
        <v>-1.686E-3</v>
      </c>
      <c r="AO1868">
        <v>-1.686E-3</v>
      </c>
      <c r="AR1868" s="8">
        <v>0</v>
      </c>
      <c r="AS1868">
        <v>0.78409180000000001</v>
      </c>
    </row>
    <row r="1869" spans="1:45" x14ac:dyDescent="0.25">
      <c r="A1869">
        <v>339</v>
      </c>
      <c r="B1869">
        <v>1996</v>
      </c>
      <c r="C1869" s="8">
        <v>0</v>
      </c>
      <c r="D1869">
        <v>-0.10420749999999999</v>
      </c>
      <c r="E1869">
        <v>0.1000177</v>
      </c>
      <c r="F1869">
        <v>3.6191000000000001E-2</v>
      </c>
      <c r="G1869">
        <v>0.42041499999999998</v>
      </c>
      <c r="H1869">
        <v>0.1056024</v>
      </c>
      <c r="Q1869" s="10">
        <f t="shared" si="78"/>
        <v>2.5929356760326538E-2</v>
      </c>
      <c r="AI1869">
        <v>2.0048000000000002E-3</v>
      </c>
      <c r="AJ1869">
        <f t="shared" si="77"/>
        <v>2.0048000000000002E-3</v>
      </c>
      <c r="AO1869">
        <v>2.0048000000000002E-3</v>
      </c>
      <c r="AR1869" s="8">
        <v>0</v>
      </c>
      <c r="AS1869">
        <v>0.81857449999999998</v>
      </c>
    </row>
    <row r="1870" spans="1:45" x14ac:dyDescent="0.25">
      <c r="A1870">
        <v>339</v>
      </c>
      <c r="B1870">
        <v>1997</v>
      </c>
      <c r="C1870" s="8">
        <v>0</v>
      </c>
      <c r="D1870">
        <v>-1.686E-3</v>
      </c>
      <c r="E1870">
        <v>0.16128100000000001</v>
      </c>
      <c r="F1870">
        <v>8.1659999999999996E-3</v>
      </c>
      <c r="G1870">
        <v>0.61126329999999995</v>
      </c>
      <c r="H1870">
        <v>0.1174553</v>
      </c>
      <c r="Q1870" s="10">
        <f t="shared" si="78"/>
        <v>2.3082725503974545E-2</v>
      </c>
      <c r="AI1870">
        <v>-6.6971500000000003E-2</v>
      </c>
      <c r="AJ1870">
        <f t="shared" si="77"/>
        <v>-6.6971500000000003E-2</v>
      </c>
      <c r="AO1870">
        <v>-6.6971500000000003E-2</v>
      </c>
      <c r="AR1870" s="8">
        <v>0</v>
      </c>
      <c r="AS1870">
        <v>0.58636270000000001</v>
      </c>
    </row>
    <row r="1871" spans="1:45" x14ac:dyDescent="0.25">
      <c r="A1871">
        <v>339</v>
      </c>
      <c r="B1871">
        <v>1998</v>
      </c>
      <c r="C1871" s="8">
        <v>0</v>
      </c>
      <c r="D1871">
        <v>2.0048000000000002E-3</v>
      </c>
      <c r="E1871">
        <v>0.12632399999999999</v>
      </c>
      <c r="F1871">
        <v>1.7809999999999999E-2</v>
      </c>
      <c r="G1871">
        <v>0.40642869999999998</v>
      </c>
      <c r="H1871">
        <v>9.67441E-2</v>
      </c>
      <c r="Q1871" s="10">
        <f t="shared" si="78"/>
        <v>3.057517093469456E-2</v>
      </c>
      <c r="AI1871">
        <v>-4.1897999999999996E-3</v>
      </c>
      <c r="AJ1871">
        <f t="shared" si="77"/>
        <v>-4.1897999999999996E-3</v>
      </c>
      <c r="AO1871">
        <v>-4.1897999999999996E-3</v>
      </c>
      <c r="AR1871" s="8">
        <v>0</v>
      </c>
      <c r="AS1871">
        <v>0.42041499999999998</v>
      </c>
    </row>
    <row r="1872" spans="1:45" x14ac:dyDescent="0.25">
      <c r="A1872">
        <v>339</v>
      </c>
      <c r="B1872">
        <v>1999</v>
      </c>
      <c r="C1872" s="8">
        <v>0</v>
      </c>
      <c r="D1872">
        <v>-6.6971500000000003E-2</v>
      </c>
      <c r="E1872">
        <v>0.1324911</v>
      </c>
      <c r="F1872">
        <v>1.5987399999999999E-2</v>
      </c>
      <c r="G1872">
        <v>0.2218868</v>
      </c>
      <c r="H1872">
        <v>8.5984599999999994E-2</v>
      </c>
      <c r="Q1872" s="10">
        <f t="shared" si="78"/>
        <v>3.9465272743562214E-2</v>
      </c>
      <c r="AI1872">
        <v>-2.5488400000000001E-2</v>
      </c>
      <c r="AJ1872">
        <f t="shared" si="77"/>
        <v>-2.5488400000000001E-2</v>
      </c>
      <c r="AO1872">
        <v>-2.5488400000000001E-2</v>
      </c>
      <c r="AR1872" s="8">
        <v>0</v>
      </c>
      <c r="AS1872">
        <v>0.61126329999999995</v>
      </c>
    </row>
    <row r="1873" spans="1:45" x14ac:dyDescent="0.25">
      <c r="A1873">
        <v>339</v>
      </c>
      <c r="B1873">
        <v>2000</v>
      </c>
      <c r="C1873" s="8">
        <v>0</v>
      </c>
      <c r="D1873">
        <v>-4.1897999999999996E-3</v>
      </c>
      <c r="E1873">
        <v>0.1070565</v>
      </c>
      <c r="F1873">
        <v>3.8946099999999997E-2</v>
      </c>
      <c r="G1873">
        <v>0.32173659999999998</v>
      </c>
      <c r="H1873">
        <v>0.10122920000000001</v>
      </c>
      <c r="Q1873" s="10">
        <f t="shared" si="78"/>
        <v>3.0401477036839247E-2</v>
      </c>
      <c r="AI1873">
        <v>-7.247E-4</v>
      </c>
      <c r="AJ1873">
        <f t="shared" si="77"/>
        <v>-7.247E-4</v>
      </c>
      <c r="AO1873">
        <v>-7.247E-4</v>
      </c>
      <c r="AR1873" s="8">
        <v>0</v>
      </c>
      <c r="AS1873">
        <v>0.40642869999999998</v>
      </c>
    </row>
    <row r="1874" spans="1:45" x14ac:dyDescent="0.25">
      <c r="A1874">
        <v>339</v>
      </c>
      <c r="B1874">
        <v>2001</v>
      </c>
      <c r="C1874" s="8">
        <v>0</v>
      </c>
      <c r="D1874">
        <v>-2.5488400000000001E-2</v>
      </c>
      <c r="E1874">
        <v>0.1122128</v>
      </c>
      <c r="F1874">
        <v>4.2870499999999999E-2</v>
      </c>
      <c r="G1874">
        <v>0.24747259999999999</v>
      </c>
      <c r="H1874">
        <v>6.9779900000000006E-2</v>
      </c>
      <c r="Q1874" s="10">
        <f t="shared" si="78"/>
        <v>3.1945752651757184E-2</v>
      </c>
      <c r="AI1874">
        <v>4.1288900000000003E-2</v>
      </c>
      <c r="AJ1874">
        <f t="shared" si="77"/>
        <v>4.1288900000000003E-2</v>
      </c>
      <c r="AO1874">
        <v>4.1288900000000003E-2</v>
      </c>
      <c r="AR1874" s="8">
        <v>0</v>
      </c>
      <c r="AS1874">
        <v>0.2218868</v>
      </c>
    </row>
    <row r="1875" spans="1:45" x14ac:dyDescent="0.25">
      <c r="A1875">
        <v>339</v>
      </c>
      <c r="B1875">
        <v>2002</v>
      </c>
      <c r="C1875" s="8">
        <v>0</v>
      </c>
      <c r="D1875">
        <v>-7.247E-4</v>
      </c>
      <c r="E1875">
        <v>5.7922E-3</v>
      </c>
      <c r="F1875">
        <v>4.6122099999999999E-2</v>
      </c>
      <c r="G1875">
        <v>0.16075519999999999</v>
      </c>
      <c r="H1875">
        <v>7.8265000000000001E-2</v>
      </c>
      <c r="Q1875" s="10">
        <f t="shared" si="78"/>
        <v>4.1934462108987089E-2</v>
      </c>
      <c r="AI1875">
        <v>2.9095599999999999E-2</v>
      </c>
      <c r="AJ1875">
        <f t="shared" si="77"/>
        <v>2.9095599999999999E-2</v>
      </c>
      <c r="AO1875">
        <v>2.9095599999999999E-2</v>
      </c>
      <c r="AR1875" s="8">
        <v>0</v>
      </c>
      <c r="AS1875">
        <v>0.32173659999999998</v>
      </c>
    </row>
    <row r="1876" spans="1:45" x14ac:dyDescent="0.25">
      <c r="A1876">
        <v>339</v>
      </c>
      <c r="B1876">
        <v>2003</v>
      </c>
      <c r="C1876" s="8">
        <v>0</v>
      </c>
      <c r="D1876">
        <v>4.1288900000000003E-2</v>
      </c>
      <c r="E1876">
        <v>1.2505499999999999E-2</v>
      </c>
      <c r="F1876">
        <v>3.4242099999999998E-2</v>
      </c>
      <c r="G1876">
        <v>0.34067029999999998</v>
      </c>
      <c r="H1876">
        <v>8.7765800000000005E-2</v>
      </c>
      <c r="Q1876" s="10">
        <f t="shared" si="78"/>
        <v>3.5333385116665353E-2</v>
      </c>
      <c r="AI1876">
        <v>-9.3621999999999993E-3</v>
      </c>
      <c r="AJ1876">
        <f t="shared" si="77"/>
        <v>-9.3621999999999993E-3</v>
      </c>
      <c r="AO1876">
        <v>-9.3621999999999993E-3</v>
      </c>
      <c r="AR1876" s="8">
        <v>0</v>
      </c>
      <c r="AS1876">
        <v>0.24747259999999999</v>
      </c>
    </row>
    <row r="1877" spans="1:45" x14ac:dyDescent="0.25">
      <c r="A1877">
        <v>339</v>
      </c>
      <c r="B1877">
        <v>2004</v>
      </c>
      <c r="C1877" s="8">
        <v>0</v>
      </c>
      <c r="D1877">
        <v>2.9095599999999999E-2</v>
      </c>
      <c r="E1877">
        <v>4.7631899999999998E-2</v>
      </c>
      <c r="F1877">
        <v>3.4573100000000002E-2</v>
      </c>
      <c r="G1877">
        <v>0.5635445</v>
      </c>
      <c r="H1877">
        <v>0.102502</v>
      </c>
      <c r="Q1877" s="10">
        <f t="shared" si="78"/>
        <v>2.385149039667013E-2</v>
      </c>
      <c r="AI1877">
        <v>-1.08728E-2</v>
      </c>
      <c r="AJ1877">
        <f t="shared" si="77"/>
        <v>-1.08728E-2</v>
      </c>
      <c r="AO1877">
        <v>-1.08728E-2</v>
      </c>
      <c r="AR1877" s="8">
        <v>0</v>
      </c>
      <c r="AS1877">
        <v>0.16075519999999999</v>
      </c>
    </row>
    <row r="1878" spans="1:45" x14ac:dyDescent="0.25">
      <c r="A1878">
        <v>340</v>
      </c>
      <c r="B1878">
        <v>1998</v>
      </c>
      <c r="C1878" s="8">
        <v>0</v>
      </c>
      <c r="D1878">
        <v>-9.3621999999999993E-3</v>
      </c>
      <c r="E1878">
        <v>0.17837169999999999</v>
      </c>
      <c r="F1878">
        <v>5.9791299999999999E-2</v>
      </c>
      <c r="G1878">
        <v>1.378193</v>
      </c>
      <c r="H1878">
        <v>0.3195558</v>
      </c>
      <c r="Q1878" s="10">
        <f t="shared" si="78"/>
        <v>5.0503662410896636E-3</v>
      </c>
      <c r="AI1878">
        <v>1.24409E-2</v>
      </c>
      <c r="AJ1878">
        <f t="shared" si="77"/>
        <v>1.24409E-2</v>
      </c>
      <c r="AO1878">
        <v>1.24409E-2</v>
      </c>
      <c r="AR1878" s="8">
        <v>0</v>
      </c>
      <c r="AS1878">
        <v>0.34067029999999998</v>
      </c>
    </row>
    <row r="1879" spans="1:45" x14ac:dyDescent="0.25">
      <c r="A1879">
        <v>340</v>
      </c>
      <c r="B1879">
        <v>1999</v>
      </c>
      <c r="C1879" s="8">
        <v>0</v>
      </c>
      <c r="D1879">
        <v>-1.08728E-2</v>
      </c>
      <c r="E1879">
        <v>0.13649919999999999</v>
      </c>
      <c r="F1879">
        <v>2.8472600000000001E-2</v>
      </c>
      <c r="G1879">
        <v>0.35147810000000002</v>
      </c>
      <c r="H1879">
        <v>0.33318750000000003</v>
      </c>
      <c r="Q1879" s="10">
        <f t="shared" si="78"/>
        <v>3.462840014545953E-2</v>
      </c>
      <c r="AI1879">
        <v>-2.1635499999999998E-2</v>
      </c>
      <c r="AJ1879">
        <f t="shared" si="77"/>
        <v>-2.1635499999999998E-2</v>
      </c>
      <c r="AO1879">
        <v>-2.1635499999999998E-2</v>
      </c>
      <c r="AR1879" s="8">
        <v>0</v>
      </c>
      <c r="AS1879">
        <v>0.5635445</v>
      </c>
    </row>
    <row r="1880" spans="1:45" x14ac:dyDescent="0.25">
      <c r="A1880">
        <v>340</v>
      </c>
      <c r="B1880">
        <v>2000</v>
      </c>
      <c r="C1880" s="8">
        <v>0</v>
      </c>
      <c r="D1880">
        <v>1.24409E-2</v>
      </c>
      <c r="E1880">
        <v>1.26924E-2</v>
      </c>
      <c r="F1880">
        <v>2.0090799999999999E-2</v>
      </c>
      <c r="G1880">
        <v>0.19823579999999999</v>
      </c>
      <c r="H1880">
        <v>0.32564880000000002</v>
      </c>
      <c r="Q1880" s="10">
        <f t="shared" si="78"/>
        <v>5.5641340404836731E-2</v>
      </c>
      <c r="AI1880">
        <v>-3.7165900000000002E-2</v>
      </c>
      <c r="AJ1880">
        <f t="shared" si="77"/>
        <v>-3.7165900000000002E-2</v>
      </c>
      <c r="AO1880">
        <v>-3.7165900000000002E-2</v>
      </c>
      <c r="AR1880" s="8">
        <v>0</v>
      </c>
      <c r="AS1880">
        <v>1.378193</v>
      </c>
    </row>
    <row r="1881" spans="1:45" x14ac:dyDescent="0.25">
      <c r="A1881">
        <v>340</v>
      </c>
      <c r="B1881">
        <v>2001</v>
      </c>
      <c r="C1881" s="8">
        <v>0</v>
      </c>
      <c r="D1881">
        <v>-2.1635499999999998E-2</v>
      </c>
      <c r="E1881">
        <v>-9.5325999999999994E-2</v>
      </c>
      <c r="F1881">
        <v>4.5633899999999998E-2</v>
      </c>
      <c r="G1881">
        <v>0.79382620000000004</v>
      </c>
      <c r="H1881">
        <v>0.34593980000000002</v>
      </c>
      <c r="Q1881" s="10">
        <f t="shared" si="78"/>
        <v>2.1258409801813323E-2</v>
      </c>
      <c r="AI1881">
        <v>-2.7819699999999999E-2</v>
      </c>
      <c r="AJ1881">
        <f t="shared" si="77"/>
        <v>-2.7819699999999999E-2</v>
      </c>
      <c r="AO1881">
        <v>-2.7819699999999999E-2</v>
      </c>
      <c r="AR1881" s="8">
        <v>0</v>
      </c>
      <c r="AS1881">
        <v>0.35147810000000002</v>
      </c>
    </row>
    <row r="1882" spans="1:45" x14ac:dyDescent="0.25">
      <c r="A1882">
        <v>340</v>
      </c>
      <c r="B1882">
        <v>2002</v>
      </c>
      <c r="C1882" s="8">
        <v>0</v>
      </c>
      <c r="D1882">
        <v>-3.7165900000000002E-2</v>
      </c>
      <c r="E1882">
        <v>-0.27521129999999999</v>
      </c>
      <c r="F1882">
        <v>3.3587899999999997E-2</v>
      </c>
      <c r="G1882">
        <v>0.35124</v>
      </c>
      <c r="H1882">
        <v>0.37649569999999999</v>
      </c>
      <c r="Q1882" s="10">
        <f t="shared" si="78"/>
        <v>5.987249758214002E-2</v>
      </c>
      <c r="AI1882">
        <v>-7.1968500000000005E-2</v>
      </c>
      <c r="AJ1882">
        <f t="shared" si="77"/>
        <v>-7.1968500000000005E-2</v>
      </c>
      <c r="AO1882">
        <v>-7.1968500000000005E-2</v>
      </c>
      <c r="AR1882" s="8">
        <v>0</v>
      </c>
      <c r="AS1882">
        <v>0.19823579999999999</v>
      </c>
    </row>
    <row r="1883" spans="1:45" x14ac:dyDescent="0.25">
      <c r="A1883">
        <v>340</v>
      </c>
      <c r="B1883">
        <v>2003</v>
      </c>
      <c r="C1883" s="8">
        <v>0</v>
      </c>
      <c r="D1883">
        <v>-2.7819699999999999E-2</v>
      </c>
      <c r="E1883">
        <v>-0.46211150000000001</v>
      </c>
      <c r="F1883">
        <v>3.3844100000000002E-2</v>
      </c>
      <c r="G1883">
        <v>0.73421360000000002</v>
      </c>
      <c r="H1883">
        <v>0.48821360000000003</v>
      </c>
      <c r="Q1883" s="10">
        <f t="shared" si="78"/>
        <v>4.6473345143962549E-2</v>
      </c>
      <c r="AI1883">
        <v>0.30686560000000002</v>
      </c>
      <c r="AJ1883">
        <f t="shared" si="77"/>
        <v>0.30686560000000002</v>
      </c>
      <c r="AO1883">
        <v>0.30686560000000002</v>
      </c>
      <c r="AR1883" s="8">
        <v>0</v>
      </c>
      <c r="AS1883">
        <v>0.79382620000000004</v>
      </c>
    </row>
    <row r="1884" spans="1:45" x14ac:dyDescent="0.25">
      <c r="A1884">
        <v>340</v>
      </c>
      <c r="B1884">
        <v>2004</v>
      </c>
      <c r="C1884" s="8">
        <v>0</v>
      </c>
      <c r="D1884">
        <v>-7.1968500000000005E-2</v>
      </c>
      <c r="E1884">
        <v>-0.47384809999999999</v>
      </c>
      <c r="F1884">
        <v>4.5018700000000002E-2</v>
      </c>
      <c r="G1884">
        <v>1.5423199999999999</v>
      </c>
      <c r="H1884">
        <v>0.57934580000000002</v>
      </c>
      <c r="Q1884" s="10">
        <f t="shared" si="78"/>
        <v>1.2827903216442208E-2</v>
      </c>
      <c r="AI1884">
        <v>9.7180900000000001E-2</v>
      </c>
      <c r="AJ1884">
        <f t="shared" si="77"/>
        <v>9.7180900000000001E-2</v>
      </c>
      <c r="AO1884">
        <v>9.7180900000000001E-2</v>
      </c>
      <c r="AR1884" s="8">
        <v>0</v>
      </c>
      <c r="AS1884">
        <v>0.35124</v>
      </c>
    </row>
    <row r="1885" spans="1:45" x14ac:dyDescent="0.25">
      <c r="A1885">
        <v>341</v>
      </c>
      <c r="B1885">
        <v>1995</v>
      </c>
      <c r="C1885" s="8">
        <v>0</v>
      </c>
      <c r="D1885">
        <v>0.30686560000000002</v>
      </c>
      <c r="E1885">
        <v>0.4061264</v>
      </c>
      <c r="F1885">
        <v>6.3635200000000003E-2</v>
      </c>
      <c r="G1885">
        <v>3.040721</v>
      </c>
      <c r="H1885">
        <v>0.39672210000000002</v>
      </c>
      <c r="Q1885" s="10">
        <f t="shared" si="78"/>
        <v>2.98730642976345E-4</v>
      </c>
      <c r="AI1885">
        <v>0.1744589</v>
      </c>
      <c r="AJ1885">
        <f t="shared" si="77"/>
        <v>0.1744589</v>
      </c>
      <c r="AO1885">
        <v>0.1744589</v>
      </c>
      <c r="AR1885" s="8">
        <v>0</v>
      </c>
      <c r="AS1885">
        <v>0.73421360000000002</v>
      </c>
    </row>
    <row r="1886" spans="1:45" x14ac:dyDescent="0.25">
      <c r="A1886">
        <v>341</v>
      </c>
      <c r="B1886">
        <v>1996</v>
      </c>
      <c r="C1886" s="8">
        <v>0</v>
      </c>
      <c r="D1886">
        <v>9.7180900000000001E-2</v>
      </c>
      <c r="E1886">
        <v>0.1168223</v>
      </c>
      <c r="F1886">
        <v>2.6910699999999999E-2</v>
      </c>
      <c r="G1886">
        <v>0.98079099999999997</v>
      </c>
      <c r="H1886">
        <v>0.53285199999999999</v>
      </c>
      <c r="Q1886" s="10">
        <f t="shared" si="78"/>
        <v>1.5967697682603321E-2</v>
      </c>
      <c r="AI1886">
        <v>0.14423849999999999</v>
      </c>
      <c r="AJ1886">
        <f t="shared" si="77"/>
        <v>0.14423849999999999</v>
      </c>
      <c r="AO1886">
        <v>0.14423849999999999</v>
      </c>
      <c r="AR1886" s="8">
        <v>0</v>
      </c>
      <c r="AS1886">
        <v>1.5423199999999999</v>
      </c>
    </row>
    <row r="1887" spans="1:45" x14ac:dyDescent="0.25">
      <c r="A1887">
        <v>341</v>
      </c>
      <c r="B1887">
        <v>1997</v>
      </c>
      <c r="C1887" s="8">
        <v>0</v>
      </c>
      <c r="D1887">
        <v>0.1744589</v>
      </c>
      <c r="E1887">
        <v>0.15307109999999999</v>
      </c>
      <c r="F1887">
        <v>5.2562200000000003E-2</v>
      </c>
      <c r="G1887">
        <v>1.3417969999999999</v>
      </c>
      <c r="H1887">
        <v>0.60035039999999995</v>
      </c>
      <c r="Q1887" s="10">
        <f t="shared" si="78"/>
        <v>7.5365274756106979E-3</v>
      </c>
      <c r="AI1887">
        <v>0.2071114</v>
      </c>
      <c r="AJ1887">
        <f t="shared" si="77"/>
        <v>0.2071114</v>
      </c>
      <c r="AO1887">
        <v>0.2071114</v>
      </c>
      <c r="AR1887" s="8">
        <v>0</v>
      </c>
      <c r="AS1887">
        <v>3.040721</v>
      </c>
    </row>
    <row r="1888" spans="1:45" x14ac:dyDescent="0.25">
      <c r="A1888">
        <v>341</v>
      </c>
      <c r="B1888">
        <v>2002</v>
      </c>
      <c r="C1888" s="8">
        <v>0</v>
      </c>
      <c r="D1888">
        <v>0.14423849999999999</v>
      </c>
      <c r="E1888">
        <v>7.99816E-2</v>
      </c>
      <c r="F1888">
        <v>4.1180599999999998E-2</v>
      </c>
      <c r="G1888">
        <v>0.52250779999999997</v>
      </c>
      <c r="H1888">
        <v>0.60877040000000004</v>
      </c>
      <c r="Q1888" s="10">
        <f t="shared" si="78"/>
        <v>3.2773782506543649E-2</v>
      </c>
      <c r="AI1888">
        <v>5.8667999999999998E-2</v>
      </c>
      <c r="AJ1888">
        <f t="shared" si="77"/>
        <v>5.8667999999999998E-2</v>
      </c>
      <c r="AO1888">
        <v>5.8667999999999998E-2</v>
      </c>
      <c r="AR1888" s="8">
        <v>0</v>
      </c>
      <c r="AS1888">
        <v>0.98079099999999997</v>
      </c>
    </row>
    <row r="1889" spans="1:45" x14ac:dyDescent="0.25">
      <c r="A1889">
        <v>341</v>
      </c>
      <c r="B1889">
        <v>2003</v>
      </c>
      <c r="C1889" s="8">
        <v>1</v>
      </c>
      <c r="D1889">
        <v>0.2071114</v>
      </c>
      <c r="E1889">
        <v>0.1160848</v>
      </c>
      <c r="F1889">
        <v>3.12261E-2</v>
      </c>
      <c r="G1889">
        <v>1.1706490000000001</v>
      </c>
      <c r="H1889">
        <v>0.47583350000000002</v>
      </c>
      <c r="Q1889" s="10">
        <f t="shared" si="78"/>
        <v>1.1579460809341871E-2</v>
      </c>
      <c r="AI1889">
        <v>-0.1077617</v>
      </c>
      <c r="AJ1889">
        <f t="shared" si="77"/>
        <v>-0.1077617</v>
      </c>
      <c r="AO1889">
        <v>-0.1077617</v>
      </c>
      <c r="AR1889" s="8">
        <v>0</v>
      </c>
      <c r="AS1889">
        <v>1.3417969999999999</v>
      </c>
    </row>
    <row r="1890" spans="1:45" x14ac:dyDescent="0.25">
      <c r="A1890">
        <v>342</v>
      </c>
      <c r="B1890">
        <v>1995</v>
      </c>
      <c r="C1890" s="8">
        <v>0</v>
      </c>
      <c r="D1890">
        <v>5.8667999999999998E-2</v>
      </c>
      <c r="E1890">
        <v>0.88146020000000003</v>
      </c>
      <c r="F1890">
        <v>8.8371599999999995E-2</v>
      </c>
      <c r="G1890">
        <v>5.9510290000000001</v>
      </c>
      <c r="H1890">
        <v>0.41781370000000001</v>
      </c>
      <c r="Q1890" s="10">
        <f t="shared" si="78"/>
        <v>1.0867550148705775E-6</v>
      </c>
      <c r="AI1890">
        <v>-9.1599999999999997E-3</v>
      </c>
      <c r="AJ1890">
        <f t="shared" si="77"/>
        <v>-9.1599999999999997E-3</v>
      </c>
      <c r="AO1890">
        <v>-9.1599999999999997E-3</v>
      </c>
      <c r="AR1890" s="8">
        <v>0</v>
      </c>
      <c r="AS1890">
        <v>0.52250779999999997</v>
      </c>
    </row>
    <row r="1891" spans="1:45" x14ac:dyDescent="0.25">
      <c r="A1891">
        <v>342</v>
      </c>
      <c r="B1891">
        <v>1996</v>
      </c>
      <c r="C1891" s="8">
        <v>0</v>
      </c>
      <c r="D1891">
        <v>-0.1077617</v>
      </c>
      <c r="E1891">
        <v>0.8212045</v>
      </c>
      <c r="F1891">
        <v>8.2530300000000001E-2</v>
      </c>
      <c r="G1891">
        <v>3.6866889999999999</v>
      </c>
      <c r="H1891">
        <v>0.33500580000000002</v>
      </c>
      <c r="Q1891" s="10">
        <f t="shared" si="78"/>
        <v>4.0676413522094884E-5</v>
      </c>
      <c r="AI1891">
        <v>-1.9495999999999999E-3</v>
      </c>
      <c r="AJ1891">
        <f t="shared" si="77"/>
        <v>-1.9495999999999999E-3</v>
      </c>
      <c r="AO1891">
        <v>-1.9495999999999999E-3</v>
      </c>
      <c r="AR1891" s="8">
        <v>1</v>
      </c>
      <c r="AS1891">
        <v>1.1706490000000001</v>
      </c>
    </row>
    <row r="1892" spans="1:45" x14ac:dyDescent="0.25">
      <c r="A1892">
        <v>342</v>
      </c>
      <c r="B1892">
        <v>1997</v>
      </c>
      <c r="C1892" s="8">
        <v>0</v>
      </c>
      <c r="D1892">
        <v>-9.1599999999999997E-3</v>
      </c>
      <c r="E1892">
        <v>0.22043650000000001</v>
      </c>
      <c r="F1892">
        <v>9.2177499999999996E-2</v>
      </c>
      <c r="G1892">
        <v>5.286505</v>
      </c>
      <c r="H1892">
        <v>0.35602070000000002</v>
      </c>
      <c r="Q1892" s="10">
        <f t="shared" si="78"/>
        <v>7.4370035192702957E-6</v>
      </c>
      <c r="AI1892">
        <v>3.4632799999999998E-2</v>
      </c>
      <c r="AJ1892">
        <f t="shared" si="77"/>
        <v>3.4632799999999998E-2</v>
      </c>
      <c r="AO1892">
        <v>3.4632799999999998E-2</v>
      </c>
      <c r="AR1892" s="8">
        <v>0</v>
      </c>
      <c r="AS1892">
        <v>5.9510290000000001</v>
      </c>
    </row>
    <row r="1893" spans="1:45" x14ac:dyDescent="0.25">
      <c r="A1893">
        <v>342</v>
      </c>
      <c r="B1893">
        <v>1998</v>
      </c>
      <c r="C1893" s="8">
        <v>0</v>
      </c>
      <c r="D1893">
        <v>-1.9495999999999999E-3</v>
      </c>
      <c r="E1893">
        <v>0.23940049999999999</v>
      </c>
      <c r="F1893">
        <v>4.45546E-2</v>
      </c>
      <c r="G1893">
        <v>3.3565939999999999</v>
      </c>
      <c r="H1893">
        <v>0.35125679999999998</v>
      </c>
      <c r="Q1893" s="10">
        <f t="shared" si="78"/>
        <v>2.2932520750680637E-4</v>
      </c>
      <c r="AI1893">
        <v>-0.14041609999999999</v>
      </c>
      <c r="AJ1893">
        <f t="shared" si="77"/>
        <v>-0.113345184</v>
      </c>
      <c r="AO1893">
        <v>-0.113345184</v>
      </c>
      <c r="AR1893" s="8">
        <v>0</v>
      </c>
      <c r="AS1893">
        <v>3.6866889999999999</v>
      </c>
    </row>
    <row r="1894" spans="1:45" x14ac:dyDescent="0.25">
      <c r="A1894">
        <v>342</v>
      </c>
      <c r="B1894">
        <v>1999</v>
      </c>
      <c r="C1894" s="8">
        <v>0</v>
      </c>
      <c r="D1894">
        <v>3.4632799999999998E-2</v>
      </c>
      <c r="E1894">
        <v>0.24017250000000001</v>
      </c>
      <c r="F1894">
        <v>7.1950600000000003E-2</v>
      </c>
      <c r="G1894">
        <v>3.1642610000000002</v>
      </c>
      <c r="H1894">
        <v>0.35562139999999998</v>
      </c>
      <c r="Q1894" s="10">
        <f t="shared" si="78"/>
        <v>2.5447849624362826E-4</v>
      </c>
      <c r="AI1894">
        <v>3.3146999999999999E-3</v>
      </c>
      <c r="AJ1894">
        <f t="shared" si="77"/>
        <v>3.3146999999999999E-3</v>
      </c>
      <c r="AO1894">
        <v>3.3146999999999999E-3</v>
      </c>
      <c r="AR1894" s="8">
        <v>0</v>
      </c>
      <c r="AS1894">
        <v>5.286505</v>
      </c>
    </row>
    <row r="1895" spans="1:45" x14ac:dyDescent="0.25">
      <c r="A1895">
        <v>342</v>
      </c>
      <c r="B1895">
        <v>2000</v>
      </c>
      <c r="C1895" s="8">
        <v>0</v>
      </c>
      <c r="D1895">
        <v>-0.14041609999999999</v>
      </c>
      <c r="E1895">
        <v>0.24944939999999999</v>
      </c>
      <c r="F1895">
        <v>6.7982000000000001E-2</v>
      </c>
      <c r="G1895">
        <v>2.691573</v>
      </c>
      <c r="H1895">
        <v>0.34874080000000002</v>
      </c>
      <c r="Q1895" s="10">
        <f t="shared" si="78"/>
        <v>5.0963099716664522E-4</v>
      </c>
      <c r="AI1895">
        <v>-8.7895299999999996E-2</v>
      </c>
      <c r="AJ1895">
        <f t="shared" si="77"/>
        <v>-8.7895299999999996E-2</v>
      </c>
      <c r="AO1895">
        <v>-8.7895299999999996E-2</v>
      </c>
      <c r="AR1895" s="8">
        <v>0</v>
      </c>
      <c r="AS1895">
        <v>3.3565939999999999</v>
      </c>
    </row>
    <row r="1896" spans="1:45" x14ac:dyDescent="0.25">
      <c r="A1896">
        <v>342</v>
      </c>
      <c r="B1896">
        <v>2001</v>
      </c>
      <c r="C1896" s="8">
        <v>0</v>
      </c>
      <c r="D1896">
        <v>3.3146999999999999E-3</v>
      </c>
      <c r="E1896">
        <v>0.11998109999999999</v>
      </c>
      <c r="F1896">
        <v>5.3627599999999997E-2</v>
      </c>
      <c r="G1896">
        <v>1.3196129999999999</v>
      </c>
      <c r="H1896">
        <v>0.2006444</v>
      </c>
      <c r="Q1896" s="10">
        <f t="shared" si="78"/>
        <v>5.9162874205532538E-3</v>
      </c>
      <c r="AI1896">
        <v>-7.1369699999999994E-2</v>
      </c>
      <c r="AJ1896">
        <f t="shared" si="77"/>
        <v>-7.1369699999999994E-2</v>
      </c>
      <c r="AO1896">
        <v>-7.1369699999999994E-2</v>
      </c>
      <c r="AR1896" s="8">
        <v>0</v>
      </c>
      <c r="AS1896">
        <v>3.1642610000000002</v>
      </c>
    </row>
    <row r="1897" spans="1:45" x14ac:dyDescent="0.25">
      <c r="A1897">
        <v>342</v>
      </c>
      <c r="B1897">
        <v>2002</v>
      </c>
      <c r="C1897" s="8">
        <v>0</v>
      </c>
      <c r="D1897">
        <v>-8.7895299999999996E-2</v>
      </c>
      <c r="E1897">
        <v>0.1166036</v>
      </c>
      <c r="F1897">
        <v>6.2295999999999997E-2</v>
      </c>
      <c r="G1897">
        <v>1.519058</v>
      </c>
      <c r="H1897">
        <v>0.2294098</v>
      </c>
      <c r="Q1897" s="10">
        <f t="shared" si="78"/>
        <v>3.9647290442887074E-3</v>
      </c>
      <c r="AI1897">
        <v>-4.4336599999999997E-2</v>
      </c>
      <c r="AJ1897">
        <f t="shared" si="77"/>
        <v>-4.4336599999999997E-2</v>
      </c>
      <c r="AO1897">
        <v>-4.4336599999999997E-2</v>
      </c>
      <c r="AR1897" s="8">
        <v>0</v>
      </c>
      <c r="AS1897">
        <v>2.691573</v>
      </c>
    </row>
    <row r="1898" spans="1:45" x14ac:dyDescent="0.25">
      <c r="A1898">
        <v>342</v>
      </c>
      <c r="B1898">
        <v>2003</v>
      </c>
      <c r="C1898" s="8">
        <v>0</v>
      </c>
      <c r="D1898">
        <v>-7.1369699999999994E-2</v>
      </c>
      <c r="E1898">
        <v>0.17161589999999999</v>
      </c>
      <c r="F1898">
        <v>8.0425200000000002E-2</v>
      </c>
      <c r="G1898">
        <v>1.798019</v>
      </c>
      <c r="H1898">
        <v>0.23843239999999999</v>
      </c>
      <c r="Q1898" s="10">
        <f t="shared" si="78"/>
        <v>2.0590246051617354E-3</v>
      </c>
      <c r="AI1898">
        <v>0.33046120000000001</v>
      </c>
      <c r="AJ1898">
        <f t="shared" si="77"/>
        <v>0.33046120000000001</v>
      </c>
      <c r="AO1898">
        <v>0.33046120000000001</v>
      </c>
      <c r="AR1898" s="8">
        <v>0</v>
      </c>
      <c r="AS1898">
        <v>1.3196129999999999</v>
      </c>
    </row>
    <row r="1899" spans="1:45" x14ac:dyDescent="0.25">
      <c r="A1899">
        <v>342</v>
      </c>
      <c r="B1899">
        <v>2004</v>
      </c>
      <c r="C1899" s="8">
        <v>0</v>
      </c>
      <c r="D1899">
        <v>-4.4336599999999997E-2</v>
      </c>
      <c r="E1899">
        <v>0.2317525</v>
      </c>
      <c r="F1899">
        <v>6.6089899999999993E-2</v>
      </c>
      <c r="G1899">
        <v>2.188364</v>
      </c>
      <c r="H1899">
        <v>0.25376720000000003</v>
      </c>
      <c r="Q1899" s="10">
        <f t="shared" si="78"/>
        <v>1.1606907930948834E-3</v>
      </c>
      <c r="AI1899">
        <v>0.30703469999999999</v>
      </c>
      <c r="AJ1899">
        <f t="shared" si="77"/>
        <v>0.30703469999999999</v>
      </c>
      <c r="AO1899">
        <v>0.30703469999999999</v>
      </c>
      <c r="AR1899" s="8">
        <v>0</v>
      </c>
      <c r="AS1899">
        <v>1.519058</v>
      </c>
    </row>
    <row r="1900" spans="1:45" x14ac:dyDescent="0.25">
      <c r="A1900">
        <v>343</v>
      </c>
      <c r="B1900">
        <v>1995</v>
      </c>
      <c r="C1900" s="8">
        <v>0</v>
      </c>
      <c r="D1900">
        <v>0.33046120000000001</v>
      </c>
      <c r="E1900">
        <v>0.36815429999999999</v>
      </c>
      <c r="F1900">
        <v>6.8178900000000001E-2</v>
      </c>
      <c r="G1900">
        <v>0.75441800000000003</v>
      </c>
      <c r="H1900">
        <v>0.54886190000000001</v>
      </c>
      <c r="Q1900" s="10">
        <f t="shared" si="78"/>
        <v>1.2751142184389047E-2</v>
      </c>
      <c r="AI1900">
        <v>0.446737</v>
      </c>
      <c r="AJ1900">
        <f t="shared" si="77"/>
        <v>0.446737</v>
      </c>
      <c r="AO1900">
        <v>0.446737</v>
      </c>
      <c r="AR1900" s="8">
        <v>0</v>
      </c>
      <c r="AS1900">
        <v>1.798019</v>
      </c>
    </row>
    <row r="1901" spans="1:45" x14ac:dyDescent="0.25">
      <c r="A1901">
        <v>343</v>
      </c>
      <c r="B1901">
        <v>1996</v>
      </c>
      <c r="C1901" s="8">
        <v>0</v>
      </c>
      <c r="D1901">
        <v>0.30703469999999999</v>
      </c>
      <c r="E1901">
        <v>0.36311270000000001</v>
      </c>
      <c r="F1901">
        <v>7.0388300000000001E-2</v>
      </c>
      <c r="G1901">
        <v>0.96885540000000003</v>
      </c>
      <c r="H1901">
        <v>0.53360200000000002</v>
      </c>
      <c r="Q1901" s="10">
        <f t="shared" si="78"/>
        <v>8.8317185893296377E-3</v>
      </c>
      <c r="AI1901">
        <v>0.46781410000000001</v>
      </c>
      <c r="AJ1901">
        <f t="shared" si="77"/>
        <v>0.46781410000000001</v>
      </c>
      <c r="AO1901">
        <v>0.46781410000000001</v>
      </c>
      <c r="AR1901" s="8">
        <v>0</v>
      </c>
      <c r="AS1901">
        <v>2.188364</v>
      </c>
    </row>
    <row r="1902" spans="1:45" x14ac:dyDescent="0.25">
      <c r="A1902">
        <v>343</v>
      </c>
      <c r="B1902">
        <v>1997</v>
      </c>
      <c r="C1902" s="8">
        <v>0</v>
      </c>
      <c r="D1902">
        <v>0.446737</v>
      </c>
      <c r="E1902">
        <v>0.33656540000000001</v>
      </c>
      <c r="F1902">
        <v>6.8524699999999994E-2</v>
      </c>
      <c r="G1902">
        <v>1.1224229999999999</v>
      </c>
      <c r="H1902">
        <v>0.52926390000000001</v>
      </c>
      <c r="Q1902" s="10">
        <f t="shared" si="78"/>
        <v>7.7172625644012982E-3</v>
      </c>
      <c r="AI1902">
        <v>0.5544557</v>
      </c>
      <c r="AJ1902">
        <f t="shared" si="77"/>
        <v>0.52051970800000003</v>
      </c>
      <c r="AO1902">
        <v>0.52051970800000003</v>
      </c>
      <c r="AR1902" s="8">
        <v>0</v>
      </c>
      <c r="AS1902">
        <v>0.75441800000000003</v>
      </c>
    </row>
    <row r="1903" spans="1:45" x14ac:dyDescent="0.25">
      <c r="A1903">
        <v>343</v>
      </c>
      <c r="B1903">
        <v>1998</v>
      </c>
      <c r="C1903" s="8">
        <v>0</v>
      </c>
      <c r="D1903">
        <v>0.46781410000000001</v>
      </c>
      <c r="E1903">
        <v>0.34329520000000002</v>
      </c>
      <c r="F1903">
        <v>8.2051100000000002E-2</v>
      </c>
      <c r="G1903">
        <v>0.97750210000000004</v>
      </c>
      <c r="H1903">
        <v>0.62697599999999998</v>
      </c>
      <c r="Q1903" s="10">
        <f t="shared" si="78"/>
        <v>9.2457863259679928E-3</v>
      </c>
      <c r="AI1903">
        <v>0.45764169999999998</v>
      </c>
      <c r="AJ1903">
        <f t="shared" si="77"/>
        <v>0.45764169999999998</v>
      </c>
      <c r="AO1903">
        <v>0.45764169999999998</v>
      </c>
      <c r="AR1903" s="8">
        <v>0</v>
      </c>
      <c r="AS1903">
        <v>0.96885540000000003</v>
      </c>
    </row>
    <row r="1904" spans="1:45" x14ac:dyDescent="0.25">
      <c r="A1904">
        <v>343</v>
      </c>
      <c r="B1904">
        <v>1999</v>
      </c>
      <c r="C1904" s="8">
        <v>0</v>
      </c>
      <c r="D1904">
        <v>0.5544557</v>
      </c>
      <c r="E1904">
        <v>0.34132839999999998</v>
      </c>
      <c r="F1904">
        <v>4.9561500000000001E-2</v>
      </c>
      <c r="G1904">
        <v>0.77728109999999995</v>
      </c>
      <c r="H1904">
        <v>0.4523336</v>
      </c>
      <c r="Q1904" s="10">
        <f t="shared" si="78"/>
        <v>1.529513314965845E-2</v>
      </c>
      <c r="AI1904">
        <v>0.54441569999999995</v>
      </c>
      <c r="AJ1904">
        <f t="shared" si="77"/>
        <v>0.52051970800000003</v>
      </c>
      <c r="AO1904">
        <v>0.52051970800000003</v>
      </c>
      <c r="AR1904" s="8">
        <v>0</v>
      </c>
      <c r="AS1904">
        <v>1.1224229999999999</v>
      </c>
    </row>
    <row r="1905" spans="1:45" x14ac:dyDescent="0.25">
      <c r="A1905">
        <v>343</v>
      </c>
      <c r="B1905">
        <v>2000</v>
      </c>
      <c r="C1905" s="8">
        <v>0</v>
      </c>
      <c r="D1905">
        <v>0.45764169999999998</v>
      </c>
      <c r="E1905">
        <v>0.35649530000000001</v>
      </c>
      <c r="F1905">
        <v>2.5202599999999999E-2</v>
      </c>
      <c r="G1905">
        <v>0.64979750000000003</v>
      </c>
      <c r="H1905">
        <v>0.4577579</v>
      </c>
      <c r="Q1905" s="10">
        <f t="shared" si="78"/>
        <v>2.1339761693990072E-2</v>
      </c>
      <c r="AI1905">
        <v>0.51447790000000004</v>
      </c>
      <c r="AJ1905">
        <f t="shared" si="77"/>
        <v>0.51447790000000004</v>
      </c>
      <c r="AO1905">
        <v>0.51447790000000004</v>
      </c>
      <c r="AR1905" s="8">
        <v>0</v>
      </c>
      <c r="AS1905">
        <v>0.97750210000000004</v>
      </c>
    </row>
    <row r="1906" spans="1:45" x14ac:dyDescent="0.25">
      <c r="A1906">
        <v>343</v>
      </c>
      <c r="B1906">
        <v>2001</v>
      </c>
      <c r="C1906" s="8">
        <v>0</v>
      </c>
      <c r="D1906">
        <v>0.54441569999999995</v>
      </c>
      <c r="E1906">
        <v>0.42699920000000002</v>
      </c>
      <c r="F1906">
        <v>1.7551400000000002E-2</v>
      </c>
      <c r="G1906">
        <v>0.96188269999999998</v>
      </c>
      <c r="H1906">
        <v>0.4861608</v>
      </c>
      <c r="Q1906" s="10">
        <f t="shared" si="78"/>
        <v>1.3246317680841065E-2</v>
      </c>
      <c r="AI1906">
        <v>0.48393130000000001</v>
      </c>
      <c r="AJ1906">
        <f t="shared" si="77"/>
        <v>0.48393130000000001</v>
      </c>
      <c r="AO1906">
        <v>0.48393130000000001</v>
      </c>
      <c r="AR1906" s="8">
        <v>0</v>
      </c>
      <c r="AS1906">
        <v>0.77728109999999995</v>
      </c>
    </row>
    <row r="1907" spans="1:45" x14ac:dyDescent="0.25">
      <c r="A1907">
        <v>343</v>
      </c>
      <c r="B1907">
        <v>2002</v>
      </c>
      <c r="C1907" s="8">
        <v>0</v>
      </c>
      <c r="D1907">
        <v>0.51447790000000004</v>
      </c>
      <c r="E1907">
        <v>0.3839746</v>
      </c>
      <c r="F1907">
        <v>4.1084799999999998E-2</v>
      </c>
      <c r="G1907">
        <v>0.91610910000000001</v>
      </c>
      <c r="H1907">
        <v>0.43056339999999999</v>
      </c>
      <c r="Q1907" s="10">
        <f t="shared" si="78"/>
        <v>1.20056023984554E-2</v>
      </c>
      <c r="AI1907">
        <v>0.48793769999999997</v>
      </c>
      <c r="AJ1907">
        <f t="shared" si="77"/>
        <v>0.48793769999999997</v>
      </c>
      <c r="AO1907">
        <v>0.48793769999999997</v>
      </c>
      <c r="AR1907" s="8">
        <v>0</v>
      </c>
      <c r="AS1907">
        <v>0.64979750000000003</v>
      </c>
    </row>
    <row r="1908" spans="1:45" x14ac:dyDescent="0.25">
      <c r="A1908">
        <v>343</v>
      </c>
      <c r="B1908">
        <v>2003</v>
      </c>
      <c r="C1908" s="8">
        <v>0</v>
      </c>
      <c r="D1908">
        <v>0.48393130000000001</v>
      </c>
      <c r="E1908">
        <v>0.41842980000000002</v>
      </c>
      <c r="F1908">
        <v>5.2387299999999998E-2</v>
      </c>
      <c r="G1908">
        <v>1.6941660000000001</v>
      </c>
      <c r="H1908">
        <v>0.42333880000000002</v>
      </c>
      <c r="Q1908" s="10">
        <f t="shared" si="78"/>
        <v>2.9948729638879464E-3</v>
      </c>
      <c r="AI1908">
        <v>0.21452560000000001</v>
      </c>
      <c r="AJ1908">
        <f t="shared" si="77"/>
        <v>0.21452560000000001</v>
      </c>
      <c r="AO1908">
        <v>0.21452560000000001</v>
      </c>
      <c r="AR1908" s="8">
        <v>0</v>
      </c>
      <c r="AS1908">
        <v>0.96188269999999998</v>
      </c>
    </row>
    <row r="1909" spans="1:45" x14ac:dyDescent="0.25">
      <c r="A1909">
        <v>343</v>
      </c>
      <c r="B1909">
        <v>2004</v>
      </c>
      <c r="C1909" s="8">
        <v>0</v>
      </c>
      <c r="D1909">
        <v>0.48793769999999997</v>
      </c>
      <c r="E1909">
        <v>0.38592769999999998</v>
      </c>
      <c r="F1909">
        <v>3.5791499999999997E-2</v>
      </c>
      <c r="G1909">
        <v>0.96911910000000001</v>
      </c>
      <c r="H1909">
        <v>0.40603460000000002</v>
      </c>
      <c r="Q1909" s="10">
        <f t="shared" si="78"/>
        <v>1.1190045294538143E-2</v>
      </c>
      <c r="AI1909">
        <v>0.23531560000000001</v>
      </c>
      <c r="AJ1909">
        <f t="shared" si="77"/>
        <v>0.23531560000000001</v>
      </c>
      <c r="AO1909">
        <v>0.23531560000000001</v>
      </c>
      <c r="AR1909" s="8">
        <v>0</v>
      </c>
      <c r="AS1909">
        <v>0.91610910000000001</v>
      </c>
    </row>
    <row r="1910" spans="1:45" x14ac:dyDescent="0.25">
      <c r="A1910">
        <v>344</v>
      </c>
      <c r="B1910">
        <v>1999</v>
      </c>
      <c r="C1910" s="8">
        <v>0</v>
      </c>
      <c r="D1910">
        <v>0.21452560000000001</v>
      </c>
      <c r="E1910">
        <v>0.25362279999999998</v>
      </c>
      <c r="F1910">
        <v>4.9115499999999999E-2</v>
      </c>
      <c r="G1910">
        <v>0.72656160000000003</v>
      </c>
      <c r="H1910">
        <v>0.24358150000000001</v>
      </c>
      <c r="Q1910" s="10">
        <f t="shared" si="78"/>
        <v>1.4441240829084748E-2</v>
      </c>
      <c r="AI1910">
        <v>0.2384279</v>
      </c>
      <c r="AJ1910">
        <f t="shared" si="77"/>
        <v>0.2384279</v>
      </c>
      <c r="AO1910">
        <v>0.2384279</v>
      </c>
      <c r="AR1910" s="8">
        <v>0</v>
      </c>
      <c r="AS1910">
        <v>1.6941660000000001</v>
      </c>
    </row>
    <row r="1911" spans="1:45" x14ac:dyDescent="0.25">
      <c r="A1911">
        <v>344</v>
      </c>
      <c r="B1911">
        <v>2000</v>
      </c>
      <c r="C1911" s="8">
        <v>0</v>
      </c>
      <c r="D1911">
        <v>0.23531560000000001</v>
      </c>
      <c r="E1911">
        <v>0.2561621</v>
      </c>
      <c r="F1911">
        <v>5.6292000000000002E-2</v>
      </c>
      <c r="G1911">
        <v>0.56891230000000004</v>
      </c>
      <c r="H1911">
        <v>0.26790170000000002</v>
      </c>
      <c r="Q1911" s="10">
        <f t="shared" si="78"/>
        <v>1.7822643637700825E-2</v>
      </c>
      <c r="AI1911">
        <v>0.2835799</v>
      </c>
      <c r="AJ1911">
        <f t="shared" si="77"/>
        <v>0.2835799</v>
      </c>
      <c r="AO1911">
        <v>0.2835799</v>
      </c>
      <c r="AR1911" s="8">
        <v>0</v>
      </c>
      <c r="AS1911">
        <v>0.96911910000000001</v>
      </c>
    </row>
    <row r="1912" spans="1:45" x14ac:dyDescent="0.25">
      <c r="A1912">
        <v>344</v>
      </c>
      <c r="B1912">
        <v>2001</v>
      </c>
      <c r="C1912" s="8">
        <v>0</v>
      </c>
      <c r="D1912">
        <v>0.2384279</v>
      </c>
      <c r="E1912">
        <v>0.27828930000000002</v>
      </c>
      <c r="F1912">
        <v>5.3421400000000001E-2</v>
      </c>
      <c r="G1912">
        <v>1.129589</v>
      </c>
      <c r="H1912">
        <v>0.27132070000000003</v>
      </c>
      <c r="Q1912" s="10">
        <f t="shared" si="78"/>
        <v>7.3287393243197212E-3</v>
      </c>
      <c r="AI1912">
        <v>0.27290629999999999</v>
      </c>
      <c r="AJ1912">
        <f t="shared" si="77"/>
        <v>0.27290629999999999</v>
      </c>
      <c r="AO1912">
        <v>0.27290629999999999</v>
      </c>
      <c r="AR1912" s="8">
        <v>0</v>
      </c>
      <c r="AS1912">
        <v>0.72656160000000003</v>
      </c>
    </row>
    <row r="1913" spans="1:45" x14ac:dyDescent="0.25">
      <c r="A1913">
        <v>344</v>
      </c>
      <c r="B1913">
        <v>2002</v>
      </c>
      <c r="C1913" s="8">
        <v>0</v>
      </c>
      <c r="D1913">
        <v>0.2835799</v>
      </c>
      <c r="E1913">
        <v>0.2092021</v>
      </c>
      <c r="F1913">
        <v>5.8959900000000003E-2</v>
      </c>
      <c r="G1913">
        <v>1.595067</v>
      </c>
      <c r="H1913">
        <v>0.2885877</v>
      </c>
      <c r="Q1913" s="10">
        <f t="shared" si="78"/>
        <v>3.8156693120477564E-3</v>
      </c>
      <c r="AI1913">
        <v>0.18571399999999999</v>
      </c>
      <c r="AJ1913">
        <f t="shared" si="77"/>
        <v>0.18571399999999999</v>
      </c>
      <c r="AO1913">
        <v>0.18571399999999999</v>
      </c>
      <c r="AR1913" s="8">
        <v>0</v>
      </c>
      <c r="AS1913">
        <v>0.56891230000000004</v>
      </c>
    </row>
    <row r="1914" spans="1:45" x14ac:dyDescent="0.25">
      <c r="A1914">
        <v>344</v>
      </c>
      <c r="B1914">
        <v>2003</v>
      </c>
      <c r="C1914" s="8">
        <v>0</v>
      </c>
      <c r="D1914">
        <v>0.27290629999999999</v>
      </c>
      <c r="E1914">
        <v>0.1798951</v>
      </c>
      <c r="F1914">
        <v>4.8227300000000001E-2</v>
      </c>
      <c r="G1914">
        <v>1.172523</v>
      </c>
      <c r="H1914">
        <v>0.28069050000000001</v>
      </c>
      <c r="Q1914" s="10">
        <f t="shared" si="78"/>
        <v>8.3898616408578618E-3</v>
      </c>
      <c r="AI1914">
        <v>8.81218E-2</v>
      </c>
      <c r="AJ1914">
        <f t="shared" si="77"/>
        <v>8.81218E-2</v>
      </c>
      <c r="AO1914">
        <v>8.81218E-2</v>
      </c>
      <c r="AR1914" s="8">
        <v>0</v>
      </c>
      <c r="AS1914">
        <v>1.129589</v>
      </c>
    </row>
    <row r="1915" spans="1:45" x14ac:dyDescent="0.25">
      <c r="A1915">
        <v>344</v>
      </c>
      <c r="B1915">
        <v>2004</v>
      </c>
      <c r="C1915" s="8">
        <v>0</v>
      </c>
      <c r="D1915">
        <v>0.18571399999999999</v>
      </c>
      <c r="E1915">
        <v>0.20670469999999999</v>
      </c>
      <c r="F1915">
        <v>5.52092E-2</v>
      </c>
      <c r="G1915">
        <v>1.6271439999999999</v>
      </c>
      <c r="H1915">
        <v>0.3196698</v>
      </c>
      <c r="Q1915" s="10">
        <f t="shared" si="78"/>
        <v>3.6710731258818284E-3</v>
      </c>
      <c r="AI1915">
        <v>0.14045260000000001</v>
      </c>
      <c r="AJ1915">
        <f t="shared" si="77"/>
        <v>0.14045260000000001</v>
      </c>
      <c r="AO1915">
        <v>0.14045260000000001</v>
      </c>
      <c r="AR1915" s="8">
        <v>0</v>
      </c>
      <c r="AS1915">
        <v>1.595067</v>
      </c>
    </row>
    <row r="1916" spans="1:45" x14ac:dyDescent="0.25">
      <c r="A1916">
        <v>345</v>
      </c>
      <c r="B1916">
        <v>1995</v>
      </c>
      <c r="C1916" s="8">
        <v>0</v>
      </c>
      <c r="D1916">
        <v>8.81218E-2</v>
      </c>
      <c r="E1916">
        <v>0.42403049999999998</v>
      </c>
      <c r="F1916">
        <v>4.1552600000000002E-2</v>
      </c>
      <c r="G1916">
        <v>1.8100039999999999</v>
      </c>
      <c r="H1916">
        <v>0.15861120000000001</v>
      </c>
      <c r="Q1916" s="10">
        <f t="shared" si="78"/>
        <v>1.9421661553384731E-3</v>
      </c>
      <c r="AI1916">
        <v>7.7552399999999994E-2</v>
      </c>
      <c r="AJ1916">
        <f t="shared" si="77"/>
        <v>7.7552399999999994E-2</v>
      </c>
      <c r="AO1916">
        <v>7.7552399999999994E-2</v>
      </c>
      <c r="AR1916" s="8">
        <v>0</v>
      </c>
      <c r="AS1916">
        <v>1.172523</v>
      </c>
    </row>
    <row r="1917" spans="1:45" x14ac:dyDescent="0.25">
      <c r="A1917">
        <v>345</v>
      </c>
      <c r="B1917">
        <v>1996</v>
      </c>
      <c r="C1917" s="8">
        <v>0</v>
      </c>
      <c r="D1917">
        <v>0.14045260000000001</v>
      </c>
      <c r="E1917">
        <v>0.47460010000000002</v>
      </c>
      <c r="F1917">
        <v>6.1320800000000002E-2</v>
      </c>
      <c r="G1917">
        <v>2.0152239999999999</v>
      </c>
      <c r="H1917">
        <v>0.18929699999999999</v>
      </c>
      <c r="Q1917" s="10">
        <f t="shared" si="78"/>
        <v>1.1578883619641929E-3</v>
      </c>
      <c r="AI1917">
        <v>0.1015321</v>
      </c>
      <c r="AJ1917">
        <f t="shared" si="77"/>
        <v>0.1015321</v>
      </c>
      <c r="AO1917">
        <v>0.1015321</v>
      </c>
      <c r="AR1917" s="8">
        <v>0</v>
      </c>
      <c r="AS1917">
        <v>1.6271439999999999</v>
      </c>
    </row>
    <row r="1918" spans="1:45" x14ac:dyDescent="0.25">
      <c r="A1918">
        <v>345</v>
      </c>
      <c r="B1918">
        <v>1997</v>
      </c>
      <c r="C1918" s="8">
        <v>0</v>
      </c>
      <c r="D1918">
        <v>7.7552399999999994E-2</v>
      </c>
      <c r="E1918">
        <v>0.49197970000000002</v>
      </c>
      <c r="F1918">
        <v>4.7125599999999997E-2</v>
      </c>
      <c r="G1918">
        <v>1.8369519999999999</v>
      </c>
      <c r="H1918">
        <v>0.13245219999999999</v>
      </c>
      <c r="Q1918" s="10">
        <f t="shared" si="78"/>
        <v>1.5797290640659413E-3</v>
      </c>
      <c r="AI1918">
        <v>9.25314E-2</v>
      </c>
      <c r="AJ1918">
        <f t="shared" si="77"/>
        <v>9.25314E-2</v>
      </c>
      <c r="AO1918">
        <v>9.25314E-2</v>
      </c>
      <c r="AR1918" s="8">
        <v>0</v>
      </c>
      <c r="AS1918">
        <v>1.8100039999999999</v>
      </c>
    </row>
    <row r="1919" spans="1:45" x14ac:dyDescent="0.25">
      <c r="A1919">
        <v>345</v>
      </c>
      <c r="B1919">
        <v>1998</v>
      </c>
      <c r="C1919" s="8">
        <v>0</v>
      </c>
      <c r="D1919">
        <v>0.1015321</v>
      </c>
      <c r="E1919">
        <v>0.4450887</v>
      </c>
      <c r="F1919">
        <v>-0.1002566</v>
      </c>
      <c r="G1919">
        <v>0.93077209999999999</v>
      </c>
      <c r="H1919">
        <v>0.1778825</v>
      </c>
      <c r="Q1919" s="10">
        <f t="shared" si="78"/>
        <v>2.3668727343617229E-2</v>
      </c>
      <c r="AI1919">
        <v>1.8805200000000001E-2</v>
      </c>
      <c r="AJ1919">
        <f t="shared" si="77"/>
        <v>1.8805200000000001E-2</v>
      </c>
      <c r="AO1919">
        <v>1.8805200000000001E-2</v>
      </c>
      <c r="AR1919" s="8">
        <v>0</v>
      </c>
      <c r="AS1919">
        <v>2.0152239999999999</v>
      </c>
    </row>
    <row r="1920" spans="1:45" x14ac:dyDescent="0.25">
      <c r="A1920">
        <v>345</v>
      </c>
      <c r="B1920">
        <v>1999</v>
      </c>
      <c r="C1920" s="8">
        <v>0</v>
      </c>
      <c r="D1920">
        <v>9.25314E-2</v>
      </c>
      <c r="E1920">
        <v>0.1389039</v>
      </c>
      <c r="F1920">
        <v>6.4113799999999999E-2</v>
      </c>
      <c r="G1920">
        <v>1.2463960000000001</v>
      </c>
      <c r="H1920">
        <v>0.16940540000000001</v>
      </c>
      <c r="Q1920" s="10">
        <f t="shared" si="78"/>
        <v>6.0524784019858049E-3</v>
      </c>
      <c r="AI1920">
        <v>4.6012900000000002E-2</v>
      </c>
      <c r="AJ1920">
        <f t="shared" si="77"/>
        <v>4.6012900000000002E-2</v>
      </c>
      <c r="AO1920">
        <v>4.6012900000000002E-2</v>
      </c>
      <c r="AR1920" s="8">
        <v>0</v>
      </c>
      <c r="AS1920">
        <v>1.8369519999999999</v>
      </c>
    </row>
    <row r="1921" spans="1:45" x14ac:dyDescent="0.25">
      <c r="A1921">
        <v>345</v>
      </c>
      <c r="B1921">
        <v>2000</v>
      </c>
      <c r="C1921" s="8">
        <v>0</v>
      </c>
      <c r="D1921">
        <v>1.8805200000000001E-2</v>
      </c>
      <c r="E1921">
        <v>0.21228520000000001</v>
      </c>
      <c r="F1921">
        <v>8.0737600000000007E-2</v>
      </c>
      <c r="G1921">
        <v>1.286294</v>
      </c>
      <c r="H1921">
        <v>0.19232350000000001</v>
      </c>
      <c r="Q1921" s="10">
        <f t="shared" si="78"/>
        <v>4.4040393424976849E-3</v>
      </c>
      <c r="AI1921">
        <v>2.9131000000000001E-3</v>
      </c>
      <c r="AJ1921">
        <f t="shared" si="77"/>
        <v>2.9131000000000001E-3</v>
      </c>
      <c r="AO1921">
        <v>2.9131000000000001E-3</v>
      </c>
      <c r="AR1921" s="8">
        <v>0</v>
      </c>
      <c r="AS1921">
        <v>0.93077209999999999</v>
      </c>
    </row>
    <row r="1922" spans="1:45" x14ac:dyDescent="0.25">
      <c r="A1922">
        <v>345</v>
      </c>
      <c r="B1922">
        <v>2001</v>
      </c>
      <c r="C1922" s="8">
        <v>0</v>
      </c>
      <c r="D1922">
        <v>4.6012900000000002E-2</v>
      </c>
      <c r="E1922">
        <v>0.16912269999999999</v>
      </c>
      <c r="F1922">
        <v>1.6549899999999999E-2</v>
      </c>
      <c r="G1922">
        <v>0.73830859999999998</v>
      </c>
      <c r="H1922">
        <v>0.1066737</v>
      </c>
      <c r="Q1922" s="10">
        <f t="shared" si="78"/>
        <v>1.7755292097138727E-2</v>
      </c>
      <c r="AI1922">
        <v>-2.60488E-2</v>
      </c>
      <c r="AJ1922">
        <f t="shared" si="77"/>
        <v>-2.60488E-2</v>
      </c>
      <c r="AO1922">
        <v>-2.60488E-2</v>
      </c>
      <c r="AR1922" s="8">
        <v>0</v>
      </c>
      <c r="AS1922">
        <v>1.2463960000000001</v>
      </c>
    </row>
    <row r="1923" spans="1:45" x14ac:dyDescent="0.25">
      <c r="A1923">
        <v>345</v>
      </c>
      <c r="B1923">
        <v>2002</v>
      </c>
      <c r="C1923" s="8">
        <v>0</v>
      </c>
      <c r="D1923">
        <v>2.9131000000000001E-3</v>
      </c>
      <c r="E1923">
        <v>0.1095641</v>
      </c>
      <c r="F1923">
        <v>8.6868999999999991E-3</v>
      </c>
      <c r="G1923">
        <v>0.6329439</v>
      </c>
      <c r="H1923">
        <v>0.12995989999999999</v>
      </c>
      <c r="Q1923" s="10">
        <f t="shared" si="78"/>
        <v>2.4146298091733354E-2</v>
      </c>
      <c r="AI1923">
        <v>-1.02419E-2</v>
      </c>
      <c r="AJ1923">
        <f t="shared" si="77"/>
        <v>-1.02419E-2</v>
      </c>
      <c r="AO1923">
        <v>-1.02419E-2</v>
      </c>
      <c r="AR1923" s="8">
        <v>0</v>
      </c>
      <c r="AS1923">
        <v>1.286294</v>
      </c>
    </row>
    <row r="1924" spans="1:45" x14ac:dyDescent="0.25">
      <c r="A1924">
        <v>345</v>
      </c>
      <c r="B1924">
        <v>2003</v>
      </c>
      <c r="C1924" s="8">
        <v>0</v>
      </c>
      <c r="D1924">
        <v>-2.60488E-2</v>
      </c>
      <c r="E1924">
        <v>0.1179318</v>
      </c>
      <c r="F1924">
        <v>5.8824300000000003E-2</v>
      </c>
      <c r="G1924">
        <v>0.65524660000000001</v>
      </c>
      <c r="H1924">
        <v>0.13378290000000001</v>
      </c>
      <c r="Q1924" s="10">
        <f t="shared" si="78"/>
        <v>1.5404452492068951E-2</v>
      </c>
      <c r="AI1924">
        <v>-5.8897999999999997E-3</v>
      </c>
      <c r="AJ1924">
        <f t="shared" si="77"/>
        <v>-5.8897999999999997E-3</v>
      </c>
      <c r="AO1924">
        <v>-5.8897999999999997E-3</v>
      </c>
      <c r="AR1924" s="8">
        <v>0</v>
      </c>
      <c r="AS1924">
        <v>0.73830859999999998</v>
      </c>
    </row>
    <row r="1925" spans="1:45" x14ac:dyDescent="0.25">
      <c r="A1925">
        <v>345</v>
      </c>
      <c r="B1925">
        <v>2004</v>
      </c>
      <c r="C1925" s="8">
        <v>0</v>
      </c>
      <c r="D1925">
        <v>-1.02419E-2</v>
      </c>
      <c r="E1925">
        <v>9.5400399999999996E-2</v>
      </c>
      <c r="F1925">
        <v>4.76882E-2</v>
      </c>
      <c r="G1925">
        <v>0.97322019999999998</v>
      </c>
      <c r="H1925">
        <v>0.13410130000000001</v>
      </c>
      <c r="Q1925" s="10">
        <f t="shared" si="78"/>
        <v>1.0605628178121333E-2</v>
      </c>
      <c r="AI1925">
        <v>-4.1586900000000003E-2</v>
      </c>
      <c r="AJ1925">
        <f t="shared" ref="AJ1925:AJ1988" si="79">MAX(MIN(AI1925,AM$5),AM$4)</f>
        <v>-4.1586900000000003E-2</v>
      </c>
      <c r="AO1925">
        <v>-4.1586900000000003E-2</v>
      </c>
      <c r="AR1925" s="8">
        <v>0</v>
      </c>
      <c r="AS1925">
        <v>0.6329439</v>
      </c>
    </row>
    <row r="1926" spans="1:45" x14ac:dyDescent="0.25">
      <c r="A1926">
        <v>346</v>
      </c>
      <c r="B1926">
        <v>1995</v>
      </c>
      <c r="C1926" s="8">
        <v>0</v>
      </c>
      <c r="D1926">
        <v>-5.8897999999999997E-3</v>
      </c>
      <c r="E1926">
        <v>-0.28355740000000001</v>
      </c>
      <c r="F1926">
        <v>3.6548999999999998E-2</v>
      </c>
      <c r="G1926">
        <v>0.29334569999999999</v>
      </c>
      <c r="H1926">
        <v>0.4127922</v>
      </c>
      <c r="Q1926" s="10">
        <f t="shared" si="78"/>
        <v>6.6755252129594517E-2</v>
      </c>
      <c r="AI1926">
        <v>0.1846439</v>
      </c>
      <c r="AJ1926">
        <f t="shared" si="79"/>
        <v>0.1846439</v>
      </c>
      <c r="AO1926">
        <v>0.1846439</v>
      </c>
      <c r="AR1926" s="8">
        <v>0</v>
      </c>
      <c r="AS1926">
        <v>0.65524660000000001</v>
      </c>
    </row>
    <row r="1927" spans="1:45" x14ac:dyDescent="0.25">
      <c r="A1927">
        <v>346</v>
      </c>
      <c r="B1927">
        <v>1996</v>
      </c>
      <c r="C1927" s="8">
        <v>0</v>
      </c>
      <c r="D1927">
        <v>-4.1586900000000003E-2</v>
      </c>
      <c r="E1927">
        <v>-5.7804899999999999E-2</v>
      </c>
      <c r="F1927">
        <v>2.7237500000000001E-2</v>
      </c>
      <c r="G1927">
        <v>0.31547930000000002</v>
      </c>
      <c r="H1927">
        <v>0.28462779999999999</v>
      </c>
      <c r="Q1927" s="10">
        <f t="shared" ref="Q1927:Q1990" si="80">1/(1+EXP(-(J$6+SUMPRODUCT(K$6:O$6,D1927:H1927))))</f>
        <v>4.6490967540900187E-2</v>
      </c>
      <c r="AI1927">
        <v>2.7547200000000001E-2</v>
      </c>
      <c r="AJ1927">
        <f t="shared" si="79"/>
        <v>2.7547200000000001E-2</v>
      </c>
      <c r="AO1927">
        <v>2.7547200000000001E-2</v>
      </c>
      <c r="AR1927" s="8">
        <v>0</v>
      </c>
      <c r="AS1927">
        <v>0.97322019999999998</v>
      </c>
    </row>
    <row r="1928" spans="1:45" x14ac:dyDescent="0.25">
      <c r="A1928">
        <v>346</v>
      </c>
      <c r="B1928">
        <v>1997</v>
      </c>
      <c r="C1928" s="8">
        <v>0</v>
      </c>
      <c r="D1928">
        <v>0.1846439</v>
      </c>
      <c r="E1928">
        <v>7.8883000000000009E-3</v>
      </c>
      <c r="F1928">
        <v>4.2542400000000001E-2</v>
      </c>
      <c r="G1928">
        <v>0.37021369999999998</v>
      </c>
      <c r="H1928">
        <v>0.23420450000000001</v>
      </c>
      <c r="Q1928" s="10">
        <f t="shared" si="80"/>
        <v>3.6842708456291562E-2</v>
      </c>
      <c r="AI1928">
        <v>3.4269999999999999E-3</v>
      </c>
      <c r="AJ1928">
        <f t="shared" si="79"/>
        <v>3.4269999999999999E-3</v>
      </c>
      <c r="AO1928">
        <v>3.4269999999999999E-3</v>
      </c>
      <c r="AR1928" s="8">
        <v>0</v>
      </c>
      <c r="AS1928">
        <v>0.29334569999999999</v>
      </c>
    </row>
    <row r="1929" spans="1:45" x14ac:dyDescent="0.25">
      <c r="A1929">
        <v>346</v>
      </c>
      <c r="B1929">
        <v>1998</v>
      </c>
      <c r="C1929" s="8">
        <v>0</v>
      </c>
      <c r="D1929">
        <v>2.7547200000000001E-2</v>
      </c>
      <c r="E1929">
        <v>6.8865000000000003E-3</v>
      </c>
      <c r="F1929">
        <v>2.8640800000000001E-2</v>
      </c>
      <c r="G1929">
        <v>0.2720245</v>
      </c>
      <c r="H1929">
        <v>0.22568270000000001</v>
      </c>
      <c r="Q1929" s="10">
        <f t="shared" si="80"/>
        <v>4.4582373437438282E-2</v>
      </c>
      <c r="AI1929">
        <v>-5.5793500000000003E-2</v>
      </c>
      <c r="AJ1929">
        <f t="shared" si="79"/>
        <v>-5.5793500000000003E-2</v>
      </c>
      <c r="AO1929">
        <v>-5.5793500000000003E-2</v>
      </c>
      <c r="AR1929" s="8">
        <v>0</v>
      </c>
      <c r="AS1929">
        <v>0.31547930000000002</v>
      </c>
    </row>
    <row r="1930" spans="1:45" x14ac:dyDescent="0.25">
      <c r="A1930">
        <v>346</v>
      </c>
      <c r="B1930">
        <v>1999</v>
      </c>
      <c r="C1930" s="8">
        <v>0</v>
      </c>
      <c r="D1930">
        <v>3.4269999999999999E-3</v>
      </c>
      <c r="E1930">
        <v>-1.54799E-2</v>
      </c>
      <c r="F1930">
        <v>3.1400299999999999E-2</v>
      </c>
      <c r="G1930">
        <v>0.1767521</v>
      </c>
      <c r="H1930">
        <v>0.21088870000000001</v>
      </c>
      <c r="Q1930" s="10">
        <f t="shared" si="80"/>
        <v>5.1091217856698186E-2</v>
      </c>
      <c r="AI1930">
        <v>-4.7099299999999997E-2</v>
      </c>
      <c r="AJ1930">
        <f t="shared" si="79"/>
        <v>-4.7099299999999997E-2</v>
      </c>
      <c r="AO1930">
        <v>-4.7099299999999997E-2</v>
      </c>
      <c r="AR1930" s="8">
        <v>0</v>
      </c>
      <c r="AS1930">
        <v>0.37021369999999998</v>
      </c>
    </row>
    <row r="1931" spans="1:45" x14ac:dyDescent="0.25">
      <c r="A1931">
        <v>346</v>
      </c>
      <c r="B1931">
        <v>2000</v>
      </c>
      <c r="C1931" s="8">
        <v>0</v>
      </c>
      <c r="D1931">
        <v>-5.5793500000000003E-2</v>
      </c>
      <c r="E1931">
        <v>-6.7352400000000007E-2</v>
      </c>
      <c r="F1931">
        <v>-4.8051999999999999E-3</v>
      </c>
      <c r="G1931">
        <v>8.3462499999999995E-2</v>
      </c>
      <c r="H1931">
        <v>0.19193830000000001</v>
      </c>
      <c r="Q1931" s="10">
        <f t="shared" si="80"/>
        <v>7.985746458853539E-2</v>
      </c>
      <c r="AI1931">
        <v>3.3318300000000002E-2</v>
      </c>
      <c r="AJ1931">
        <f t="shared" si="79"/>
        <v>3.3318300000000002E-2</v>
      </c>
      <c r="AO1931">
        <v>3.3318300000000002E-2</v>
      </c>
      <c r="AR1931" s="8">
        <v>0</v>
      </c>
      <c r="AS1931">
        <v>0.2720245</v>
      </c>
    </row>
    <row r="1932" spans="1:45" x14ac:dyDescent="0.25">
      <c r="A1932">
        <v>346</v>
      </c>
      <c r="B1932">
        <v>2001</v>
      </c>
      <c r="C1932" s="8">
        <v>0</v>
      </c>
      <c r="D1932">
        <v>-4.7099299999999997E-2</v>
      </c>
      <c r="E1932">
        <v>-0.1323993</v>
      </c>
      <c r="F1932">
        <v>2.2043400000000001E-2</v>
      </c>
      <c r="G1932">
        <v>5.9205399999999998E-2</v>
      </c>
      <c r="H1932">
        <v>0.1932633</v>
      </c>
      <c r="Q1932" s="10">
        <f t="shared" si="80"/>
        <v>7.4372246508455891E-2</v>
      </c>
      <c r="AI1932">
        <v>1.02133E-2</v>
      </c>
      <c r="AJ1932">
        <f t="shared" si="79"/>
        <v>1.02133E-2</v>
      </c>
      <c r="AO1932">
        <v>1.02133E-2</v>
      </c>
      <c r="AR1932" s="8">
        <v>0</v>
      </c>
      <c r="AS1932">
        <v>0.1767521</v>
      </c>
    </row>
    <row r="1933" spans="1:45" x14ac:dyDescent="0.25">
      <c r="A1933">
        <v>347</v>
      </c>
      <c r="B1933">
        <v>1995</v>
      </c>
      <c r="C1933" s="8">
        <v>0</v>
      </c>
      <c r="D1933">
        <v>3.3318300000000002E-2</v>
      </c>
      <c r="E1933">
        <v>0.30190090000000003</v>
      </c>
      <c r="F1933">
        <v>6.3475900000000002E-2</v>
      </c>
      <c r="G1933">
        <v>3.018475</v>
      </c>
      <c r="H1933">
        <v>0.32344440000000002</v>
      </c>
      <c r="Q1933" s="10">
        <f t="shared" si="80"/>
        <v>3.0767272585089338E-4</v>
      </c>
      <c r="AI1933">
        <v>2.1591099999999998E-2</v>
      </c>
      <c r="AJ1933">
        <f t="shared" si="79"/>
        <v>2.1591099999999998E-2</v>
      </c>
      <c r="AO1933">
        <v>2.1591099999999998E-2</v>
      </c>
      <c r="AR1933" s="8">
        <v>0</v>
      </c>
      <c r="AS1933">
        <v>8.3462499999999995E-2</v>
      </c>
    </row>
    <row r="1934" spans="1:45" x14ac:dyDescent="0.25">
      <c r="A1934">
        <v>347</v>
      </c>
      <c r="B1934">
        <v>1996</v>
      </c>
      <c r="C1934" s="8">
        <v>0</v>
      </c>
      <c r="D1934">
        <v>1.02133E-2</v>
      </c>
      <c r="E1934">
        <v>0.3601743</v>
      </c>
      <c r="F1934">
        <v>7.5184699999999993E-2</v>
      </c>
      <c r="G1934">
        <v>3.6778870000000001</v>
      </c>
      <c r="H1934">
        <v>0.3065544</v>
      </c>
      <c r="Q1934" s="10">
        <f t="shared" si="80"/>
        <v>8.8233720042454569E-5</v>
      </c>
      <c r="AI1934">
        <v>1.1305E-3</v>
      </c>
      <c r="AJ1934">
        <f t="shared" si="79"/>
        <v>1.1305E-3</v>
      </c>
      <c r="AO1934">
        <v>1.1305E-3</v>
      </c>
      <c r="AR1934" s="8">
        <v>0</v>
      </c>
      <c r="AS1934">
        <v>5.9205399999999998E-2</v>
      </c>
    </row>
    <row r="1935" spans="1:45" x14ac:dyDescent="0.25">
      <c r="A1935">
        <v>347</v>
      </c>
      <c r="B1935">
        <v>1997</v>
      </c>
      <c r="C1935" s="8">
        <v>0</v>
      </c>
      <c r="D1935">
        <v>2.1591099999999998E-2</v>
      </c>
      <c r="E1935">
        <v>0.3752935</v>
      </c>
      <c r="F1935">
        <v>6.5762200000000007E-2</v>
      </c>
      <c r="G1935">
        <v>3.8677009999999998</v>
      </c>
      <c r="H1935">
        <v>0.30403360000000001</v>
      </c>
      <c r="Q1935" s="10">
        <f t="shared" si="80"/>
        <v>6.8996940327099932E-5</v>
      </c>
      <c r="AI1935">
        <v>-4.6232000000000001E-3</v>
      </c>
      <c r="AJ1935">
        <f t="shared" si="79"/>
        <v>-4.6232000000000001E-3</v>
      </c>
      <c r="AO1935">
        <v>-4.6232000000000001E-3</v>
      </c>
      <c r="AR1935" s="8">
        <v>0</v>
      </c>
      <c r="AS1935">
        <v>3.018475</v>
      </c>
    </row>
    <row r="1936" spans="1:45" x14ac:dyDescent="0.25">
      <c r="A1936">
        <v>347</v>
      </c>
      <c r="B1936">
        <v>1998</v>
      </c>
      <c r="C1936" s="8">
        <v>0</v>
      </c>
      <c r="D1936">
        <v>1.1305E-3</v>
      </c>
      <c r="E1936">
        <v>0.42032760000000002</v>
      </c>
      <c r="F1936">
        <v>5.7514799999999998E-2</v>
      </c>
      <c r="G1936">
        <v>3.8951829999999998</v>
      </c>
      <c r="H1936">
        <v>0.29099000000000003</v>
      </c>
      <c r="Q1936" s="10">
        <f t="shared" si="80"/>
        <v>6.4987815861342304E-5</v>
      </c>
      <c r="AI1936">
        <v>-1.3990499999999999E-2</v>
      </c>
      <c r="AJ1936">
        <f t="shared" si="79"/>
        <v>-1.3990499999999999E-2</v>
      </c>
      <c r="AO1936">
        <v>-1.3990499999999999E-2</v>
      </c>
      <c r="AR1936" s="8">
        <v>0</v>
      </c>
      <c r="AS1936">
        <v>3.6778870000000001</v>
      </c>
    </row>
    <row r="1937" spans="1:45" x14ac:dyDescent="0.25">
      <c r="A1937">
        <v>347</v>
      </c>
      <c r="B1937">
        <v>1999</v>
      </c>
      <c r="C1937" s="8">
        <v>0</v>
      </c>
      <c r="D1937">
        <v>-4.6232000000000001E-3</v>
      </c>
      <c r="E1937">
        <v>0.46099030000000002</v>
      </c>
      <c r="F1937">
        <v>7.2642100000000001E-2</v>
      </c>
      <c r="G1937">
        <v>4.6393750000000002</v>
      </c>
      <c r="H1937">
        <v>0.29591519999999999</v>
      </c>
      <c r="Q1937" s="10">
        <f t="shared" si="80"/>
        <v>1.6590786523755744E-5</v>
      </c>
      <c r="AI1937">
        <v>4.9481999999999998E-3</v>
      </c>
      <c r="AJ1937">
        <f t="shared" si="79"/>
        <v>4.9481999999999998E-3</v>
      </c>
      <c r="AO1937">
        <v>4.9481999999999998E-3</v>
      </c>
      <c r="AR1937" s="8">
        <v>0</v>
      </c>
      <c r="AS1937">
        <v>3.8677009999999998</v>
      </c>
    </row>
    <row r="1938" spans="1:45" x14ac:dyDescent="0.25">
      <c r="A1938">
        <v>347</v>
      </c>
      <c r="B1938">
        <v>2000</v>
      </c>
      <c r="C1938" s="8">
        <v>0</v>
      </c>
      <c r="D1938">
        <v>-1.3990499999999999E-2</v>
      </c>
      <c r="E1938">
        <v>0.49014829999999998</v>
      </c>
      <c r="F1938">
        <v>9.2943700000000004E-2</v>
      </c>
      <c r="G1938">
        <v>4.3939320000000004</v>
      </c>
      <c r="H1938">
        <v>0.27534389999999997</v>
      </c>
      <c r="Q1938" s="10">
        <f t="shared" si="80"/>
        <v>1.965950097333708E-5</v>
      </c>
      <c r="AI1938">
        <v>5.3287800000000003E-2</v>
      </c>
      <c r="AJ1938">
        <f t="shared" si="79"/>
        <v>5.3287800000000003E-2</v>
      </c>
      <c r="AO1938">
        <v>5.3287800000000003E-2</v>
      </c>
      <c r="AR1938" s="8">
        <v>0</v>
      </c>
      <c r="AS1938">
        <v>3.8951829999999998</v>
      </c>
    </row>
    <row r="1939" spans="1:45" x14ac:dyDescent="0.25">
      <c r="A1939">
        <v>347</v>
      </c>
      <c r="B1939">
        <v>2001</v>
      </c>
      <c r="C1939" s="8">
        <v>0</v>
      </c>
      <c r="D1939">
        <v>4.9481999999999998E-3</v>
      </c>
      <c r="E1939">
        <v>0.51445099999999999</v>
      </c>
      <c r="F1939">
        <v>6.6588999999999995E-2</v>
      </c>
      <c r="G1939">
        <v>3.3774489999999999</v>
      </c>
      <c r="H1939">
        <v>0.25704490000000002</v>
      </c>
      <c r="Q1939" s="10">
        <f t="shared" si="80"/>
        <v>1.1795554922984374E-4</v>
      </c>
      <c r="AI1939">
        <v>4.4463500000000003E-2</v>
      </c>
      <c r="AJ1939">
        <f t="shared" si="79"/>
        <v>4.4463500000000003E-2</v>
      </c>
      <c r="AO1939">
        <v>4.4463500000000003E-2</v>
      </c>
      <c r="AR1939" s="8">
        <v>0</v>
      </c>
      <c r="AS1939">
        <v>4.6393750000000002</v>
      </c>
    </row>
    <row r="1940" spans="1:45" x14ac:dyDescent="0.25">
      <c r="A1940">
        <v>347</v>
      </c>
      <c r="B1940">
        <v>2002</v>
      </c>
      <c r="C1940" s="8">
        <v>0</v>
      </c>
      <c r="D1940">
        <v>5.3287800000000003E-2</v>
      </c>
      <c r="E1940">
        <v>0.53420480000000004</v>
      </c>
      <c r="F1940">
        <v>7.6334200000000005E-2</v>
      </c>
      <c r="G1940">
        <v>2.5020660000000001</v>
      </c>
      <c r="H1940">
        <v>0.25170880000000001</v>
      </c>
      <c r="Q1940" s="10">
        <f t="shared" si="80"/>
        <v>4.3486951284681921E-4</v>
      </c>
      <c r="AI1940">
        <v>3.6784799999999999E-2</v>
      </c>
      <c r="AJ1940">
        <f t="shared" si="79"/>
        <v>3.6784799999999999E-2</v>
      </c>
      <c r="AO1940">
        <v>3.6784799999999999E-2</v>
      </c>
      <c r="AR1940" s="8">
        <v>0</v>
      </c>
      <c r="AS1940">
        <v>4.3939320000000004</v>
      </c>
    </row>
    <row r="1941" spans="1:45" x14ac:dyDescent="0.25">
      <c r="A1941">
        <v>347</v>
      </c>
      <c r="B1941">
        <v>2004</v>
      </c>
      <c r="C1941" s="8">
        <v>0</v>
      </c>
      <c r="D1941">
        <v>4.4463500000000003E-2</v>
      </c>
      <c r="E1941">
        <v>0.65808770000000005</v>
      </c>
      <c r="F1941">
        <v>6.6400500000000001E-2</v>
      </c>
      <c r="G1941">
        <v>3.1173259999999998</v>
      </c>
      <c r="H1941">
        <v>0.25814419999999999</v>
      </c>
      <c r="Q1941" s="10">
        <f t="shared" si="80"/>
        <v>1.4760236998161133E-4</v>
      </c>
      <c r="AI1941">
        <v>4.5137499999999997E-2</v>
      </c>
      <c r="AJ1941">
        <f t="shared" si="79"/>
        <v>4.5137499999999997E-2</v>
      </c>
      <c r="AO1941">
        <v>4.5137499999999997E-2</v>
      </c>
      <c r="AR1941" s="8">
        <v>0</v>
      </c>
      <c r="AS1941">
        <v>3.3774489999999999</v>
      </c>
    </row>
    <row r="1942" spans="1:45" x14ac:dyDescent="0.25">
      <c r="A1942">
        <v>348</v>
      </c>
      <c r="B1942">
        <v>1995</v>
      </c>
      <c r="C1942" s="8">
        <v>0</v>
      </c>
      <c r="D1942">
        <v>3.6784799999999999E-2</v>
      </c>
      <c r="E1942">
        <v>0.30178389999999999</v>
      </c>
      <c r="F1942">
        <v>5.3466899999999998E-2</v>
      </c>
      <c r="G1942">
        <v>1.628085</v>
      </c>
      <c r="H1942">
        <v>0.26735150000000002</v>
      </c>
      <c r="Q1942" s="10">
        <f t="shared" si="80"/>
        <v>2.9483952879830527E-3</v>
      </c>
      <c r="AI1942">
        <v>5.2586300000000002E-2</v>
      </c>
      <c r="AJ1942">
        <f t="shared" si="79"/>
        <v>5.2586300000000002E-2</v>
      </c>
      <c r="AO1942">
        <v>5.2586300000000002E-2</v>
      </c>
      <c r="AR1942" s="8">
        <v>0</v>
      </c>
      <c r="AS1942">
        <v>2.5020660000000001</v>
      </c>
    </row>
    <row r="1943" spans="1:45" x14ac:dyDescent="0.25">
      <c r="A1943">
        <v>348</v>
      </c>
      <c r="B1943">
        <v>1996</v>
      </c>
      <c r="C1943" s="8">
        <v>0</v>
      </c>
      <c r="D1943">
        <v>4.5137499999999997E-2</v>
      </c>
      <c r="E1943">
        <v>0.31199769999999999</v>
      </c>
      <c r="F1943">
        <v>8.5207599999999994E-2</v>
      </c>
      <c r="G1943">
        <v>2.054916</v>
      </c>
      <c r="H1943">
        <v>0.25971159999999999</v>
      </c>
      <c r="Q1943" s="10">
        <f t="shared" si="80"/>
        <v>1.1420849966541553E-3</v>
      </c>
      <c r="AI1943">
        <v>3.6958999999999998E-3</v>
      </c>
      <c r="AJ1943">
        <f t="shared" si="79"/>
        <v>3.6958999999999998E-3</v>
      </c>
      <c r="AO1943">
        <v>3.6958999999999998E-3</v>
      </c>
      <c r="AR1943" s="8">
        <v>0</v>
      </c>
      <c r="AS1943">
        <v>3.1173259999999998</v>
      </c>
    </row>
    <row r="1944" spans="1:45" x14ac:dyDescent="0.25">
      <c r="A1944">
        <v>348</v>
      </c>
      <c r="B1944">
        <v>1997</v>
      </c>
      <c r="C1944" s="8">
        <v>0</v>
      </c>
      <c r="D1944">
        <v>5.2586300000000002E-2</v>
      </c>
      <c r="E1944">
        <v>0.18842449999999999</v>
      </c>
      <c r="F1944">
        <v>5.7665300000000003E-2</v>
      </c>
      <c r="G1944">
        <v>1.542424</v>
      </c>
      <c r="H1944">
        <v>0.21695449999999999</v>
      </c>
      <c r="Q1944" s="10">
        <f t="shared" si="80"/>
        <v>3.756616271208399E-3</v>
      </c>
      <c r="AI1944">
        <v>5.9231499999999999E-2</v>
      </c>
      <c r="AJ1944">
        <f t="shared" si="79"/>
        <v>5.9231499999999999E-2</v>
      </c>
      <c r="AO1944">
        <v>5.9231499999999999E-2</v>
      </c>
      <c r="AR1944" s="8">
        <v>0</v>
      </c>
      <c r="AS1944">
        <v>1.628085</v>
      </c>
    </row>
    <row r="1945" spans="1:45" x14ac:dyDescent="0.25">
      <c r="A1945">
        <v>348</v>
      </c>
      <c r="B1945">
        <v>1998</v>
      </c>
      <c r="C1945" s="8">
        <v>0</v>
      </c>
      <c r="D1945">
        <v>3.6958999999999998E-3</v>
      </c>
      <c r="E1945">
        <v>0.1975036</v>
      </c>
      <c r="F1945">
        <v>5.3207999999999998E-2</v>
      </c>
      <c r="G1945">
        <v>1.5730740000000001</v>
      </c>
      <c r="H1945">
        <v>0.20394689999999999</v>
      </c>
      <c r="Q1945" s="10">
        <f t="shared" si="80"/>
        <v>3.5573184866263085E-3</v>
      </c>
      <c r="AI1945">
        <v>5.3358599999999999E-2</v>
      </c>
      <c r="AJ1945">
        <f t="shared" si="79"/>
        <v>5.3358599999999999E-2</v>
      </c>
      <c r="AO1945">
        <v>5.3358599999999999E-2</v>
      </c>
      <c r="AR1945" s="8">
        <v>0</v>
      </c>
      <c r="AS1945">
        <v>2.054916</v>
      </c>
    </row>
    <row r="1946" spans="1:45" x14ac:dyDescent="0.25">
      <c r="A1946">
        <v>348</v>
      </c>
      <c r="B1946">
        <v>1999</v>
      </c>
      <c r="C1946" s="8">
        <v>0</v>
      </c>
      <c r="D1946">
        <v>5.9231499999999999E-2</v>
      </c>
      <c r="E1946">
        <v>0.22676470000000001</v>
      </c>
      <c r="F1946">
        <v>8.0111699999999994E-2</v>
      </c>
      <c r="G1946">
        <v>2.1022090000000002</v>
      </c>
      <c r="H1946">
        <v>0.2348769</v>
      </c>
      <c r="Q1946" s="10">
        <f t="shared" si="80"/>
        <v>1.2368127225676597E-3</v>
      </c>
      <c r="AI1946">
        <v>3.5095300000000003E-2</v>
      </c>
      <c r="AJ1946">
        <f t="shared" si="79"/>
        <v>3.5095300000000003E-2</v>
      </c>
      <c r="AO1946">
        <v>3.5095300000000003E-2</v>
      </c>
      <c r="AR1946" s="8">
        <v>0</v>
      </c>
      <c r="AS1946">
        <v>1.542424</v>
      </c>
    </row>
    <row r="1947" spans="1:45" x14ac:dyDescent="0.25">
      <c r="A1947">
        <v>348</v>
      </c>
      <c r="B1947">
        <v>2000</v>
      </c>
      <c r="C1947" s="8">
        <v>0</v>
      </c>
      <c r="D1947">
        <v>5.3358599999999999E-2</v>
      </c>
      <c r="E1947">
        <v>0.1712959</v>
      </c>
      <c r="F1947">
        <v>8.6955500000000005E-2</v>
      </c>
      <c r="G1947">
        <v>1.6227</v>
      </c>
      <c r="H1947">
        <v>0.2468101</v>
      </c>
      <c r="Q1947" s="10">
        <f t="shared" si="80"/>
        <v>2.734776953954392E-3</v>
      </c>
      <c r="AI1947">
        <v>4.7306800000000003E-2</v>
      </c>
      <c r="AJ1947">
        <f t="shared" si="79"/>
        <v>4.7306800000000003E-2</v>
      </c>
      <c r="AO1947">
        <v>4.7306800000000003E-2</v>
      </c>
      <c r="AR1947" s="8">
        <v>0</v>
      </c>
      <c r="AS1947">
        <v>1.5730740000000001</v>
      </c>
    </row>
    <row r="1948" spans="1:45" x14ac:dyDescent="0.25">
      <c r="A1948">
        <v>348</v>
      </c>
      <c r="B1948">
        <v>2001</v>
      </c>
      <c r="C1948" s="8">
        <v>0</v>
      </c>
      <c r="D1948">
        <v>3.5095300000000003E-2</v>
      </c>
      <c r="E1948">
        <v>0.18578359999999999</v>
      </c>
      <c r="F1948">
        <v>6.5821099999999994E-2</v>
      </c>
      <c r="G1948">
        <v>2.0953759999999999</v>
      </c>
      <c r="H1948">
        <v>0.1946494</v>
      </c>
      <c r="Q1948" s="10">
        <f t="shared" si="80"/>
        <v>1.4364772931375663E-3</v>
      </c>
      <c r="AI1948">
        <v>5.46402E-2</v>
      </c>
      <c r="AJ1948">
        <f t="shared" si="79"/>
        <v>5.46402E-2</v>
      </c>
      <c r="AO1948">
        <v>5.46402E-2</v>
      </c>
      <c r="AR1948" s="8">
        <v>0</v>
      </c>
      <c r="AS1948">
        <v>2.1022090000000002</v>
      </c>
    </row>
    <row r="1949" spans="1:45" x14ac:dyDescent="0.25">
      <c r="A1949">
        <v>348</v>
      </c>
      <c r="B1949">
        <v>2002</v>
      </c>
      <c r="C1949" s="8">
        <v>0</v>
      </c>
      <c r="D1949">
        <v>4.7306800000000003E-2</v>
      </c>
      <c r="E1949">
        <v>0.13815849999999999</v>
      </c>
      <c r="F1949">
        <v>6.6087800000000002E-2</v>
      </c>
      <c r="G1949">
        <v>1.9638040000000001</v>
      </c>
      <c r="H1949">
        <v>0.2054</v>
      </c>
      <c r="Q1949" s="10">
        <f t="shared" si="80"/>
        <v>1.915968323320307E-3</v>
      </c>
      <c r="AI1949">
        <v>5.6349999999999997E-2</v>
      </c>
      <c r="AJ1949">
        <f t="shared" si="79"/>
        <v>5.6349999999999997E-2</v>
      </c>
      <c r="AO1949">
        <v>5.6349999999999997E-2</v>
      </c>
      <c r="AR1949" s="8">
        <v>0</v>
      </c>
      <c r="AS1949">
        <v>1.6227</v>
      </c>
    </row>
    <row r="1950" spans="1:45" x14ac:dyDescent="0.25">
      <c r="A1950">
        <v>348</v>
      </c>
      <c r="B1950">
        <v>2003</v>
      </c>
      <c r="C1950" s="8">
        <v>0</v>
      </c>
      <c r="D1950">
        <v>5.46402E-2</v>
      </c>
      <c r="E1950">
        <v>0.12489790000000001</v>
      </c>
      <c r="F1950">
        <v>7.3633500000000005E-2</v>
      </c>
      <c r="G1950">
        <v>2.3882819999999998</v>
      </c>
      <c r="H1950">
        <v>0.2192723</v>
      </c>
      <c r="Q1950" s="10">
        <f t="shared" si="80"/>
        <v>9.4677538415276295E-4</v>
      </c>
      <c r="AI1950">
        <v>0.2199554</v>
      </c>
      <c r="AJ1950">
        <f t="shared" si="79"/>
        <v>0.2199554</v>
      </c>
      <c r="AO1950">
        <v>0.2199554</v>
      </c>
      <c r="AR1950" s="8">
        <v>0</v>
      </c>
      <c r="AS1950">
        <v>2.0953759999999999</v>
      </c>
    </row>
    <row r="1951" spans="1:45" x14ac:dyDescent="0.25">
      <c r="A1951">
        <v>348</v>
      </c>
      <c r="B1951">
        <v>2004</v>
      </c>
      <c r="C1951" s="8">
        <v>0</v>
      </c>
      <c r="D1951">
        <v>5.6349999999999997E-2</v>
      </c>
      <c r="E1951">
        <v>0.1052987</v>
      </c>
      <c r="F1951">
        <v>7.1097599999999997E-2</v>
      </c>
      <c r="G1951">
        <v>1.8911549999999999</v>
      </c>
      <c r="H1951">
        <v>0.22037909999999999</v>
      </c>
      <c r="Q1951" s="10">
        <f t="shared" si="80"/>
        <v>2.1955913563486791E-3</v>
      </c>
      <c r="AI1951">
        <v>0.2144143</v>
      </c>
      <c r="AJ1951">
        <f t="shared" si="79"/>
        <v>0.2144143</v>
      </c>
      <c r="AO1951">
        <v>0.2144143</v>
      </c>
      <c r="AR1951" s="8">
        <v>0</v>
      </c>
      <c r="AS1951">
        <v>1.9638040000000001</v>
      </c>
    </row>
    <row r="1952" spans="1:45" x14ac:dyDescent="0.25">
      <c r="A1952">
        <v>349</v>
      </c>
      <c r="B1952">
        <v>1995</v>
      </c>
      <c r="C1952" s="8">
        <v>0</v>
      </c>
      <c r="D1952">
        <v>0.2199554</v>
      </c>
      <c r="E1952">
        <v>-0.1047371</v>
      </c>
      <c r="F1952">
        <v>5.7938499999999997E-2</v>
      </c>
      <c r="G1952">
        <v>0.96686349999999999</v>
      </c>
      <c r="H1952">
        <v>0.46017659999999999</v>
      </c>
      <c r="Q1952" s="10">
        <f t="shared" si="80"/>
        <v>1.7651959739832076E-2</v>
      </c>
      <c r="AI1952">
        <v>0.2013865</v>
      </c>
      <c r="AJ1952">
        <f t="shared" si="79"/>
        <v>0.2013865</v>
      </c>
      <c r="AO1952">
        <v>0.2013865</v>
      </c>
      <c r="AR1952" s="8">
        <v>0</v>
      </c>
      <c r="AS1952">
        <v>2.3882819999999998</v>
      </c>
    </row>
    <row r="1953" spans="1:45" x14ac:dyDescent="0.25">
      <c r="A1953">
        <v>349</v>
      </c>
      <c r="B1953">
        <v>1996</v>
      </c>
      <c r="C1953" s="8">
        <v>0</v>
      </c>
      <c r="D1953">
        <v>0.2144143</v>
      </c>
      <c r="E1953">
        <v>-4.2503600000000002E-2</v>
      </c>
      <c r="F1953">
        <v>5.9889100000000001E-2</v>
      </c>
      <c r="G1953">
        <v>0.93135120000000005</v>
      </c>
      <c r="H1953">
        <v>0.45829910000000001</v>
      </c>
      <c r="Q1953" s="10">
        <f t="shared" si="80"/>
        <v>1.6756704535731443E-2</v>
      </c>
      <c r="AI1953">
        <v>0.22824939999999999</v>
      </c>
      <c r="AJ1953">
        <f t="shared" si="79"/>
        <v>0.22824939999999999</v>
      </c>
      <c r="AO1953">
        <v>0.22824939999999999</v>
      </c>
      <c r="AR1953" s="8">
        <v>0</v>
      </c>
      <c r="AS1953">
        <v>1.8911549999999999</v>
      </c>
    </row>
    <row r="1954" spans="1:45" x14ac:dyDescent="0.25">
      <c r="A1954">
        <v>349</v>
      </c>
      <c r="B1954">
        <v>1997</v>
      </c>
      <c r="C1954" s="8">
        <v>0</v>
      </c>
      <c r="D1954">
        <v>0.2013865</v>
      </c>
      <c r="E1954">
        <v>9.9032400000000007E-2</v>
      </c>
      <c r="F1954">
        <v>6.5421499999999994E-2</v>
      </c>
      <c r="G1954">
        <v>1.7903960000000001</v>
      </c>
      <c r="H1954">
        <v>0.42746309999999998</v>
      </c>
      <c r="Q1954" s="10">
        <f t="shared" si="80"/>
        <v>3.2834046710017053E-3</v>
      </c>
      <c r="AI1954">
        <v>0.1728364</v>
      </c>
      <c r="AJ1954">
        <f t="shared" si="79"/>
        <v>0.1728364</v>
      </c>
      <c r="AO1954">
        <v>0.1728364</v>
      </c>
      <c r="AR1954" s="8">
        <v>0</v>
      </c>
      <c r="AS1954">
        <v>0.96686349999999999</v>
      </c>
    </row>
    <row r="1955" spans="1:45" x14ac:dyDescent="0.25">
      <c r="A1955">
        <v>349</v>
      </c>
      <c r="B1955">
        <v>1998</v>
      </c>
      <c r="C1955" s="8">
        <v>0</v>
      </c>
      <c r="D1955">
        <v>0.22824939999999999</v>
      </c>
      <c r="E1955">
        <v>0.15675800000000001</v>
      </c>
      <c r="F1955">
        <v>6.2881099999999995E-2</v>
      </c>
      <c r="G1955">
        <v>1.4145030000000001</v>
      </c>
      <c r="H1955">
        <v>0.41336859999999997</v>
      </c>
      <c r="Q1955" s="10">
        <f t="shared" si="80"/>
        <v>5.6088724861416295E-3</v>
      </c>
      <c r="AI1955">
        <v>-6.3846E-2</v>
      </c>
      <c r="AJ1955">
        <f t="shared" si="79"/>
        <v>-6.3846E-2</v>
      </c>
      <c r="AO1955">
        <v>-6.3846E-2</v>
      </c>
      <c r="AR1955" s="8">
        <v>0</v>
      </c>
      <c r="AS1955">
        <v>0.93135120000000005</v>
      </c>
    </row>
    <row r="1956" spans="1:45" x14ac:dyDescent="0.25">
      <c r="A1956">
        <v>349</v>
      </c>
      <c r="B1956">
        <v>1999</v>
      </c>
      <c r="C1956" s="8">
        <v>0</v>
      </c>
      <c r="D1956">
        <v>0.1728364</v>
      </c>
      <c r="E1956">
        <v>0.13072320000000001</v>
      </c>
      <c r="F1956">
        <v>4.86404E-2</v>
      </c>
      <c r="G1956">
        <v>0.8316289</v>
      </c>
      <c r="H1956">
        <v>0.36352909999999999</v>
      </c>
      <c r="Q1956" s="10">
        <f t="shared" si="80"/>
        <v>1.5504513159427254E-2</v>
      </c>
      <c r="AI1956">
        <v>-3.3932900000000002E-2</v>
      </c>
      <c r="AJ1956">
        <f t="shared" si="79"/>
        <v>-3.3932900000000002E-2</v>
      </c>
      <c r="AO1956">
        <v>-3.3932900000000002E-2</v>
      </c>
      <c r="AR1956" s="8">
        <v>0</v>
      </c>
      <c r="AS1956">
        <v>1.7903960000000001</v>
      </c>
    </row>
    <row r="1957" spans="1:45" x14ac:dyDescent="0.25">
      <c r="A1957">
        <v>350</v>
      </c>
      <c r="B1957">
        <v>1995</v>
      </c>
      <c r="C1957" s="8">
        <v>0</v>
      </c>
      <c r="D1957">
        <v>-6.3846E-2</v>
      </c>
      <c r="E1957">
        <v>-0.35873759999999999</v>
      </c>
      <c r="F1957">
        <v>8.0672099999999997E-2</v>
      </c>
      <c r="G1957">
        <v>0.7273868</v>
      </c>
      <c r="H1957">
        <v>1.1982809999999999</v>
      </c>
      <c r="Q1957" s="10">
        <f t="shared" si="80"/>
        <v>4.2689180318627284E-2</v>
      </c>
      <c r="AI1957">
        <v>-1.5794599999999999E-2</v>
      </c>
      <c r="AJ1957">
        <f t="shared" si="79"/>
        <v>-1.5794599999999999E-2</v>
      </c>
      <c r="AO1957">
        <v>-1.5794599999999999E-2</v>
      </c>
      <c r="AR1957" s="8">
        <v>0</v>
      </c>
      <c r="AS1957">
        <v>1.4145030000000001</v>
      </c>
    </row>
    <row r="1958" spans="1:45" x14ac:dyDescent="0.25">
      <c r="A1958">
        <v>350</v>
      </c>
      <c r="B1958">
        <v>1996</v>
      </c>
      <c r="C1958" s="8">
        <v>0</v>
      </c>
      <c r="D1958">
        <v>-3.3932900000000002E-2</v>
      </c>
      <c r="E1958">
        <v>-0.24014050000000001</v>
      </c>
      <c r="F1958">
        <v>7.8970200000000004E-2</v>
      </c>
      <c r="G1958">
        <v>0.86464050000000003</v>
      </c>
      <c r="H1958">
        <v>1.085815</v>
      </c>
      <c r="Q1958" s="10">
        <f t="shared" si="80"/>
        <v>2.8057516593174337E-2</v>
      </c>
      <c r="AI1958">
        <v>-4.4053599999999998E-2</v>
      </c>
      <c r="AJ1958">
        <f t="shared" si="79"/>
        <v>-4.4053599999999998E-2</v>
      </c>
      <c r="AO1958">
        <v>-4.4053599999999998E-2</v>
      </c>
      <c r="AR1958" s="8">
        <v>0</v>
      </c>
      <c r="AS1958">
        <v>0.8316289</v>
      </c>
    </row>
    <row r="1959" spans="1:45" x14ac:dyDescent="0.25">
      <c r="A1959">
        <v>350</v>
      </c>
      <c r="B1959">
        <v>1997</v>
      </c>
      <c r="C1959" s="8">
        <v>0</v>
      </c>
      <c r="D1959">
        <v>-1.5794599999999999E-2</v>
      </c>
      <c r="E1959">
        <v>-0.16575139999999999</v>
      </c>
      <c r="F1959">
        <v>6.6106700000000004E-2</v>
      </c>
      <c r="G1959">
        <v>1.3502099999999999</v>
      </c>
      <c r="H1959">
        <v>1.0580000000000001</v>
      </c>
      <c r="Q1959" s="10">
        <f t="shared" si="80"/>
        <v>1.2947387417240174E-2</v>
      </c>
      <c r="AI1959">
        <v>2.6142800000000001E-2</v>
      </c>
      <c r="AJ1959">
        <f t="shared" si="79"/>
        <v>2.6142800000000001E-2</v>
      </c>
      <c r="AO1959">
        <v>2.6142800000000001E-2</v>
      </c>
      <c r="AR1959" s="8">
        <v>0</v>
      </c>
      <c r="AS1959">
        <v>0.7273868</v>
      </c>
    </row>
    <row r="1960" spans="1:45" x14ac:dyDescent="0.25">
      <c r="A1960">
        <v>350</v>
      </c>
      <c r="B1960">
        <v>1998</v>
      </c>
      <c r="C1960" s="8">
        <v>0</v>
      </c>
      <c r="D1960">
        <v>-4.4053599999999998E-2</v>
      </c>
      <c r="E1960">
        <v>-9.4616000000000006E-2</v>
      </c>
      <c r="F1960">
        <v>8.6015400000000006E-2</v>
      </c>
      <c r="G1960">
        <v>2.2177709999999999</v>
      </c>
      <c r="H1960">
        <v>1.130428</v>
      </c>
      <c r="Q1960" s="10">
        <f t="shared" si="80"/>
        <v>2.6097753454995729E-3</v>
      </c>
      <c r="AI1960">
        <v>1.7649600000000001E-2</v>
      </c>
      <c r="AJ1960">
        <f t="shared" si="79"/>
        <v>1.7649600000000001E-2</v>
      </c>
      <c r="AO1960">
        <v>1.7649600000000001E-2</v>
      </c>
      <c r="AR1960" s="8">
        <v>0</v>
      </c>
      <c r="AS1960">
        <v>0.86464050000000003</v>
      </c>
    </row>
    <row r="1961" spans="1:45" x14ac:dyDescent="0.25">
      <c r="A1961">
        <v>350</v>
      </c>
      <c r="B1961">
        <v>1999</v>
      </c>
      <c r="C1961" s="8">
        <v>0</v>
      </c>
      <c r="D1961">
        <v>2.6142800000000001E-2</v>
      </c>
      <c r="E1961">
        <v>4.6127099999999997E-2</v>
      </c>
      <c r="F1961">
        <v>6.5608E-2</v>
      </c>
      <c r="G1961">
        <v>0.97690770000000005</v>
      </c>
      <c r="H1961">
        <v>0.65700970000000003</v>
      </c>
      <c r="Q1961" s="10">
        <f t="shared" si="80"/>
        <v>1.3732708679716515E-2</v>
      </c>
      <c r="AI1961">
        <v>4.1135699999999997E-2</v>
      </c>
      <c r="AJ1961">
        <f t="shared" si="79"/>
        <v>4.1135699999999997E-2</v>
      </c>
      <c r="AO1961">
        <v>4.1135699999999997E-2</v>
      </c>
      <c r="AR1961" s="8">
        <v>0</v>
      </c>
      <c r="AS1961">
        <v>1.3502099999999999</v>
      </c>
    </row>
    <row r="1962" spans="1:45" x14ac:dyDescent="0.25">
      <c r="A1962">
        <v>350</v>
      </c>
      <c r="B1962">
        <v>2000</v>
      </c>
      <c r="C1962" s="8">
        <v>0</v>
      </c>
      <c r="D1962">
        <v>1.7649600000000001E-2</v>
      </c>
      <c r="E1962">
        <v>8.6082000000000006E-2</v>
      </c>
      <c r="F1962">
        <v>7.0121900000000001E-2</v>
      </c>
      <c r="G1962">
        <v>1.3625689999999999</v>
      </c>
      <c r="H1962">
        <v>0.73484530000000003</v>
      </c>
      <c r="Q1962" s="10">
        <f t="shared" si="80"/>
        <v>7.1163400927807445E-3</v>
      </c>
      <c r="AI1962">
        <v>2.80824E-2</v>
      </c>
      <c r="AJ1962">
        <f t="shared" si="79"/>
        <v>2.80824E-2</v>
      </c>
      <c r="AO1962">
        <v>2.80824E-2</v>
      </c>
      <c r="AR1962" s="8">
        <v>0</v>
      </c>
      <c r="AS1962">
        <v>2.2177709999999999</v>
      </c>
    </row>
    <row r="1963" spans="1:45" x14ac:dyDescent="0.25">
      <c r="A1963">
        <v>350</v>
      </c>
      <c r="B1963">
        <v>2001</v>
      </c>
      <c r="C1963" s="8">
        <v>0</v>
      </c>
      <c r="D1963">
        <v>4.1135699999999997E-2</v>
      </c>
      <c r="E1963">
        <v>0.1431048</v>
      </c>
      <c r="F1963">
        <v>6.8371299999999996E-2</v>
      </c>
      <c r="G1963">
        <v>1.091045</v>
      </c>
      <c r="H1963">
        <v>0.66611050000000005</v>
      </c>
      <c r="Q1963" s="10">
        <f t="shared" si="80"/>
        <v>9.8801928920436467E-3</v>
      </c>
      <c r="AI1963">
        <v>2.9769E-2</v>
      </c>
      <c r="AJ1963">
        <f t="shared" si="79"/>
        <v>2.9769E-2</v>
      </c>
      <c r="AO1963">
        <v>2.9769E-2</v>
      </c>
      <c r="AR1963" s="8">
        <v>0</v>
      </c>
      <c r="AS1963">
        <v>0.97690770000000005</v>
      </c>
    </row>
    <row r="1964" spans="1:45" x14ac:dyDescent="0.25">
      <c r="A1964">
        <v>350</v>
      </c>
      <c r="B1964">
        <v>2002</v>
      </c>
      <c r="C1964" s="8">
        <v>0</v>
      </c>
      <c r="D1964">
        <v>2.80824E-2</v>
      </c>
      <c r="E1964">
        <v>0.18439240000000001</v>
      </c>
      <c r="F1964">
        <v>7.69561E-2</v>
      </c>
      <c r="G1964">
        <v>0.73403359999999995</v>
      </c>
      <c r="H1964">
        <v>0.65360859999999998</v>
      </c>
      <c r="Q1964" s="10">
        <f t="shared" si="80"/>
        <v>1.5064682644324182E-2</v>
      </c>
      <c r="AI1964">
        <v>2.12462E-2</v>
      </c>
      <c r="AJ1964">
        <f t="shared" si="79"/>
        <v>2.12462E-2</v>
      </c>
      <c r="AO1964">
        <v>2.12462E-2</v>
      </c>
      <c r="AR1964" s="8">
        <v>0</v>
      </c>
      <c r="AS1964">
        <v>1.3625689999999999</v>
      </c>
    </row>
    <row r="1965" spans="1:45" x14ac:dyDescent="0.25">
      <c r="A1965">
        <v>350</v>
      </c>
      <c r="B1965">
        <v>2003</v>
      </c>
      <c r="C1965" s="8">
        <v>0</v>
      </c>
      <c r="D1965">
        <v>2.9769E-2</v>
      </c>
      <c r="E1965">
        <v>0.2167897</v>
      </c>
      <c r="F1965">
        <v>6.3467300000000004E-2</v>
      </c>
      <c r="G1965">
        <v>0.87647850000000005</v>
      </c>
      <c r="H1965">
        <v>0.68250330000000003</v>
      </c>
      <c r="Q1965" s="10">
        <f t="shared" si="80"/>
        <v>1.3024342113391105E-2</v>
      </c>
      <c r="AI1965">
        <v>0.47353800000000001</v>
      </c>
      <c r="AJ1965">
        <f t="shared" si="79"/>
        <v>0.47353800000000001</v>
      </c>
      <c r="AO1965">
        <v>0.47353800000000001</v>
      </c>
      <c r="AR1965" s="8">
        <v>0</v>
      </c>
      <c r="AS1965">
        <v>1.091045</v>
      </c>
    </row>
    <row r="1966" spans="1:45" x14ac:dyDescent="0.25">
      <c r="A1966">
        <v>350</v>
      </c>
      <c r="B1966">
        <v>2004</v>
      </c>
      <c r="C1966" s="8">
        <v>0</v>
      </c>
      <c r="D1966">
        <v>2.12462E-2</v>
      </c>
      <c r="E1966">
        <v>0.18874589999999999</v>
      </c>
      <c r="F1966">
        <v>5.9909799999999999E-2</v>
      </c>
      <c r="G1966">
        <v>0.7670323</v>
      </c>
      <c r="H1966">
        <v>0.69618000000000002</v>
      </c>
      <c r="Q1966" s="10">
        <f t="shared" si="80"/>
        <v>1.6638858381802214E-2</v>
      </c>
      <c r="AI1966">
        <v>0.66490570000000004</v>
      </c>
      <c r="AJ1966">
        <f t="shared" si="79"/>
        <v>0.52051970800000003</v>
      </c>
      <c r="AO1966">
        <v>0.52051970800000003</v>
      </c>
      <c r="AR1966" s="8">
        <v>0</v>
      </c>
      <c r="AS1966">
        <v>0.73403359999999995</v>
      </c>
    </row>
    <row r="1967" spans="1:45" x14ac:dyDescent="0.25">
      <c r="A1967">
        <v>351</v>
      </c>
      <c r="B1967">
        <v>1999</v>
      </c>
      <c r="C1967" s="8">
        <v>0</v>
      </c>
      <c r="D1967">
        <v>0.47353800000000001</v>
      </c>
      <c r="E1967">
        <v>0.32877020000000001</v>
      </c>
      <c r="F1967">
        <v>5.1298400000000001E-2</v>
      </c>
      <c r="G1967">
        <v>5.5398139999999998</v>
      </c>
      <c r="H1967">
        <v>0.44556699999999999</v>
      </c>
      <c r="Q1967" s="10">
        <f t="shared" si="80"/>
        <v>7.5972923946215996E-6</v>
      </c>
      <c r="AI1967">
        <v>0.37515989999999999</v>
      </c>
      <c r="AJ1967">
        <f t="shared" si="79"/>
        <v>0.37515989999999999</v>
      </c>
      <c r="AO1967">
        <v>0.37515989999999999</v>
      </c>
      <c r="AR1967" s="8">
        <v>0</v>
      </c>
      <c r="AS1967">
        <v>0.87647850000000005</v>
      </c>
    </row>
    <row r="1968" spans="1:45" x14ac:dyDescent="0.25">
      <c r="A1968">
        <v>351</v>
      </c>
      <c r="B1968">
        <v>2000</v>
      </c>
      <c r="C1968" s="8">
        <v>0</v>
      </c>
      <c r="D1968">
        <v>0.66490570000000004</v>
      </c>
      <c r="E1968">
        <v>0.33366279999999998</v>
      </c>
      <c r="F1968">
        <v>9.1216099999999994E-2</v>
      </c>
      <c r="G1968">
        <v>2.0479240000000001</v>
      </c>
      <c r="H1968">
        <v>0.3385688</v>
      </c>
      <c r="Q1968" s="10">
        <f t="shared" si="80"/>
        <v>1.4474827769226965E-3</v>
      </c>
      <c r="AI1968">
        <v>0.33600210000000003</v>
      </c>
      <c r="AJ1968">
        <f t="shared" si="79"/>
        <v>0.33600210000000003</v>
      </c>
      <c r="AO1968">
        <v>0.33600210000000003</v>
      </c>
      <c r="AR1968" s="8">
        <v>0</v>
      </c>
      <c r="AS1968">
        <v>0.7670323</v>
      </c>
    </row>
    <row r="1969" spans="1:45" x14ac:dyDescent="0.25">
      <c r="A1969">
        <v>351</v>
      </c>
      <c r="B1969">
        <v>2001</v>
      </c>
      <c r="C1969" s="8">
        <v>0</v>
      </c>
      <c r="D1969">
        <v>0.37515989999999999</v>
      </c>
      <c r="E1969">
        <v>0.22429560000000001</v>
      </c>
      <c r="F1969">
        <v>-1.29946E-2</v>
      </c>
      <c r="G1969">
        <v>1.2523850000000001</v>
      </c>
      <c r="H1969">
        <v>0.1871025</v>
      </c>
      <c r="Q1969" s="10">
        <f t="shared" si="80"/>
        <v>1.1095694942943159E-2</v>
      </c>
      <c r="AI1969">
        <v>0.31569960000000002</v>
      </c>
      <c r="AJ1969">
        <f t="shared" si="79"/>
        <v>0.31569960000000002</v>
      </c>
      <c r="AO1969">
        <v>0.31569960000000002</v>
      </c>
      <c r="AR1969" s="8">
        <v>0</v>
      </c>
      <c r="AS1969">
        <v>5.5398139999999998</v>
      </c>
    </row>
    <row r="1970" spans="1:45" x14ac:dyDescent="0.25">
      <c r="A1970">
        <v>351</v>
      </c>
      <c r="B1970">
        <v>2002</v>
      </c>
      <c r="C1970" s="8">
        <v>0</v>
      </c>
      <c r="D1970">
        <v>0.33600210000000003</v>
      </c>
      <c r="E1970">
        <v>-0.19893920000000001</v>
      </c>
      <c r="F1970">
        <v>2.5737400000000001E-2</v>
      </c>
      <c r="G1970">
        <v>0.35601729999999998</v>
      </c>
      <c r="H1970">
        <v>0.25888329999999998</v>
      </c>
      <c r="Q1970" s="10">
        <f t="shared" si="80"/>
        <v>6.1354800436596746E-2</v>
      </c>
      <c r="AI1970">
        <v>0.43570680000000001</v>
      </c>
      <c r="AJ1970">
        <f t="shared" si="79"/>
        <v>0.43570680000000001</v>
      </c>
      <c r="AO1970">
        <v>0.43570680000000001</v>
      </c>
      <c r="AR1970" s="8">
        <v>0</v>
      </c>
      <c r="AS1970">
        <v>2.0479240000000001</v>
      </c>
    </row>
    <row r="1971" spans="1:45" x14ac:dyDescent="0.25">
      <c r="A1971">
        <v>351</v>
      </c>
      <c r="B1971">
        <v>2003</v>
      </c>
      <c r="C1971" s="8">
        <v>0</v>
      </c>
      <c r="D1971">
        <v>0.31569960000000002</v>
      </c>
      <c r="E1971">
        <v>-0.43457200000000001</v>
      </c>
      <c r="F1971">
        <v>5.4817200000000003E-2</v>
      </c>
      <c r="G1971">
        <v>1.2703059999999999</v>
      </c>
      <c r="H1971">
        <v>0.31350929999999999</v>
      </c>
      <c r="Q1971" s="10">
        <f t="shared" si="80"/>
        <v>1.7135384597114493E-2</v>
      </c>
      <c r="AI1971">
        <v>0.4320486</v>
      </c>
      <c r="AJ1971">
        <f t="shared" si="79"/>
        <v>0.4320486</v>
      </c>
      <c r="AO1971">
        <v>0.4320486</v>
      </c>
      <c r="AR1971" s="8">
        <v>0</v>
      </c>
      <c r="AS1971">
        <v>1.2523850000000001</v>
      </c>
    </row>
    <row r="1972" spans="1:45" x14ac:dyDescent="0.25">
      <c r="A1972">
        <v>351</v>
      </c>
      <c r="B1972">
        <v>2004</v>
      </c>
      <c r="C1972" s="8">
        <v>0</v>
      </c>
      <c r="D1972">
        <v>0.43570680000000001</v>
      </c>
      <c r="E1972">
        <v>-0.27327669999999998</v>
      </c>
      <c r="F1972">
        <v>4.9431999999999997E-2</v>
      </c>
      <c r="G1972">
        <v>0.72260159999999996</v>
      </c>
      <c r="H1972">
        <v>0.33246140000000002</v>
      </c>
      <c r="Q1972" s="10">
        <f t="shared" si="80"/>
        <v>3.5349483327272349E-2</v>
      </c>
      <c r="AI1972">
        <v>0.39268209999999998</v>
      </c>
      <c r="AJ1972">
        <f t="shared" si="79"/>
        <v>0.39268209999999998</v>
      </c>
      <c r="AO1972">
        <v>0.39268209999999998</v>
      </c>
      <c r="AR1972" s="8">
        <v>0</v>
      </c>
      <c r="AS1972">
        <v>0.35601729999999998</v>
      </c>
    </row>
    <row r="1973" spans="1:45" x14ac:dyDescent="0.25">
      <c r="A1973">
        <v>352</v>
      </c>
      <c r="B1973">
        <v>1995</v>
      </c>
      <c r="C1973" s="8">
        <v>0</v>
      </c>
      <c r="D1973">
        <v>0.4320486</v>
      </c>
      <c r="E1973">
        <v>0.23156860000000001</v>
      </c>
      <c r="F1973">
        <v>7.5750799999999993E-2</v>
      </c>
      <c r="G1973">
        <v>6.7143449999999998</v>
      </c>
      <c r="H1973">
        <v>0.21677389999999999</v>
      </c>
      <c r="Q1973" s="10">
        <f t="shared" si="80"/>
        <v>9.4443247014520184E-7</v>
      </c>
      <c r="AI1973">
        <v>0.2439818</v>
      </c>
      <c r="AJ1973">
        <f t="shared" si="79"/>
        <v>0.2439818</v>
      </c>
      <c r="AO1973">
        <v>0.2439818</v>
      </c>
      <c r="AR1973" s="8">
        <v>0</v>
      </c>
      <c r="AS1973">
        <v>1.2703059999999999</v>
      </c>
    </row>
    <row r="1974" spans="1:45" x14ac:dyDescent="0.25">
      <c r="A1974">
        <v>352</v>
      </c>
      <c r="B1974">
        <v>1996</v>
      </c>
      <c r="C1974" s="8">
        <v>0</v>
      </c>
      <c r="D1974">
        <v>0.39268209999999998</v>
      </c>
      <c r="E1974">
        <v>0.26500259999999998</v>
      </c>
      <c r="F1974">
        <v>5.9284000000000003E-2</v>
      </c>
      <c r="G1974">
        <v>5.4434209999999998</v>
      </c>
      <c r="H1974">
        <v>0.17741180000000001</v>
      </c>
      <c r="Q1974" s="10">
        <f t="shared" si="80"/>
        <v>7.4674826032759504E-6</v>
      </c>
      <c r="AI1974">
        <v>0.1102253</v>
      </c>
      <c r="AJ1974">
        <f t="shared" si="79"/>
        <v>0.1102253</v>
      </c>
      <c r="AO1974">
        <v>0.1102253</v>
      </c>
      <c r="AR1974" s="8">
        <v>0</v>
      </c>
      <c r="AS1974">
        <v>0.72260159999999996</v>
      </c>
    </row>
    <row r="1975" spans="1:45" x14ac:dyDescent="0.25">
      <c r="A1975">
        <v>352</v>
      </c>
      <c r="B1975">
        <v>1997</v>
      </c>
      <c r="C1975" s="8">
        <v>0</v>
      </c>
      <c r="D1975">
        <v>0.2439818</v>
      </c>
      <c r="E1975">
        <v>0.3193957</v>
      </c>
      <c r="F1975">
        <v>4.9595100000000003E-2</v>
      </c>
      <c r="G1975">
        <v>4.9316300000000002</v>
      </c>
      <c r="H1975">
        <v>0.18977869999999999</v>
      </c>
      <c r="Q1975" s="10">
        <f t="shared" si="80"/>
        <v>1.5968108413690535E-5</v>
      </c>
      <c r="AI1975">
        <v>0.2809758</v>
      </c>
      <c r="AJ1975">
        <f t="shared" si="79"/>
        <v>0.2809758</v>
      </c>
      <c r="AO1975">
        <v>0.2809758</v>
      </c>
      <c r="AR1975" s="8">
        <v>0</v>
      </c>
      <c r="AS1975">
        <v>6.7143449999999998</v>
      </c>
    </row>
    <row r="1976" spans="1:45" x14ac:dyDescent="0.25">
      <c r="A1976">
        <v>352</v>
      </c>
      <c r="B1976">
        <v>1998</v>
      </c>
      <c r="C1976" s="8">
        <v>0</v>
      </c>
      <c r="D1976">
        <v>0.1102253</v>
      </c>
      <c r="E1976">
        <v>0.22072140000000001</v>
      </c>
      <c r="F1976">
        <v>3.3451500000000002E-2</v>
      </c>
      <c r="G1976">
        <v>1.791858</v>
      </c>
      <c r="H1976">
        <v>0.1973906</v>
      </c>
      <c r="Q1976" s="10">
        <f t="shared" si="80"/>
        <v>2.9603555047589066E-3</v>
      </c>
      <c r="AI1976">
        <v>0.38340679999999999</v>
      </c>
      <c r="AJ1976">
        <f t="shared" si="79"/>
        <v>0.38340679999999999</v>
      </c>
      <c r="AO1976">
        <v>0.38340679999999999</v>
      </c>
      <c r="AR1976" s="8">
        <v>0</v>
      </c>
      <c r="AS1976">
        <v>5.4434209999999998</v>
      </c>
    </row>
    <row r="1977" spans="1:45" x14ac:dyDescent="0.25">
      <c r="A1977">
        <v>352</v>
      </c>
      <c r="B1977">
        <v>1999</v>
      </c>
      <c r="C1977" s="8">
        <v>0</v>
      </c>
      <c r="D1977">
        <v>0.2809758</v>
      </c>
      <c r="E1977">
        <v>0.2053044</v>
      </c>
      <c r="F1977">
        <v>6.2707600000000002E-2</v>
      </c>
      <c r="G1977">
        <v>7.4470429999999999</v>
      </c>
      <c r="H1977">
        <v>0.20718529999999999</v>
      </c>
      <c r="Q1977" s="10">
        <f t="shared" si="80"/>
        <v>3.1637797262972414E-7</v>
      </c>
      <c r="AI1977">
        <v>0.29120459999999998</v>
      </c>
      <c r="AJ1977">
        <f t="shared" si="79"/>
        <v>0.29120459999999998</v>
      </c>
      <c r="AO1977">
        <v>0.29120459999999998</v>
      </c>
      <c r="AR1977" s="8">
        <v>0</v>
      </c>
      <c r="AS1977">
        <v>4.9316300000000002</v>
      </c>
    </row>
    <row r="1978" spans="1:45" x14ac:dyDescent="0.25">
      <c r="A1978">
        <v>352</v>
      </c>
      <c r="B1978">
        <v>2000</v>
      </c>
      <c r="C1978" s="8">
        <v>0</v>
      </c>
      <c r="D1978">
        <v>0.38340679999999999</v>
      </c>
      <c r="E1978">
        <v>0.20092879999999999</v>
      </c>
      <c r="F1978">
        <v>4.21611E-2</v>
      </c>
      <c r="G1978">
        <v>3.1517400000000002</v>
      </c>
      <c r="H1978">
        <v>0.20910020000000001</v>
      </c>
      <c r="Q1978" s="10">
        <f t="shared" si="80"/>
        <v>3.6801840391748682E-4</v>
      </c>
      <c r="AI1978">
        <v>0.33498410000000001</v>
      </c>
      <c r="AJ1978">
        <f t="shared" si="79"/>
        <v>0.33498410000000001</v>
      </c>
      <c r="AO1978">
        <v>0.33498410000000001</v>
      </c>
      <c r="AR1978" s="8">
        <v>0</v>
      </c>
      <c r="AS1978">
        <v>1.791858</v>
      </c>
    </row>
    <row r="1979" spans="1:45" x14ac:dyDescent="0.25">
      <c r="A1979">
        <v>352</v>
      </c>
      <c r="B1979">
        <v>2001</v>
      </c>
      <c r="C1979" s="8">
        <v>0</v>
      </c>
      <c r="D1979">
        <v>0.29120459999999998</v>
      </c>
      <c r="E1979">
        <v>-4.2808400000000003E-2</v>
      </c>
      <c r="F1979">
        <v>5.3921000000000004E-3</v>
      </c>
      <c r="G1979">
        <v>2.724815</v>
      </c>
      <c r="H1979">
        <v>0.1270445</v>
      </c>
      <c r="Q1979" s="10">
        <f t="shared" si="80"/>
        <v>1.2703297301604668E-3</v>
      </c>
      <c r="AI1979">
        <v>0.32889309999999999</v>
      </c>
      <c r="AJ1979">
        <f t="shared" si="79"/>
        <v>0.32889309999999999</v>
      </c>
      <c r="AO1979">
        <v>0.32889309999999999</v>
      </c>
      <c r="AR1979" s="8">
        <v>0</v>
      </c>
      <c r="AS1979">
        <v>7.4470429999999999</v>
      </c>
    </row>
    <row r="1980" spans="1:45" x14ac:dyDescent="0.25">
      <c r="A1980">
        <v>352</v>
      </c>
      <c r="B1980">
        <v>2002</v>
      </c>
      <c r="C1980" s="8">
        <v>0</v>
      </c>
      <c r="D1980">
        <v>0.33498410000000001</v>
      </c>
      <c r="E1980">
        <v>-0.1261591</v>
      </c>
      <c r="F1980">
        <v>1.9485100000000002E-2</v>
      </c>
      <c r="G1980">
        <v>1.1998040000000001</v>
      </c>
      <c r="H1980">
        <v>0.14697180000000001</v>
      </c>
      <c r="Q1980" s="10">
        <f t="shared" si="80"/>
        <v>1.4803102578912415E-2</v>
      </c>
      <c r="AI1980">
        <v>0.2057861</v>
      </c>
      <c r="AJ1980">
        <f t="shared" si="79"/>
        <v>0.2057861</v>
      </c>
      <c r="AO1980">
        <v>0.2057861</v>
      </c>
      <c r="AR1980" s="8">
        <v>0</v>
      </c>
      <c r="AS1980">
        <v>3.1517400000000002</v>
      </c>
    </row>
    <row r="1981" spans="1:45" x14ac:dyDescent="0.25">
      <c r="A1981">
        <v>352</v>
      </c>
      <c r="B1981">
        <v>2003</v>
      </c>
      <c r="C1981" s="8">
        <v>0</v>
      </c>
      <c r="D1981">
        <v>0.32889309999999999</v>
      </c>
      <c r="E1981">
        <v>-0.22716720000000001</v>
      </c>
      <c r="F1981">
        <v>2.5290199999999999E-2</v>
      </c>
      <c r="G1981">
        <v>2.4265669999999999</v>
      </c>
      <c r="H1981">
        <v>0.1573427</v>
      </c>
      <c r="Q1981" s="10">
        <f t="shared" si="80"/>
        <v>2.355529032512722E-3</v>
      </c>
      <c r="AI1981">
        <v>0.21180270000000001</v>
      </c>
      <c r="AJ1981">
        <f t="shared" si="79"/>
        <v>0.21180270000000001</v>
      </c>
      <c r="AO1981">
        <v>0.21180270000000001</v>
      </c>
      <c r="AR1981" s="8">
        <v>0</v>
      </c>
      <c r="AS1981">
        <v>2.724815</v>
      </c>
    </row>
    <row r="1982" spans="1:45" x14ac:dyDescent="0.25">
      <c r="A1982">
        <v>353</v>
      </c>
      <c r="B1982">
        <v>1995</v>
      </c>
      <c r="C1982" s="8">
        <v>1</v>
      </c>
      <c r="D1982">
        <v>0.2057861</v>
      </c>
      <c r="E1982">
        <v>9.2916899999999997E-2</v>
      </c>
      <c r="F1982">
        <v>2.8566000000000001E-2</v>
      </c>
      <c r="G1982">
        <v>0.38764680000000001</v>
      </c>
      <c r="H1982">
        <v>0.2115571</v>
      </c>
      <c r="Q1982" s="10">
        <f t="shared" si="80"/>
        <v>3.5282458587413072E-2</v>
      </c>
      <c r="AI1982">
        <v>0.18628829999999999</v>
      </c>
      <c r="AJ1982">
        <f t="shared" si="79"/>
        <v>0.18628829999999999</v>
      </c>
      <c r="AO1982">
        <v>0.18628829999999999</v>
      </c>
      <c r="AR1982" s="8">
        <v>0</v>
      </c>
      <c r="AS1982">
        <v>1.1998040000000001</v>
      </c>
    </row>
    <row r="1983" spans="1:45" x14ac:dyDescent="0.25">
      <c r="A1983">
        <v>353</v>
      </c>
      <c r="B1983">
        <v>1996</v>
      </c>
      <c r="C1983" s="8">
        <v>0</v>
      </c>
      <c r="D1983">
        <v>0.21180270000000001</v>
      </c>
      <c r="E1983">
        <v>0.13252369999999999</v>
      </c>
      <c r="F1983">
        <v>5.6167300000000003E-2</v>
      </c>
      <c r="G1983">
        <v>0.37212689999999998</v>
      </c>
      <c r="H1983">
        <v>0.2235849</v>
      </c>
      <c r="Q1983" s="10">
        <f t="shared" si="80"/>
        <v>2.7864453411154243E-2</v>
      </c>
      <c r="AI1983">
        <v>0.1761103</v>
      </c>
      <c r="AJ1983">
        <f t="shared" si="79"/>
        <v>0.1761103</v>
      </c>
      <c r="AO1983">
        <v>0.1761103</v>
      </c>
      <c r="AR1983" s="8">
        <v>0</v>
      </c>
      <c r="AS1983">
        <v>2.4265669999999999</v>
      </c>
    </row>
    <row r="1984" spans="1:45" x14ac:dyDescent="0.25">
      <c r="A1984">
        <v>353</v>
      </c>
      <c r="B1984">
        <v>1997</v>
      </c>
      <c r="C1984" s="8">
        <v>0</v>
      </c>
      <c r="D1984">
        <v>0.18628829999999999</v>
      </c>
      <c r="E1984">
        <v>0.14439650000000001</v>
      </c>
      <c r="F1984">
        <v>3.5108199999999999E-2</v>
      </c>
      <c r="G1984">
        <v>0.29710160000000002</v>
      </c>
      <c r="H1984">
        <v>0.24871209999999999</v>
      </c>
      <c r="Q1984" s="10">
        <f t="shared" si="80"/>
        <v>3.6389916109182102E-2</v>
      </c>
      <c r="AI1984">
        <v>0.132908</v>
      </c>
      <c r="AJ1984">
        <f t="shared" si="79"/>
        <v>0.132908</v>
      </c>
      <c r="AO1984">
        <v>0.132908</v>
      </c>
      <c r="AR1984" s="8">
        <v>1</v>
      </c>
      <c r="AS1984">
        <v>0.38764680000000001</v>
      </c>
    </row>
    <row r="1985" spans="1:45" x14ac:dyDescent="0.25">
      <c r="A1985">
        <v>353</v>
      </c>
      <c r="B1985">
        <v>1998</v>
      </c>
      <c r="C1985" s="8">
        <v>0</v>
      </c>
      <c r="D1985">
        <v>0.1761103</v>
      </c>
      <c r="E1985">
        <v>0.1307374</v>
      </c>
      <c r="F1985">
        <v>3.9431099999999997E-2</v>
      </c>
      <c r="G1985">
        <v>0.19292960000000001</v>
      </c>
      <c r="H1985">
        <v>0.21934010000000001</v>
      </c>
      <c r="Q1985" s="10">
        <f t="shared" si="80"/>
        <v>4.1188879522860329E-2</v>
      </c>
      <c r="AI1985">
        <v>-2.6386400000000001E-2</v>
      </c>
      <c r="AJ1985">
        <f t="shared" si="79"/>
        <v>-2.6386400000000001E-2</v>
      </c>
      <c r="AO1985">
        <v>-2.6386400000000001E-2</v>
      </c>
      <c r="AR1985" s="8">
        <v>0</v>
      </c>
      <c r="AS1985">
        <v>0.37212689999999998</v>
      </c>
    </row>
    <row r="1986" spans="1:45" x14ac:dyDescent="0.25">
      <c r="A1986">
        <v>353</v>
      </c>
      <c r="B1986">
        <v>1999</v>
      </c>
      <c r="C1986" s="8">
        <v>1</v>
      </c>
      <c r="D1986">
        <v>0.132908</v>
      </c>
      <c r="E1986">
        <v>8.6620199999999994E-2</v>
      </c>
      <c r="F1986">
        <v>1.9685399999999999E-2</v>
      </c>
      <c r="G1986">
        <v>0.1168295</v>
      </c>
      <c r="H1986">
        <v>0.23223869999999999</v>
      </c>
      <c r="Q1986" s="10">
        <f t="shared" si="80"/>
        <v>5.6568684171164972E-2</v>
      </c>
      <c r="AI1986">
        <v>-6.1929199999999997E-2</v>
      </c>
      <c r="AJ1986">
        <f t="shared" si="79"/>
        <v>-6.1929199999999997E-2</v>
      </c>
      <c r="AO1986">
        <v>-6.1929199999999997E-2</v>
      </c>
      <c r="AR1986" s="8">
        <v>0</v>
      </c>
      <c r="AS1986">
        <v>0.29710160000000002</v>
      </c>
    </row>
    <row r="1987" spans="1:45" x14ac:dyDescent="0.25">
      <c r="A1987">
        <v>354</v>
      </c>
      <c r="B1987">
        <v>1995</v>
      </c>
      <c r="C1987" s="8">
        <v>0</v>
      </c>
      <c r="D1987">
        <v>-2.6386400000000001E-2</v>
      </c>
      <c r="E1987">
        <v>0.17445920000000001</v>
      </c>
      <c r="F1987">
        <v>6.2339699999999998E-2</v>
      </c>
      <c r="G1987">
        <v>2.2755390000000002</v>
      </c>
      <c r="H1987">
        <v>0.1217999</v>
      </c>
      <c r="Q1987" s="10">
        <f t="shared" si="80"/>
        <v>1.0503920551835687E-3</v>
      </c>
      <c r="AI1987">
        <v>-3.5608300000000002E-2</v>
      </c>
      <c r="AJ1987">
        <f t="shared" si="79"/>
        <v>-3.5608300000000002E-2</v>
      </c>
      <c r="AO1987">
        <v>-3.5608300000000002E-2</v>
      </c>
      <c r="AR1987" s="8">
        <v>0</v>
      </c>
      <c r="AS1987">
        <v>0.19292960000000001</v>
      </c>
    </row>
    <row r="1988" spans="1:45" x14ac:dyDescent="0.25">
      <c r="A1988">
        <v>354</v>
      </c>
      <c r="B1988">
        <v>1996</v>
      </c>
      <c r="C1988" s="8">
        <v>0</v>
      </c>
      <c r="D1988">
        <v>-6.1929199999999997E-2</v>
      </c>
      <c r="E1988">
        <v>0.1816941</v>
      </c>
      <c r="F1988">
        <v>5.9167200000000003E-2</v>
      </c>
      <c r="G1988">
        <v>1.7982229999999999</v>
      </c>
      <c r="H1988">
        <v>0.1143768</v>
      </c>
      <c r="Q1988" s="10">
        <f t="shared" si="80"/>
        <v>2.2348038908184898E-3</v>
      </c>
      <c r="AI1988">
        <v>0.27807660000000001</v>
      </c>
      <c r="AJ1988">
        <f t="shared" si="79"/>
        <v>0.27807660000000001</v>
      </c>
      <c r="AO1988">
        <v>0.27807660000000001</v>
      </c>
      <c r="AR1988" s="8">
        <v>1</v>
      </c>
      <c r="AS1988">
        <v>0.1168295</v>
      </c>
    </row>
    <row r="1989" spans="1:45" x14ac:dyDescent="0.25">
      <c r="A1989">
        <v>354</v>
      </c>
      <c r="B1989">
        <v>1997</v>
      </c>
      <c r="C1989" s="8">
        <v>0</v>
      </c>
      <c r="D1989">
        <v>-3.5608300000000002E-2</v>
      </c>
      <c r="E1989">
        <v>0.2136856</v>
      </c>
      <c r="F1989">
        <v>5.1791999999999998E-2</v>
      </c>
      <c r="G1989">
        <v>1.430274</v>
      </c>
      <c r="H1989">
        <v>0.107511</v>
      </c>
      <c r="Q1989" s="10">
        <f t="shared" si="80"/>
        <v>4.0869035745515672E-3</v>
      </c>
      <c r="AI1989">
        <v>0.255326</v>
      </c>
      <c r="AJ1989">
        <f t="shared" ref="AJ1989:AJ2052" si="81">MAX(MIN(AI1989,AM$5),AM$4)</f>
        <v>0.255326</v>
      </c>
      <c r="AO1989">
        <v>0.255326</v>
      </c>
      <c r="AR1989" s="8">
        <v>0</v>
      </c>
      <c r="AS1989">
        <v>2.2755390000000002</v>
      </c>
    </row>
    <row r="1990" spans="1:45" x14ac:dyDescent="0.25">
      <c r="A1990">
        <v>355</v>
      </c>
      <c r="B1990">
        <v>1995</v>
      </c>
      <c r="C1990" s="8">
        <v>0</v>
      </c>
      <c r="D1990">
        <v>0.27807660000000001</v>
      </c>
      <c r="E1990">
        <v>0.17960470000000001</v>
      </c>
      <c r="F1990">
        <v>6.4337400000000003E-2</v>
      </c>
      <c r="G1990">
        <v>1.7943770000000001</v>
      </c>
      <c r="H1990">
        <v>0.23718230000000001</v>
      </c>
      <c r="Q1990" s="10">
        <f t="shared" si="80"/>
        <v>2.6872321081592961E-3</v>
      </c>
      <c r="AI1990">
        <v>0.30180210000000002</v>
      </c>
      <c r="AJ1990">
        <f t="shared" si="81"/>
        <v>0.30180210000000002</v>
      </c>
      <c r="AO1990">
        <v>0.30180210000000002</v>
      </c>
      <c r="AR1990" s="8">
        <v>0</v>
      </c>
      <c r="AS1990">
        <v>1.7982229999999999</v>
      </c>
    </row>
    <row r="1991" spans="1:45" x14ac:dyDescent="0.25">
      <c r="A1991">
        <v>355</v>
      </c>
      <c r="B1991">
        <v>1996</v>
      </c>
      <c r="C1991" s="8">
        <v>0</v>
      </c>
      <c r="D1991">
        <v>0.255326</v>
      </c>
      <c r="E1991">
        <v>0.24164040000000001</v>
      </c>
      <c r="F1991">
        <v>8.7433399999999994E-2</v>
      </c>
      <c r="G1991">
        <v>2.044435</v>
      </c>
      <c r="H1991">
        <v>0.27444000000000002</v>
      </c>
      <c r="Q1991" s="10">
        <f t="shared" ref="Q1991:Q2054" si="82">1/(1+EXP(-(J$6+SUMPRODUCT(K$6:O$6,D1991:H1991))))</f>
        <v>1.3910151186184449E-3</v>
      </c>
      <c r="AI1991">
        <v>0.19434999999999999</v>
      </c>
      <c r="AJ1991">
        <f t="shared" si="81"/>
        <v>0.19434999999999999</v>
      </c>
      <c r="AO1991">
        <v>0.19434999999999999</v>
      </c>
      <c r="AR1991" s="8">
        <v>0</v>
      </c>
      <c r="AS1991">
        <v>1.430274</v>
      </c>
    </row>
    <row r="1992" spans="1:45" x14ac:dyDescent="0.25">
      <c r="A1992">
        <v>355</v>
      </c>
      <c r="B1992">
        <v>1997</v>
      </c>
      <c r="C1992" s="8">
        <v>0</v>
      </c>
      <c r="D1992">
        <v>0.30180210000000002</v>
      </c>
      <c r="E1992">
        <v>0.28583350000000002</v>
      </c>
      <c r="F1992">
        <v>7.2386699999999998E-2</v>
      </c>
      <c r="G1992">
        <v>3.3215699999999999</v>
      </c>
      <c r="H1992">
        <v>0.28412690000000002</v>
      </c>
      <c r="Q1992" s="10">
        <f t="shared" si="82"/>
        <v>1.9737649974007316E-4</v>
      </c>
      <c r="AI1992">
        <v>0.21958910000000001</v>
      </c>
      <c r="AJ1992">
        <f t="shared" si="81"/>
        <v>0.21958910000000001</v>
      </c>
      <c r="AO1992">
        <v>0.21958910000000001</v>
      </c>
      <c r="AR1992" s="8">
        <v>0</v>
      </c>
      <c r="AS1992">
        <v>1.7943770000000001</v>
      </c>
    </row>
    <row r="1993" spans="1:45" x14ac:dyDescent="0.25">
      <c r="A1993">
        <v>355</v>
      </c>
      <c r="B1993">
        <v>1998</v>
      </c>
      <c r="C1993" s="8">
        <v>0</v>
      </c>
      <c r="D1993">
        <v>0.19434999999999999</v>
      </c>
      <c r="E1993">
        <v>0.25318499999999999</v>
      </c>
      <c r="F1993">
        <v>7.4345499999999995E-2</v>
      </c>
      <c r="G1993">
        <v>1.8449469999999999</v>
      </c>
      <c r="H1993">
        <v>0.24461859999999999</v>
      </c>
      <c r="Q1993" s="10">
        <f t="shared" si="82"/>
        <v>1.9966799562021274E-3</v>
      </c>
      <c r="AI1993">
        <v>0.1213345</v>
      </c>
      <c r="AJ1993">
        <f t="shared" si="81"/>
        <v>0.1213345</v>
      </c>
      <c r="AO1993">
        <v>0.1213345</v>
      </c>
      <c r="AR1993" s="8">
        <v>0</v>
      </c>
      <c r="AS1993">
        <v>2.044435</v>
      </c>
    </row>
    <row r="1994" spans="1:45" x14ac:dyDescent="0.25">
      <c r="A1994">
        <v>355</v>
      </c>
      <c r="B1994">
        <v>1999</v>
      </c>
      <c r="C1994" s="8">
        <v>0</v>
      </c>
      <c r="D1994">
        <v>0.21958910000000001</v>
      </c>
      <c r="E1994">
        <v>0.31340380000000001</v>
      </c>
      <c r="F1994">
        <v>6.8873299999999998E-2</v>
      </c>
      <c r="G1994">
        <v>1.2296229999999999</v>
      </c>
      <c r="H1994">
        <v>0.23305339999999999</v>
      </c>
      <c r="Q1994" s="10">
        <f t="shared" si="82"/>
        <v>5.0960055035648762E-3</v>
      </c>
      <c r="AI1994">
        <v>0.10467269999999999</v>
      </c>
      <c r="AJ1994">
        <f t="shared" si="81"/>
        <v>0.10467269999999999</v>
      </c>
      <c r="AO1994">
        <v>0.10467269999999999</v>
      </c>
      <c r="AR1994" s="8">
        <v>0</v>
      </c>
      <c r="AS1994">
        <v>3.3215699999999999</v>
      </c>
    </row>
    <row r="1995" spans="1:45" x14ac:dyDescent="0.25">
      <c r="A1995">
        <v>355</v>
      </c>
      <c r="B1995">
        <v>2000</v>
      </c>
      <c r="C1995" s="8">
        <v>0</v>
      </c>
      <c r="D1995">
        <v>0.1213345</v>
      </c>
      <c r="E1995">
        <v>0.29729800000000001</v>
      </c>
      <c r="F1995">
        <v>4.8638599999999997E-2</v>
      </c>
      <c r="G1995">
        <v>0.81505680000000003</v>
      </c>
      <c r="H1995">
        <v>0.20467869999999999</v>
      </c>
      <c r="Q1995" s="10">
        <f t="shared" si="82"/>
        <v>1.1133918625799405E-2</v>
      </c>
      <c r="AI1995">
        <v>0.16236890000000001</v>
      </c>
      <c r="AJ1995">
        <f t="shared" si="81"/>
        <v>0.16236890000000001</v>
      </c>
      <c r="AO1995">
        <v>0.16236890000000001</v>
      </c>
      <c r="AR1995" s="8">
        <v>0</v>
      </c>
      <c r="AS1995">
        <v>1.8449469999999999</v>
      </c>
    </row>
    <row r="1996" spans="1:45" x14ac:dyDescent="0.25">
      <c r="A1996">
        <v>355</v>
      </c>
      <c r="B1996">
        <v>2001</v>
      </c>
      <c r="C1996" s="8">
        <v>0</v>
      </c>
      <c r="D1996">
        <v>0.10467269999999999</v>
      </c>
      <c r="E1996">
        <v>0.3189398</v>
      </c>
      <c r="F1996">
        <v>5.2453899999999998E-2</v>
      </c>
      <c r="G1996">
        <v>1.2257579999999999</v>
      </c>
      <c r="H1996">
        <v>0.22579879999999999</v>
      </c>
      <c r="Q1996" s="10">
        <f t="shared" si="82"/>
        <v>5.5034787378922066E-3</v>
      </c>
      <c r="AI1996">
        <v>0.25781229999999999</v>
      </c>
      <c r="AJ1996">
        <f t="shared" si="81"/>
        <v>0.25781229999999999</v>
      </c>
      <c r="AO1996">
        <v>0.25781229999999999</v>
      </c>
      <c r="AR1996" s="8">
        <v>0</v>
      </c>
      <c r="AS1996">
        <v>1.2296229999999999</v>
      </c>
    </row>
    <row r="1997" spans="1:45" x14ac:dyDescent="0.25">
      <c r="A1997">
        <v>355</v>
      </c>
      <c r="B1997">
        <v>2002</v>
      </c>
      <c r="C1997" s="8">
        <v>0</v>
      </c>
      <c r="D1997">
        <v>0.16236890000000001</v>
      </c>
      <c r="E1997">
        <v>0.34739320000000001</v>
      </c>
      <c r="F1997">
        <v>4.0866600000000003E-2</v>
      </c>
      <c r="G1997">
        <v>1.1051960000000001</v>
      </c>
      <c r="H1997">
        <v>0.23651059999999999</v>
      </c>
      <c r="Q1997" s="10">
        <f t="shared" si="82"/>
        <v>7.2256489787772098E-3</v>
      </c>
      <c r="AI1997">
        <v>0.1895347</v>
      </c>
      <c r="AJ1997">
        <f t="shared" si="81"/>
        <v>0.1895347</v>
      </c>
      <c r="AO1997">
        <v>0.1895347</v>
      </c>
      <c r="AR1997" s="8">
        <v>0</v>
      </c>
      <c r="AS1997">
        <v>0.81505680000000003</v>
      </c>
    </row>
    <row r="1998" spans="1:45" x14ac:dyDescent="0.25">
      <c r="A1998">
        <v>355</v>
      </c>
      <c r="B1998">
        <v>2003</v>
      </c>
      <c r="C1998" s="8">
        <v>0</v>
      </c>
      <c r="D1998">
        <v>0.25781229999999999</v>
      </c>
      <c r="E1998">
        <v>0.40604129999999999</v>
      </c>
      <c r="F1998">
        <v>4.5664400000000001E-2</v>
      </c>
      <c r="G1998">
        <v>1.359777</v>
      </c>
      <c r="H1998">
        <v>0.23124829999999999</v>
      </c>
      <c r="Q1998" s="10">
        <f t="shared" si="82"/>
        <v>4.4255358132756122E-3</v>
      </c>
      <c r="AI1998">
        <v>7.6336200000000007E-2</v>
      </c>
      <c r="AJ1998">
        <f t="shared" si="81"/>
        <v>7.6336200000000007E-2</v>
      </c>
      <c r="AO1998">
        <v>7.6336200000000007E-2</v>
      </c>
      <c r="AR1998" s="8">
        <v>0</v>
      </c>
      <c r="AS1998">
        <v>1.2257579999999999</v>
      </c>
    </row>
    <row r="1999" spans="1:45" x14ac:dyDescent="0.25">
      <c r="A1999">
        <v>355</v>
      </c>
      <c r="B1999">
        <v>2004</v>
      </c>
      <c r="C1999" s="8">
        <v>0</v>
      </c>
      <c r="D1999">
        <v>0.1895347</v>
      </c>
      <c r="E1999">
        <v>0.44635580000000002</v>
      </c>
      <c r="F1999">
        <v>6.2553899999999996E-2</v>
      </c>
      <c r="G1999">
        <v>1.6032249999999999</v>
      </c>
      <c r="H1999">
        <v>0.22835320000000001</v>
      </c>
      <c r="Q1999" s="10">
        <f t="shared" si="82"/>
        <v>2.4052528285590652E-3</v>
      </c>
      <c r="AI1999">
        <v>8.4791000000000005E-2</v>
      </c>
      <c r="AJ1999">
        <f t="shared" si="81"/>
        <v>8.4791000000000005E-2</v>
      </c>
      <c r="AO1999">
        <v>8.4791000000000005E-2</v>
      </c>
      <c r="AR1999" s="8">
        <v>0</v>
      </c>
      <c r="AS1999">
        <v>1.1051960000000001</v>
      </c>
    </row>
    <row r="2000" spans="1:45" x14ac:dyDescent="0.25">
      <c r="A2000">
        <v>356</v>
      </c>
      <c r="B2000">
        <v>1995</v>
      </c>
      <c r="C2000" s="8">
        <v>0</v>
      </c>
      <c r="D2000">
        <v>7.6336200000000007E-2</v>
      </c>
      <c r="E2000">
        <v>-1.8420000000000001E-4</v>
      </c>
      <c r="F2000">
        <v>5.1569900000000002E-2</v>
      </c>
      <c r="G2000">
        <v>0.99343139999999996</v>
      </c>
      <c r="H2000">
        <v>0.16522619999999999</v>
      </c>
      <c r="Q2000" s="10">
        <f t="shared" si="82"/>
        <v>1.2070839529850165E-2</v>
      </c>
      <c r="AI2000">
        <v>0.1080922</v>
      </c>
      <c r="AJ2000">
        <f t="shared" si="81"/>
        <v>0.1080922</v>
      </c>
      <c r="AO2000">
        <v>0.1080922</v>
      </c>
      <c r="AR2000" s="8">
        <v>0</v>
      </c>
      <c r="AS2000">
        <v>1.359777</v>
      </c>
    </row>
    <row r="2001" spans="1:45" x14ac:dyDescent="0.25">
      <c r="A2001">
        <v>356</v>
      </c>
      <c r="B2001">
        <v>1996</v>
      </c>
      <c r="C2001" s="8">
        <v>0</v>
      </c>
      <c r="D2001">
        <v>8.4791000000000005E-2</v>
      </c>
      <c r="E2001">
        <v>4.1829900000000003E-2</v>
      </c>
      <c r="F2001">
        <v>4.6330499999999997E-2</v>
      </c>
      <c r="G2001">
        <v>1.0923069999999999</v>
      </c>
      <c r="H2001">
        <v>0.1150813</v>
      </c>
      <c r="Q2001" s="10">
        <f t="shared" si="82"/>
        <v>9.8621761125848879E-3</v>
      </c>
      <c r="AI2001">
        <v>9.9078100000000002E-2</v>
      </c>
      <c r="AJ2001">
        <f t="shared" si="81"/>
        <v>9.9078100000000002E-2</v>
      </c>
      <c r="AO2001">
        <v>9.9078100000000002E-2</v>
      </c>
      <c r="AR2001" s="8">
        <v>0</v>
      </c>
      <c r="AS2001">
        <v>1.6032249999999999</v>
      </c>
    </row>
    <row r="2002" spans="1:45" x14ac:dyDescent="0.25">
      <c r="A2002">
        <v>356</v>
      </c>
      <c r="B2002">
        <v>1997</v>
      </c>
      <c r="C2002" s="8">
        <v>0</v>
      </c>
      <c r="D2002">
        <v>0.1080922</v>
      </c>
      <c r="E2002">
        <v>0.12288689999999999</v>
      </c>
      <c r="F2002">
        <v>3.2101900000000003E-2</v>
      </c>
      <c r="G2002">
        <v>1.483468</v>
      </c>
      <c r="H2002">
        <v>0.14982039999999999</v>
      </c>
      <c r="Q2002" s="10">
        <f t="shared" si="82"/>
        <v>5.4571966080801853E-3</v>
      </c>
      <c r="AI2002">
        <v>0.51728099999999999</v>
      </c>
      <c r="AJ2002">
        <f t="shared" si="81"/>
        <v>0.51728099999999999</v>
      </c>
      <c r="AO2002">
        <v>0.51728099999999999</v>
      </c>
      <c r="AR2002" s="8">
        <v>0</v>
      </c>
      <c r="AS2002">
        <v>0.99343139999999996</v>
      </c>
    </row>
    <row r="2003" spans="1:45" x14ac:dyDescent="0.25">
      <c r="A2003">
        <v>356</v>
      </c>
      <c r="B2003">
        <v>2003</v>
      </c>
      <c r="C2003" s="8">
        <v>0</v>
      </c>
      <c r="D2003">
        <v>9.9078100000000002E-2</v>
      </c>
      <c r="E2003">
        <v>2.9340100000000001E-2</v>
      </c>
      <c r="F2003">
        <v>3.2792799999999997E-2</v>
      </c>
      <c r="G2003">
        <v>0.45345360000000001</v>
      </c>
      <c r="H2003">
        <v>0.29726829999999999</v>
      </c>
      <c r="Q2003" s="10">
        <f t="shared" si="82"/>
        <v>3.4033317428837112E-2</v>
      </c>
      <c r="AI2003">
        <v>0.32269439999999999</v>
      </c>
      <c r="AJ2003">
        <f t="shared" si="81"/>
        <v>0.32269439999999999</v>
      </c>
      <c r="AO2003">
        <v>0.32269439999999999</v>
      </c>
      <c r="AR2003" s="8">
        <v>0</v>
      </c>
      <c r="AS2003">
        <v>1.0923069999999999</v>
      </c>
    </row>
    <row r="2004" spans="1:45" x14ac:dyDescent="0.25">
      <c r="A2004">
        <v>357</v>
      </c>
      <c r="B2004">
        <v>1995</v>
      </c>
      <c r="C2004" s="8">
        <v>0</v>
      </c>
      <c r="D2004">
        <v>0.51728099999999999</v>
      </c>
      <c r="E2004">
        <v>0.28170200000000001</v>
      </c>
      <c r="F2004">
        <v>7.6041899999999996E-2</v>
      </c>
      <c r="G2004">
        <v>6.0861650000000003</v>
      </c>
      <c r="H2004">
        <v>0.407281</v>
      </c>
      <c r="Q2004" s="10">
        <f t="shared" si="82"/>
        <v>2.7788816624111099E-6</v>
      </c>
      <c r="AI2004">
        <v>0.2894736</v>
      </c>
      <c r="AJ2004">
        <f t="shared" si="81"/>
        <v>0.2894736</v>
      </c>
      <c r="AO2004">
        <v>0.2894736</v>
      </c>
      <c r="AR2004" s="8">
        <v>0</v>
      </c>
      <c r="AS2004">
        <v>1.483468</v>
      </c>
    </row>
    <row r="2005" spans="1:45" x14ac:dyDescent="0.25">
      <c r="A2005">
        <v>358</v>
      </c>
      <c r="B2005">
        <v>1995</v>
      </c>
      <c r="C2005" s="8">
        <v>0</v>
      </c>
      <c r="D2005">
        <v>0.32269439999999999</v>
      </c>
      <c r="E2005">
        <v>0.52847370000000005</v>
      </c>
      <c r="F2005">
        <v>8.1988400000000003E-2</v>
      </c>
      <c r="G2005">
        <v>4.2159209999999998</v>
      </c>
      <c r="H2005">
        <v>0.43526969999999998</v>
      </c>
      <c r="Q2005" s="10">
        <f t="shared" si="82"/>
        <v>3.4218253153450043E-5</v>
      </c>
      <c r="AI2005">
        <v>0.30054920000000002</v>
      </c>
      <c r="AJ2005">
        <f t="shared" si="81"/>
        <v>0.30054920000000002</v>
      </c>
      <c r="AO2005">
        <v>0.30054920000000002</v>
      </c>
      <c r="AR2005" s="8">
        <v>0</v>
      </c>
      <c r="AS2005">
        <v>0.45345360000000001</v>
      </c>
    </row>
    <row r="2006" spans="1:45" x14ac:dyDescent="0.25">
      <c r="A2006">
        <v>358</v>
      </c>
      <c r="B2006">
        <v>1996</v>
      </c>
      <c r="C2006" s="8">
        <v>0</v>
      </c>
      <c r="D2006">
        <v>0.2894736</v>
      </c>
      <c r="E2006">
        <v>0.44218580000000002</v>
      </c>
      <c r="F2006">
        <v>6.55641E-2</v>
      </c>
      <c r="G2006">
        <v>4.1749970000000003</v>
      </c>
      <c r="H2006">
        <v>0.40540490000000001</v>
      </c>
      <c r="Q2006" s="10">
        <f t="shared" si="82"/>
        <v>4.5719868741894632E-5</v>
      </c>
      <c r="AI2006">
        <v>0.31549290000000002</v>
      </c>
      <c r="AJ2006">
        <f t="shared" si="81"/>
        <v>0.31549290000000002</v>
      </c>
      <c r="AO2006">
        <v>0.31549290000000002</v>
      </c>
      <c r="AR2006" s="8">
        <v>0</v>
      </c>
      <c r="AS2006">
        <v>6.0861650000000003</v>
      </c>
    </row>
    <row r="2007" spans="1:45" x14ac:dyDescent="0.25">
      <c r="A2007">
        <v>358</v>
      </c>
      <c r="B2007">
        <v>1997</v>
      </c>
      <c r="C2007" s="8">
        <v>0</v>
      </c>
      <c r="D2007">
        <v>0.30054920000000002</v>
      </c>
      <c r="E2007">
        <v>0.45071309999999998</v>
      </c>
      <c r="F2007">
        <v>8.15583E-2</v>
      </c>
      <c r="G2007">
        <v>4.3744240000000003</v>
      </c>
      <c r="H2007">
        <v>0.39367069999999998</v>
      </c>
      <c r="Q2007" s="10">
        <f t="shared" si="82"/>
        <v>2.8838879105362257E-5</v>
      </c>
      <c r="AI2007">
        <v>0.30961610000000001</v>
      </c>
      <c r="AJ2007">
        <f t="shared" si="81"/>
        <v>0.30961610000000001</v>
      </c>
      <c r="AO2007">
        <v>0.30961610000000001</v>
      </c>
      <c r="AR2007" s="8">
        <v>0</v>
      </c>
      <c r="AS2007">
        <v>4.2159209999999998</v>
      </c>
    </row>
    <row r="2008" spans="1:45" x14ac:dyDescent="0.25">
      <c r="A2008">
        <v>358</v>
      </c>
      <c r="B2008">
        <v>1998</v>
      </c>
      <c r="C2008" s="8">
        <v>0</v>
      </c>
      <c r="D2008">
        <v>0.31549290000000002</v>
      </c>
      <c r="E2008">
        <v>0.44869439999999999</v>
      </c>
      <c r="F2008">
        <v>5.2333299999999999E-2</v>
      </c>
      <c r="G2008">
        <v>3.9646349999999999</v>
      </c>
      <c r="H2008">
        <v>0.35887380000000002</v>
      </c>
      <c r="Q2008" s="10">
        <f t="shared" si="82"/>
        <v>6.9134749396926098E-5</v>
      </c>
      <c r="AI2008">
        <v>0.29345389999999999</v>
      </c>
      <c r="AJ2008">
        <f t="shared" si="81"/>
        <v>0.29345389999999999</v>
      </c>
      <c r="AO2008">
        <v>0.29345389999999999</v>
      </c>
      <c r="AR2008" s="8">
        <v>0</v>
      </c>
      <c r="AS2008">
        <v>4.1749970000000003</v>
      </c>
    </row>
    <row r="2009" spans="1:45" x14ac:dyDescent="0.25">
      <c r="A2009">
        <v>358</v>
      </c>
      <c r="B2009">
        <v>1999</v>
      </c>
      <c r="C2009" s="8">
        <v>0</v>
      </c>
      <c r="D2009">
        <v>0.30961610000000001</v>
      </c>
      <c r="E2009">
        <v>0.45042480000000001</v>
      </c>
      <c r="F2009">
        <v>6.9228899999999996E-2</v>
      </c>
      <c r="G2009">
        <v>3.1789610000000001</v>
      </c>
      <c r="H2009">
        <v>0.34028330000000001</v>
      </c>
      <c r="Q2009" s="10">
        <f t="shared" si="82"/>
        <v>2.0775161631541512E-4</v>
      </c>
      <c r="AI2009">
        <v>0.30535129999999999</v>
      </c>
      <c r="AJ2009">
        <f t="shared" si="81"/>
        <v>0.30535129999999999</v>
      </c>
      <c r="AO2009">
        <v>0.30535129999999999</v>
      </c>
      <c r="AR2009" s="8">
        <v>0</v>
      </c>
      <c r="AS2009">
        <v>4.3744240000000003</v>
      </c>
    </row>
    <row r="2010" spans="1:45" x14ac:dyDescent="0.25">
      <c r="A2010">
        <v>358</v>
      </c>
      <c r="B2010">
        <v>2000</v>
      </c>
      <c r="C2010" s="8">
        <v>0</v>
      </c>
      <c r="D2010">
        <v>0.29345389999999999</v>
      </c>
      <c r="E2010">
        <v>0.4493221</v>
      </c>
      <c r="F2010">
        <v>5.3972800000000001E-2</v>
      </c>
      <c r="G2010">
        <v>2.3728720000000001</v>
      </c>
      <c r="H2010">
        <v>0.32455580000000001</v>
      </c>
      <c r="Q2010" s="10">
        <f t="shared" si="82"/>
        <v>8.3504697026477433E-4</v>
      </c>
      <c r="AI2010">
        <v>0.28892849999999998</v>
      </c>
      <c r="AJ2010">
        <f t="shared" si="81"/>
        <v>0.28892849999999998</v>
      </c>
      <c r="AO2010">
        <v>0.28892849999999998</v>
      </c>
      <c r="AR2010" s="8">
        <v>0</v>
      </c>
      <c r="AS2010">
        <v>3.9646349999999999</v>
      </c>
    </row>
    <row r="2011" spans="1:45" x14ac:dyDescent="0.25">
      <c r="A2011">
        <v>358</v>
      </c>
      <c r="B2011">
        <v>2001</v>
      </c>
      <c r="C2011" s="8">
        <v>0</v>
      </c>
      <c r="D2011">
        <v>0.30535129999999999</v>
      </c>
      <c r="E2011">
        <v>0.46999930000000001</v>
      </c>
      <c r="F2011">
        <v>4.2928000000000001E-2</v>
      </c>
      <c r="G2011">
        <v>2.947168</v>
      </c>
      <c r="H2011">
        <v>0.31120130000000001</v>
      </c>
      <c r="Q2011" s="10">
        <f t="shared" si="82"/>
        <v>3.5343944765640239E-4</v>
      </c>
      <c r="AI2011">
        <v>0.32741920000000002</v>
      </c>
      <c r="AJ2011">
        <f t="shared" si="81"/>
        <v>0.32741920000000002</v>
      </c>
      <c r="AO2011">
        <v>0.32741920000000002</v>
      </c>
      <c r="AR2011" s="8">
        <v>0</v>
      </c>
      <c r="AS2011">
        <v>3.1789610000000001</v>
      </c>
    </row>
    <row r="2012" spans="1:45" x14ac:dyDescent="0.25">
      <c r="A2012">
        <v>358</v>
      </c>
      <c r="B2012">
        <v>2002</v>
      </c>
      <c r="C2012" s="8">
        <v>0</v>
      </c>
      <c r="D2012">
        <v>0.28892849999999998</v>
      </c>
      <c r="E2012">
        <v>0.49229260000000002</v>
      </c>
      <c r="F2012">
        <v>4.6553400000000002E-2</v>
      </c>
      <c r="G2012">
        <v>2.8956789999999999</v>
      </c>
      <c r="H2012">
        <v>0.31408979999999997</v>
      </c>
      <c r="Q2012" s="10">
        <f t="shared" si="82"/>
        <v>3.5900238336778503E-4</v>
      </c>
      <c r="AI2012">
        <v>0.28730280000000002</v>
      </c>
      <c r="AJ2012">
        <f t="shared" si="81"/>
        <v>0.28730280000000002</v>
      </c>
      <c r="AO2012">
        <v>0.28730280000000002</v>
      </c>
      <c r="AR2012" s="8">
        <v>0</v>
      </c>
      <c r="AS2012">
        <v>2.3728720000000001</v>
      </c>
    </row>
    <row r="2013" spans="1:45" x14ac:dyDescent="0.25">
      <c r="A2013">
        <v>358</v>
      </c>
      <c r="B2013">
        <v>2003</v>
      </c>
      <c r="C2013" s="8">
        <v>0</v>
      </c>
      <c r="D2013">
        <v>0.32741920000000002</v>
      </c>
      <c r="E2013">
        <v>0.50301569999999995</v>
      </c>
      <c r="F2013">
        <v>4.3873099999999998E-2</v>
      </c>
      <c r="G2013">
        <v>2.3724820000000002</v>
      </c>
      <c r="H2013">
        <v>0.31429299999999999</v>
      </c>
      <c r="Q2013" s="10">
        <f t="shared" si="82"/>
        <v>8.443200624223858E-4</v>
      </c>
      <c r="AI2013">
        <v>0.20335039999999999</v>
      </c>
      <c r="AJ2013">
        <f t="shared" si="81"/>
        <v>0.20335039999999999</v>
      </c>
      <c r="AO2013">
        <v>0.20335039999999999</v>
      </c>
      <c r="AR2013" s="8">
        <v>0</v>
      </c>
      <c r="AS2013">
        <v>2.947168</v>
      </c>
    </row>
    <row r="2014" spans="1:45" x14ac:dyDescent="0.25">
      <c r="A2014">
        <v>358</v>
      </c>
      <c r="B2014">
        <v>2004</v>
      </c>
      <c r="C2014" s="8">
        <v>0</v>
      </c>
      <c r="D2014">
        <v>0.28730280000000002</v>
      </c>
      <c r="E2014">
        <v>0.52298029999999995</v>
      </c>
      <c r="F2014">
        <v>3.9715500000000001E-2</v>
      </c>
      <c r="G2014">
        <v>2.919915</v>
      </c>
      <c r="H2014">
        <v>0.35102749999999999</v>
      </c>
      <c r="Q2014" s="10">
        <f t="shared" si="82"/>
        <v>3.5673832913456932E-4</v>
      </c>
      <c r="AI2014">
        <v>0.32971830000000002</v>
      </c>
      <c r="AJ2014">
        <f t="shared" si="81"/>
        <v>0.32971830000000002</v>
      </c>
      <c r="AO2014">
        <v>0.32971830000000002</v>
      </c>
      <c r="AR2014" s="8">
        <v>0</v>
      </c>
      <c r="AS2014">
        <v>2.8956789999999999</v>
      </c>
    </row>
    <row r="2015" spans="1:45" x14ac:dyDescent="0.25">
      <c r="A2015">
        <v>359</v>
      </c>
      <c r="B2015">
        <v>2003</v>
      </c>
      <c r="C2015" s="8">
        <v>0</v>
      </c>
      <c r="D2015">
        <v>0.20335039999999999</v>
      </c>
      <c r="E2015">
        <v>0.36528729999999998</v>
      </c>
      <c r="F2015">
        <v>3.1716599999999998E-2</v>
      </c>
      <c r="G2015">
        <v>1.443578</v>
      </c>
      <c r="H2015">
        <v>0.115741</v>
      </c>
      <c r="Q2015" s="10">
        <f t="shared" si="82"/>
        <v>4.1819043651796393E-3</v>
      </c>
      <c r="AI2015">
        <v>0.23777119999999999</v>
      </c>
      <c r="AJ2015">
        <f t="shared" si="81"/>
        <v>0.23777119999999999</v>
      </c>
      <c r="AO2015">
        <v>0.23777119999999999</v>
      </c>
      <c r="AR2015" s="8">
        <v>0</v>
      </c>
      <c r="AS2015">
        <v>2.3724820000000002</v>
      </c>
    </row>
    <row r="2016" spans="1:45" x14ac:dyDescent="0.25">
      <c r="A2016">
        <v>359</v>
      </c>
      <c r="B2016">
        <v>2004</v>
      </c>
      <c r="C2016" s="8">
        <v>0</v>
      </c>
      <c r="D2016">
        <v>0.32971830000000002</v>
      </c>
      <c r="E2016">
        <v>0.3526977</v>
      </c>
      <c r="F2016">
        <v>4.0216799999999997E-2</v>
      </c>
      <c r="G2016">
        <v>1.9938910000000001</v>
      </c>
      <c r="H2016">
        <v>0.14877570000000001</v>
      </c>
      <c r="Q2016" s="10">
        <f t="shared" si="82"/>
        <v>1.7848701460278671E-3</v>
      </c>
      <c r="AI2016">
        <v>0.21600610000000001</v>
      </c>
      <c r="AJ2016">
        <f t="shared" si="81"/>
        <v>0.21600610000000001</v>
      </c>
      <c r="AO2016">
        <v>0.21600610000000001</v>
      </c>
      <c r="AR2016" s="8">
        <v>0</v>
      </c>
      <c r="AS2016">
        <v>2.919915</v>
      </c>
    </row>
    <row r="2017" spans="1:45" x14ac:dyDescent="0.25">
      <c r="A2017">
        <v>360</v>
      </c>
      <c r="B2017">
        <v>1995</v>
      </c>
      <c r="C2017" s="8">
        <v>0</v>
      </c>
      <c r="D2017">
        <v>0.23777119999999999</v>
      </c>
      <c r="E2017">
        <v>0.24707129999999999</v>
      </c>
      <c r="F2017">
        <v>4.7146500000000001E-2</v>
      </c>
      <c r="G2017">
        <v>1.0258499999999999</v>
      </c>
      <c r="H2017">
        <v>0.39296700000000001</v>
      </c>
      <c r="Q2017" s="10">
        <f t="shared" si="82"/>
        <v>1.0225640568181246E-2</v>
      </c>
      <c r="AI2017">
        <v>0.23422029999999999</v>
      </c>
      <c r="AJ2017">
        <f t="shared" si="81"/>
        <v>0.23422029999999999</v>
      </c>
      <c r="AO2017">
        <v>0.23422029999999999</v>
      </c>
      <c r="AR2017" s="8">
        <v>0</v>
      </c>
      <c r="AS2017">
        <v>1.443578</v>
      </c>
    </row>
    <row r="2018" spans="1:45" x14ac:dyDescent="0.25">
      <c r="A2018">
        <v>360</v>
      </c>
      <c r="B2018">
        <v>1996</v>
      </c>
      <c r="C2018" s="8">
        <v>0</v>
      </c>
      <c r="D2018">
        <v>0.21600610000000001</v>
      </c>
      <c r="E2018">
        <v>0.24251809999999999</v>
      </c>
      <c r="F2018">
        <v>7.59412E-2</v>
      </c>
      <c r="G2018">
        <v>1.231519</v>
      </c>
      <c r="H2018">
        <v>0.42486269999999998</v>
      </c>
      <c r="Q2018" s="10">
        <f t="shared" si="82"/>
        <v>5.9802509038409529E-3</v>
      </c>
      <c r="AI2018">
        <v>0.206011</v>
      </c>
      <c r="AJ2018">
        <f t="shared" si="81"/>
        <v>0.206011</v>
      </c>
      <c r="AO2018">
        <v>0.206011</v>
      </c>
      <c r="AR2018" s="8">
        <v>0</v>
      </c>
      <c r="AS2018">
        <v>1.9938910000000001</v>
      </c>
    </row>
    <row r="2019" spans="1:45" x14ac:dyDescent="0.25">
      <c r="A2019">
        <v>360</v>
      </c>
      <c r="B2019">
        <v>1997</v>
      </c>
      <c r="C2019" s="8">
        <v>0</v>
      </c>
      <c r="D2019">
        <v>0.23422029999999999</v>
      </c>
      <c r="E2019">
        <v>0.26825120000000002</v>
      </c>
      <c r="F2019">
        <v>6.2217799999999997E-2</v>
      </c>
      <c r="G2019">
        <v>1.6124719999999999</v>
      </c>
      <c r="H2019">
        <v>0.42787649999999999</v>
      </c>
      <c r="Q2019" s="10">
        <f t="shared" si="82"/>
        <v>3.5452125914483363E-3</v>
      </c>
      <c r="AI2019">
        <v>-2.69737E-2</v>
      </c>
      <c r="AJ2019">
        <f t="shared" si="81"/>
        <v>-2.69737E-2</v>
      </c>
      <c r="AO2019">
        <v>-2.69737E-2</v>
      </c>
      <c r="AR2019" s="8">
        <v>0</v>
      </c>
      <c r="AS2019">
        <v>1.0258499999999999</v>
      </c>
    </row>
    <row r="2020" spans="1:45" x14ac:dyDescent="0.25">
      <c r="A2020">
        <v>360</v>
      </c>
      <c r="B2020">
        <v>1998</v>
      </c>
      <c r="C2020" s="8">
        <v>0</v>
      </c>
      <c r="D2020">
        <v>0.206011</v>
      </c>
      <c r="E2020">
        <v>0.28124070000000001</v>
      </c>
      <c r="F2020">
        <v>4.4232E-2</v>
      </c>
      <c r="G2020">
        <v>0.96378019999999998</v>
      </c>
      <c r="H2020">
        <v>0.38403700000000002</v>
      </c>
      <c r="Q2020" s="10">
        <f t="shared" si="82"/>
        <v>1.0785274646068372E-2</v>
      </c>
      <c r="AI2020">
        <v>3.9148000000000004E-3</v>
      </c>
      <c r="AJ2020">
        <f t="shared" si="81"/>
        <v>3.9148000000000004E-3</v>
      </c>
      <c r="AO2020">
        <v>3.9148000000000004E-3</v>
      </c>
      <c r="AR2020" s="8">
        <v>0</v>
      </c>
      <c r="AS2020">
        <v>1.231519</v>
      </c>
    </row>
    <row r="2021" spans="1:45" x14ac:dyDescent="0.25">
      <c r="A2021">
        <v>361</v>
      </c>
      <c r="B2021">
        <v>1995</v>
      </c>
      <c r="C2021" s="8">
        <v>0</v>
      </c>
      <c r="D2021">
        <v>-2.69737E-2</v>
      </c>
      <c r="E2021">
        <v>0.48246840000000002</v>
      </c>
      <c r="F2021">
        <v>6.1396199999999998E-2</v>
      </c>
      <c r="G2021">
        <v>3.480111</v>
      </c>
      <c r="H2021">
        <v>0.14409640000000001</v>
      </c>
      <c r="Q2021" s="10">
        <f t="shared" si="82"/>
        <v>1.0063898437995915E-4</v>
      </c>
      <c r="AI2021">
        <v>0.1229596</v>
      </c>
      <c r="AJ2021">
        <f t="shared" si="81"/>
        <v>0.1229596</v>
      </c>
      <c r="AO2021">
        <v>0.1229596</v>
      </c>
      <c r="AR2021" s="8">
        <v>0</v>
      </c>
      <c r="AS2021">
        <v>1.6124719999999999</v>
      </c>
    </row>
    <row r="2022" spans="1:45" x14ac:dyDescent="0.25">
      <c r="A2022">
        <v>361</v>
      </c>
      <c r="B2022">
        <v>1996</v>
      </c>
      <c r="C2022" s="8">
        <v>0</v>
      </c>
      <c r="D2022">
        <v>3.9148000000000004E-3</v>
      </c>
      <c r="E2022">
        <v>0.51457319999999995</v>
      </c>
      <c r="F2022">
        <v>6.2315299999999997E-2</v>
      </c>
      <c r="G2022">
        <v>4.9634859999999996</v>
      </c>
      <c r="H2022">
        <v>0.18112410000000001</v>
      </c>
      <c r="Q2022" s="10">
        <f t="shared" si="82"/>
        <v>9.2947256917677569E-6</v>
      </c>
      <c r="AI2022">
        <v>8.5409499999999999E-2</v>
      </c>
      <c r="AJ2022">
        <f t="shared" si="81"/>
        <v>8.5409499999999999E-2</v>
      </c>
      <c r="AO2022">
        <v>8.5409499999999999E-2</v>
      </c>
      <c r="AR2022" s="8">
        <v>0</v>
      </c>
      <c r="AS2022">
        <v>0.96378019999999998</v>
      </c>
    </row>
    <row r="2023" spans="1:45" x14ac:dyDescent="0.25">
      <c r="A2023">
        <v>361</v>
      </c>
      <c r="B2023">
        <v>1997</v>
      </c>
      <c r="C2023" s="8">
        <v>0</v>
      </c>
      <c r="D2023">
        <v>0.1229596</v>
      </c>
      <c r="E2023">
        <v>0.35759340000000001</v>
      </c>
      <c r="F2023">
        <v>7.6287900000000006E-2</v>
      </c>
      <c r="G2023">
        <v>9.7819760000000002</v>
      </c>
      <c r="H2023">
        <v>0.21062320000000001</v>
      </c>
      <c r="Q2023" s="10">
        <f t="shared" si="82"/>
        <v>5.1685428247266194E-9</v>
      </c>
      <c r="AI2023">
        <v>0.27969709999999998</v>
      </c>
      <c r="AJ2023">
        <f t="shared" si="81"/>
        <v>0.27969709999999998</v>
      </c>
      <c r="AO2023">
        <v>0.27969709999999998</v>
      </c>
      <c r="AR2023" s="8">
        <v>0</v>
      </c>
      <c r="AS2023">
        <v>3.480111</v>
      </c>
    </row>
    <row r="2024" spans="1:45" x14ac:dyDescent="0.25">
      <c r="A2024">
        <v>361</v>
      </c>
      <c r="B2024">
        <v>1998</v>
      </c>
      <c r="C2024" s="8">
        <v>0</v>
      </c>
      <c r="D2024">
        <v>8.5409499999999999E-2</v>
      </c>
      <c r="E2024">
        <v>0.3466341</v>
      </c>
      <c r="F2024">
        <v>8.6288699999999996E-2</v>
      </c>
      <c r="G2024">
        <v>12.004960000000001</v>
      </c>
      <c r="H2024">
        <v>0.23792079999999999</v>
      </c>
      <c r="Q2024" s="10">
        <f t="shared" si="82"/>
        <v>1.4048574928587366E-10</v>
      </c>
      <c r="AI2024">
        <v>0.2358189</v>
      </c>
      <c r="AJ2024">
        <f t="shared" si="81"/>
        <v>0.2358189</v>
      </c>
      <c r="AO2024">
        <v>0.2358189</v>
      </c>
      <c r="AR2024" s="8">
        <v>0</v>
      </c>
      <c r="AS2024">
        <v>4.9634859999999996</v>
      </c>
    </row>
    <row r="2025" spans="1:45" x14ac:dyDescent="0.25">
      <c r="A2025">
        <v>361</v>
      </c>
      <c r="B2025">
        <v>1999</v>
      </c>
      <c r="C2025" s="8">
        <v>0</v>
      </c>
      <c r="D2025">
        <v>0.27969709999999998</v>
      </c>
      <c r="E2025">
        <v>0.3806794</v>
      </c>
      <c r="F2025">
        <v>0.10028280000000001</v>
      </c>
      <c r="G2025">
        <v>9.3054609999999993</v>
      </c>
      <c r="H2025">
        <v>0.2342813</v>
      </c>
      <c r="Q2025" s="10">
        <f t="shared" si="82"/>
        <v>9.5455081677909223E-9</v>
      </c>
      <c r="AI2025">
        <v>0.14751549999999999</v>
      </c>
      <c r="AJ2025">
        <f t="shared" si="81"/>
        <v>0.14751549999999999</v>
      </c>
      <c r="AO2025">
        <v>0.14751549999999999</v>
      </c>
      <c r="AR2025" s="8">
        <v>0</v>
      </c>
      <c r="AS2025">
        <v>9.7819760000000002</v>
      </c>
    </row>
    <row r="2026" spans="1:45" x14ac:dyDescent="0.25">
      <c r="A2026">
        <v>361</v>
      </c>
      <c r="B2026">
        <v>2000</v>
      </c>
      <c r="C2026" s="8">
        <v>0</v>
      </c>
      <c r="D2026">
        <v>0.2358189</v>
      </c>
      <c r="E2026">
        <v>0.41808830000000002</v>
      </c>
      <c r="F2026">
        <v>8.3437200000000003E-2</v>
      </c>
      <c r="G2026">
        <v>12.19356</v>
      </c>
      <c r="H2026">
        <v>0.2356587</v>
      </c>
      <c r="Q2026" s="10">
        <f t="shared" si="82"/>
        <v>1.0194103122128483E-10</v>
      </c>
      <c r="AI2026">
        <v>0.1706695</v>
      </c>
      <c r="AJ2026">
        <f t="shared" si="81"/>
        <v>0.1706695</v>
      </c>
      <c r="AO2026">
        <v>0.1706695</v>
      </c>
      <c r="AR2026" s="8">
        <v>0</v>
      </c>
      <c r="AS2026">
        <v>12.004960000000001</v>
      </c>
    </row>
    <row r="2027" spans="1:45" x14ac:dyDescent="0.25">
      <c r="A2027">
        <v>361</v>
      </c>
      <c r="B2027">
        <v>2001</v>
      </c>
      <c r="C2027" s="8">
        <v>0</v>
      </c>
      <c r="D2027">
        <v>0.14751549999999999</v>
      </c>
      <c r="E2027">
        <v>0.43441999999999997</v>
      </c>
      <c r="F2027">
        <v>7.1918700000000002E-2</v>
      </c>
      <c r="G2027">
        <v>9.4963390000000008</v>
      </c>
      <c r="H2027">
        <v>0.20693710000000001</v>
      </c>
      <c r="Q2027" s="10">
        <f t="shared" si="82"/>
        <v>7.6058201136601046E-9</v>
      </c>
      <c r="AI2027">
        <v>0.1813041</v>
      </c>
      <c r="AJ2027">
        <f t="shared" si="81"/>
        <v>0.1813041</v>
      </c>
      <c r="AO2027">
        <v>0.1813041</v>
      </c>
      <c r="AR2027" s="8">
        <v>0</v>
      </c>
      <c r="AS2027">
        <v>9.3054609999999993</v>
      </c>
    </row>
    <row r="2028" spans="1:45" x14ac:dyDescent="0.25">
      <c r="A2028">
        <v>361</v>
      </c>
      <c r="B2028">
        <v>2002</v>
      </c>
      <c r="C2028" s="8">
        <v>0</v>
      </c>
      <c r="D2028">
        <v>0.1706695</v>
      </c>
      <c r="E2028">
        <v>0.43547269999999999</v>
      </c>
      <c r="F2028">
        <v>8.0781599999999995E-2</v>
      </c>
      <c r="G2028">
        <v>6.6452989999999996</v>
      </c>
      <c r="H2028">
        <v>0.1820417</v>
      </c>
      <c r="Q2028" s="10">
        <f t="shared" si="82"/>
        <v>6.6119917102144632E-7</v>
      </c>
      <c r="AI2028">
        <v>0.24164550000000001</v>
      </c>
      <c r="AJ2028">
        <f t="shared" si="81"/>
        <v>0.24164550000000001</v>
      </c>
      <c r="AO2028">
        <v>0.24164550000000001</v>
      </c>
      <c r="AR2028" s="8">
        <v>0</v>
      </c>
      <c r="AS2028">
        <v>12.19356</v>
      </c>
    </row>
    <row r="2029" spans="1:45" x14ac:dyDescent="0.25">
      <c r="A2029">
        <v>361</v>
      </c>
      <c r="B2029">
        <v>2003</v>
      </c>
      <c r="C2029" s="8">
        <v>0</v>
      </c>
      <c r="D2029">
        <v>0.1813041</v>
      </c>
      <c r="E2029">
        <v>0.46034999999999998</v>
      </c>
      <c r="F2029">
        <v>7.0955299999999999E-2</v>
      </c>
      <c r="G2029">
        <v>6.659262</v>
      </c>
      <c r="H2029">
        <v>0.18748860000000001</v>
      </c>
      <c r="Q2029" s="10">
        <f t="shared" si="82"/>
        <v>6.7994727632023268E-7</v>
      </c>
      <c r="AI2029">
        <v>0.13114799999999999</v>
      </c>
      <c r="AJ2029">
        <f t="shared" si="81"/>
        <v>0.13114799999999999</v>
      </c>
      <c r="AO2029">
        <v>0.13114799999999999</v>
      </c>
      <c r="AR2029" s="8">
        <v>0</v>
      </c>
      <c r="AS2029">
        <v>9.4963390000000008</v>
      </c>
    </row>
    <row r="2030" spans="1:45" x14ac:dyDescent="0.25">
      <c r="A2030">
        <v>361</v>
      </c>
      <c r="B2030">
        <v>2004</v>
      </c>
      <c r="C2030" s="8">
        <v>0</v>
      </c>
      <c r="D2030">
        <v>0.24164550000000001</v>
      </c>
      <c r="E2030">
        <v>0.4229425</v>
      </c>
      <c r="F2030">
        <v>6.0721299999999999E-2</v>
      </c>
      <c r="G2030">
        <v>4.6363219999999998</v>
      </c>
      <c r="H2030">
        <v>0.17786460000000001</v>
      </c>
      <c r="Q2030" s="10">
        <f t="shared" si="82"/>
        <v>1.9951029769753702E-5</v>
      </c>
      <c r="AI2030">
        <v>0.13635120000000001</v>
      </c>
      <c r="AJ2030">
        <f t="shared" si="81"/>
        <v>0.13635120000000001</v>
      </c>
      <c r="AO2030">
        <v>0.13635120000000001</v>
      </c>
      <c r="AR2030" s="8">
        <v>0</v>
      </c>
      <c r="AS2030">
        <v>6.6452989999999996</v>
      </c>
    </row>
    <row r="2031" spans="1:45" x14ac:dyDescent="0.25">
      <c r="A2031">
        <v>362</v>
      </c>
      <c r="B2031">
        <v>1997</v>
      </c>
      <c r="C2031" s="8">
        <v>0</v>
      </c>
      <c r="D2031">
        <v>0.13114799999999999</v>
      </c>
      <c r="E2031">
        <v>0.19071940000000001</v>
      </c>
      <c r="F2031">
        <v>7.0125699999999999E-2</v>
      </c>
      <c r="G2031">
        <v>1.2054860000000001</v>
      </c>
      <c r="H2031">
        <v>0.33559159999999999</v>
      </c>
      <c r="Q2031" s="10">
        <f t="shared" si="82"/>
        <v>6.4291601158273995E-3</v>
      </c>
      <c r="AI2031">
        <v>0.1177487</v>
      </c>
      <c r="AJ2031">
        <f t="shared" si="81"/>
        <v>0.1177487</v>
      </c>
      <c r="AO2031">
        <v>0.1177487</v>
      </c>
      <c r="AR2031" s="8">
        <v>0</v>
      </c>
      <c r="AS2031">
        <v>6.659262</v>
      </c>
    </row>
    <row r="2032" spans="1:45" x14ac:dyDescent="0.25">
      <c r="A2032">
        <v>362</v>
      </c>
      <c r="B2032">
        <v>1998</v>
      </c>
      <c r="C2032" s="8">
        <v>0</v>
      </c>
      <c r="D2032">
        <v>0.13635120000000001</v>
      </c>
      <c r="E2032">
        <v>0.2347902</v>
      </c>
      <c r="F2032">
        <v>8.7735599999999997E-2</v>
      </c>
      <c r="G2032">
        <v>1.2459009999999999</v>
      </c>
      <c r="H2032">
        <v>0.32863249999999999</v>
      </c>
      <c r="Q2032" s="10">
        <f t="shared" si="82"/>
        <v>4.9080150980720305E-3</v>
      </c>
      <c r="AI2032">
        <v>0.4291355</v>
      </c>
      <c r="AJ2032">
        <f t="shared" si="81"/>
        <v>0.4291355</v>
      </c>
      <c r="AO2032">
        <v>0.4291355</v>
      </c>
      <c r="AR2032" s="8">
        <v>0</v>
      </c>
      <c r="AS2032">
        <v>4.6363219999999998</v>
      </c>
    </row>
    <row r="2033" spans="1:45" x14ac:dyDescent="0.25">
      <c r="A2033">
        <v>362</v>
      </c>
      <c r="B2033">
        <v>1999</v>
      </c>
      <c r="C2033" s="8">
        <v>0</v>
      </c>
      <c r="D2033">
        <v>0.1177487</v>
      </c>
      <c r="E2033">
        <v>0.26911000000000002</v>
      </c>
      <c r="F2033">
        <v>6.8766099999999997E-2</v>
      </c>
      <c r="G2033">
        <v>0.92137100000000005</v>
      </c>
      <c r="H2033">
        <v>0.3495663</v>
      </c>
      <c r="Q2033" s="10">
        <f t="shared" si="82"/>
        <v>9.1238684843726187E-3</v>
      </c>
      <c r="AI2033">
        <v>0.18133850000000001</v>
      </c>
      <c r="AJ2033">
        <f t="shared" si="81"/>
        <v>0.18133850000000001</v>
      </c>
      <c r="AO2033">
        <v>0.18133850000000001</v>
      </c>
      <c r="AR2033" s="8">
        <v>0</v>
      </c>
      <c r="AS2033">
        <v>1.2054860000000001</v>
      </c>
    </row>
    <row r="2034" spans="1:45" x14ac:dyDescent="0.25">
      <c r="A2034">
        <v>363</v>
      </c>
      <c r="B2034">
        <v>1995</v>
      </c>
      <c r="C2034" s="8">
        <v>0</v>
      </c>
      <c r="D2034">
        <v>0.4291355</v>
      </c>
      <c r="E2034">
        <v>0.63502369999999997</v>
      </c>
      <c r="F2034">
        <v>0.10176689999999999</v>
      </c>
      <c r="G2034">
        <v>3.5003730000000002</v>
      </c>
      <c r="H2034">
        <v>0.56831180000000003</v>
      </c>
      <c r="Q2034" s="10">
        <f t="shared" si="82"/>
        <v>8.8802961343776104E-5</v>
      </c>
      <c r="AI2034">
        <v>0.2490994</v>
      </c>
      <c r="AJ2034">
        <f t="shared" si="81"/>
        <v>0.2490994</v>
      </c>
      <c r="AO2034">
        <v>0.2490994</v>
      </c>
      <c r="AR2034" s="8">
        <v>0</v>
      </c>
      <c r="AS2034">
        <v>1.2459009999999999</v>
      </c>
    </row>
    <row r="2035" spans="1:45" x14ac:dyDescent="0.25">
      <c r="A2035">
        <v>363</v>
      </c>
      <c r="B2035">
        <v>1996</v>
      </c>
      <c r="C2035" s="8">
        <v>0</v>
      </c>
      <c r="D2035">
        <v>0.18133850000000001</v>
      </c>
      <c r="E2035">
        <v>0.8967984</v>
      </c>
      <c r="F2035">
        <v>0.13628180000000001</v>
      </c>
      <c r="G2035">
        <v>2.5425080000000002</v>
      </c>
      <c r="H2035">
        <v>0.74893160000000003</v>
      </c>
      <c r="Q2035" s="10">
        <f t="shared" si="82"/>
        <v>2.1385082989117053E-4</v>
      </c>
      <c r="AI2035">
        <v>0.26854509999999998</v>
      </c>
      <c r="AJ2035">
        <f t="shared" si="81"/>
        <v>0.26854509999999998</v>
      </c>
      <c r="AO2035">
        <v>0.26854509999999998</v>
      </c>
      <c r="AR2035" s="8">
        <v>0</v>
      </c>
      <c r="AS2035">
        <v>0.92137100000000005</v>
      </c>
    </row>
    <row r="2036" spans="1:45" x14ac:dyDescent="0.25">
      <c r="A2036">
        <v>363</v>
      </c>
      <c r="B2036">
        <v>1997</v>
      </c>
      <c r="C2036" s="8">
        <v>0</v>
      </c>
      <c r="D2036">
        <v>0.2490994</v>
      </c>
      <c r="E2036">
        <v>0.87779119999999999</v>
      </c>
      <c r="F2036">
        <v>0.1466441</v>
      </c>
      <c r="G2036">
        <v>3.8245450000000001</v>
      </c>
      <c r="H2036">
        <v>0.7847655</v>
      </c>
      <c r="Q2036" s="10">
        <f t="shared" si="82"/>
        <v>2.758999468928668E-5</v>
      </c>
      <c r="AI2036">
        <v>0.29111690000000001</v>
      </c>
      <c r="AJ2036">
        <f t="shared" si="81"/>
        <v>0.29111690000000001</v>
      </c>
      <c r="AO2036">
        <v>0.29111690000000001</v>
      </c>
      <c r="AR2036" s="8">
        <v>0</v>
      </c>
      <c r="AS2036">
        <v>3.5003730000000002</v>
      </c>
    </row>
    <row r="2037" spans="1:45" x14ac:dyDescent="0.25">
      <c r="A2037">
        <v>363</v>
      </c>
      <c r="B2037">
        <v>1998</v>
      </c>
      <c r="C2037" s="8">
        <v>0</v>
      </c>
      <c r="D2037">
        <v>0.26854509999999998</v>
      </c>
      <c r="E2037">
        <v>1.2482519999999999</v>
      </c>
      <c r="F2037">
        <v>0.1408597</v>
      </c>
      <c r="G2037">
        <v>3.957865</v>
      </c>
      <c r="H2037">
        <v>0.74385939999999995</v>
      </c>
      <c r="Q2037" s="10">
        <f t="shared" si="82"/>
        <v>1.3401000058296905E-5</v>
      </c>
      <c r="AI2037">
        <v>0.276229</v>
      </c>
      <c r="AJ2037">
        <f t="shared" si="81"/>
        <v>0.276229</v>
      </c>
      <c r="AO2037">
        <v>0.276229</v>
      </c>
      <c r="AR2037" s="8">
        <v>0</v>
      </c>
      <c r="AS2037">
        <v>2.5425080000000002</v>
      </c>
    </row>
    <row r="2038" spans="1:45" x14ac:dyDescent="0.25">
      <c r="A2038">
        <v>363</v>
      </c>
      <c r="B2038">
        <v>1999</v>
      </c>
      <c r="C2038" s="8">
        <v>0</v>
      </c>
      <c r="D2038">
        <v>0.29111690000000001</v>
      </c>
      <c r="E2038">
        <v>1.51017</v>
      </c>
      <c r="F2038">
        <v>0.17321700000000001</v>
      </c>
      <c r="G2038">
        <v>3.4215339999999999</v>
      </c>
      <c r="H2038">
        <v>0.82735749999999997</v>
      </c>
      <c r="Q2038" s="10">
        <f t="shared" si="82"/>
        <v>1.766271689852118E-5</v>
      </c>
      <c r="AI2038">
        <v>0.31599549999999998</v>
      </c>
      <c r="AJ2038">
        <f t="shared" si="81"/>
        <v>0.31599549999999998</v>
      </c>
      <c r="AO2038">
        <v>0.31599549999999998</v>
      </c>
      <c r="AR2038" s="8">
        <v>0</v>
      </c>
      <c r="AS2038">
        <v>3.8245450000000001</v>
      </c>
    </row>
    <row r="2039" spans="1:45" x14ac:dyDescent="0.25">
      <c r="A2039">
        <v>363</v>
      </c>
      <c r="B2039">
        <v>2000</v>
      </c>
      <c r="C2039" s="8">
        <v>0</v>
      </c>
      <c r="D2039">
        <v>0.276229</v>
      </c>
      <c r="E2039">
        <v>0.55342170000000002</v>
      </c>
      <c r="F2039">
        <v>0.14676649999999999</v>
      </c>
      <c r="G2039">
        <v>4.9887030000000001</v>
      </c>
      <c r="H2039">
        <v>0.89079220000000003</v>
      </c>
      <c r="Q2039" s="10">
        <f t="shared" si="82"/>
        <v>7.4624817718174115E-6</v>
      </c>
      <c r="AI2039">
        <v>0.3346478</v>
      </c>
      <c r="AJ2039">
        <f t="shared" si="81"/>
        <v>0.3346478</v>
      </c>
      <c r="AO2039">
        <v>0.3346478</v>
      </c>
      <c r="AR2039" s="8">
        <v>0</v>
      </c>
      <c r="AS2039">
        <v>3.957865</v>
      </c>
    </row>
    <row r="2040" spans="1:45" x14ac:dyDescent="0.25">
      <c r="A2040">
        <v>363</v>
      </c>
      <c r="B2040">
        <v>2001</v>
      </c>
      <c r="C2040" s="8">
        <v>0</v>
      </c>
      <c r="D2040">
        <v>0.31599549999999998</v>
      </c>
      <c r="E2040">
        <v>0.56455770000000005</v>
      </c>
      <c r="F2040">
        <v>0.15886900000000001</v>
      </c>
      <c r="G2040">
        <v>4.0483359999999999</v>
      </c>
      <c r="H2040">
        <v>0.68669659999999999</v>
      </c>
      <c r="Q2040" s="10">
        <f t="shared" si="82"/>
        <v>2.6720426612058463E-5</v>
      </c>
      <c r="AI2040">
        <v>0.41966249999999999</v>
      </c>
      <c r="AJ2040">
        <f t="shared" si="81"/>
        <v>0.41966249999999999</v>
      </c>
      <c r="AO2040">
        <v>0.41966249999999999</v>
      </c>
      <c r="AR2040" s="8">
        <v>0</v>
      </c>
      <c r="AS2040">
        <v>3.4215339999999999</v>
      </c>
    </row>
    <row r="2041" spans="1:45" x14ac:dyDescent="0.25">
      <c r="A2041">
        <v>363</v>
      </c>
      <c r="B2041">
        <v>2002</v>
      </c>
      <c r="C2041" s="8">
        <v>0</v>
      </c>
      <c r="D2041">
        <v>0.3346478</v>
      </c>
      <c r="E2041">
        <v>0.42427520000000002</v>
      </c>
      <c r="F2041">
        <v>9.9953E-2</v>
      </c>
      <c r="G2041">
        <v>2.7876789999999998</v>
      </c>
      <c r="H2041">
        <v>0.44294499999999998</v>
      </c>
      <c r="Q2041" s="10">
        <f t="shared" si="82"/>
        <v>3.3900314556180143E-4</v>
      </c>
      <c r="AI2041">
        <v>0.2218348</v>
      </c>
      <c r="AJ2041">
        <f t="shared" si="81"/>
        <v>0.2218348</v>
      </c>
      <c r="AO2041">
        <v>0.2218348</v>
      </c>
      <c r="AR2041" s="8">
        <v>0</v>
      </c>
      <c r="AS2041">
        <v>4.9887030000000001</v>
      </c>
    </row>
    <row r="2042" spans="1:45" x14ac:dyDescent="0.25">
      <c r="A2042">
        <v>363</v>
      </c>
      <c r="B2042">
        <v>2003</v>
      </c>
      <c r="C2042" s="8">
        <v>0</v>
      </c>
      <c r="D2042">
        <v>0.41966249999999999</v>
      </c>
      <c r="E2042">
        <v>0.45907629999999999</v>
      </c>
      <c r="F2042">
        <v>0.104031</v>
      </c>
      <c r="G2042">
        <v>3.6346790000000002</v>
      </c>
      <c r="H2042">
        <v>0.44557540000000001</v>
      </c>
      <c r="Q2042" s="10">
        <f t="shared" si="82"/>
        <v>8.3942179878422152E-5</v>
      </c>
      <c r="AI2042">
        <v>-7.5807000000000001E-3</v>
      </c>
      <c r="AJ2042">
        <f t="shared" si="81"/>
        <v>-7.5807000000000001E-3</v>
      </c>
      <c r="AO2042">
        <v>-7.5807000000000001E-3</v>
      </c>
      <c r="AR2042" s="8">
        <v>0</v>
      </c>
      <c r="AS2042">
        <v>4.0483359999999999</v>
      </c>
    </row>
    <row r="2043" spans="1:45" x14ac:dyDescent="0.25">
      <c r="A2043">
        <v>363</v>
      </c>
      <c r="B2043">
        <v>2004</v>
      </c>
      <c r="C2043" s="8">
        <v>0</v>
      </c>
      <c r="D2043">
        <v>0.2218348</v>
      </c>
      <c r="E2043">
        <v>0.58691420000000005</v>
      </c>
      <c r="F2043">
        <v>0.122252</v>
      </c>
      <c r="G2043">
        <v>2.5999050000000001</v>
      </c>
      <c r="H2043">
        <v>0.56637309999999996</v>
      </c>
      <c r="Q2043" s="10">
        <f t="shared" si="82"/>
        <v>3.1111520095201657E-4</v>
      </c>
      <c r="AI2043">
        <v>7.7705899999999994E-2</v>
      </c>
      <c r="AJ2043">
        <f t="shared" si="81"/>
        <v>7.7705899999999994E-2</v>
      </c>
      <c r="AO2043">
        <v>7.7705899999999994E-2</v>
      </c>
      <c r="AR2043" s="8">
        <v>0</v>
      </c>
      <c r="AS2043">
        <v>2.7876789999999998</v>
      </c>
    </row>
    <row r="2044" spans="1:45" x14ac:dyDescent="0.25">
      <c r="A2044">
        <v>364</v>
      </c>
      <c r="B2044">
        <v>1998</v>
      </c>
      <c r="C2044" s="8">
        <v>0</v>
      </c>
      <c r="D2044">
        <v>-7.5807000000000001E-3</v>
      </c>
      <c r="E2044">
        <v>0.41167789999999999</v>
      </c>
      <c r="F2044">
        <v>8.0206899999999998E-2</v>
      </c>
      <c r="G2044">
        <v>4.8172360000000003</v>
      </c>
      <c r="H2044">
        <v>0.16519639999999999</v>
      </c>
      <c r="Q2044" s="10">
        <f t="shared" si="82"/>
        <v>1.1639092118985617E-5</v>
      </c>
      <c r="AI2044">
        <v>4.7756600000000003E-2</v>
      </c>
      <c r="AJ2044">
        <f t="shared" si="81"/>
        <v>4.7756600000000003E-2</v>
      </c>
      <c r="AO2044">
        <v>4.7756600000000003E-2</v>
      </c>
      <c r="AR2044" s="8">
        <v>0</v>
      </c>
      <c r="AS2044">
        <v>3.6346790000000002</v>
      </c>
    </row>
    <row r="2045" spans="1:45" x14ac:dyDescent="0.25">
      <c r="A2045">
        <v>365</v>
      </c>
      <c r="B2045">
        <v>1995</v>
      </c>
      <c r="C2045" s="8">
        <v>0</v>
      </c>
      <c r="D2045">
        <v>7.7705899999999994E-2</v>
      </c>
      <c r="E2045">
        <v>0.19859370000000001</v>
      </c>
      <c r="F2045">
        <v>5.1514900000000002E-2</v>
      </c>
      <c r="G2045">
        <v>1.0333140000000001</v>
      </c>
      <c r="H2045">
        <v>0.39946310000000002</v>
      </c>
      <c r="Q2045" s="10">
        <f t="shared" si="82"/>
        <v>9.8417304383990392E-3</v>
      </c>
      <c r="AI2045">
        <v>6.7422899999999994E-2</v>
      </c>
      <c r="AJ2045">
        <f t="shared" si="81"/>
        <v>6.7422899999999994E-2</v>
      </c>
      <c r="AO2045">
        <v>6.7422899999999994E-2</v>
      </c>
      <c r="AR2045" s="8">
        <v>0</v>
      </c>
      <c r="AS2045">
        <v>2.5999050000000001</v>
      </c>
    </row>
    <row r="2046" spans="1:45" x14ac:dyDescent="0.25">
      <c r="A2046">
        <v>365</v>
      </c>
      <c r="B2046">
        <v>1996</v>
      </c>
      <c r="C2046" s="8">
        <v>0</v>
      </c>
      <c r="D2046">
        <v>4.7756600000000003E-2</v>
      </c>
      <c r="E2046">
        <v>0.19214639999999999</v>
      </c>
      <c r="F2046">
        <v>5.3887600000000001E-2</v>
      </c>
      <c r="G2046">
        <v>0.82710589999999995</v>
      </c>
      <c r="H2046">
        <v>0.33845049999999999</v>
      </c>
      <c r="Q2046" s="10">
        <f t="shared" si="82"/>
        <v>1.2837708217768877E-2</v>
      </c>
      <c r="AI2046">
        <v>6.9503200000000001E-2</v>
      </c>
      <c r="AJ2046">
        <f t="shared" si="81"/>
        <v>6.9503200000000001E-2</v>
      </c>
      <c r="AO2046">
        <v>6.9503200000000001E-2</v>
      </c>
      <c r="AR2046" s="8">
        <v>0</v>
      </c>
      <c r="AS2046">
        <v>4.8172360000000003</v>
      </c>
    </row>
    <row r="2047" spans="1:45" x14ac:dyDescent="0.25">
      <c r="A2047">
        <v>365</v>
      </c>
      <c r="B2047">
        <v>1997</v>
      </c>
      <c r="C2047" s="8">
        <v>0</v>
      </c>
      <c r="D2047">
        <v>6.7422899999999994E-2</v>
      </c>
      <c r="E2047">
        <v>0.22001009999999999</v>
      </c>
      <c r="F2047">
        <v>5.5257500000000001E-2</v>
      </c>
      <c r="G2047">
        <v>0.99745729999999999</v>
      </c>
      <c r="H2047">
        <v>0.33452310000000002</v>
      </c>
      <c r="Q2047" s="10">
        <f t="shared" si="82"/>
        <v>9.3807060531464377E-3</v>
      </c>
      <c r="AI2047">
        <v>9.6872100000000003E-2</v>
      </c>
      <c r="AJ2047">
        <f t="shared" si="81"/>
        <v>9.6872100000000003E-2</v>
      </c>
      <c r="AO2047">
        <v>9.6872100000000003E-2</v>
      </c>
      <c r="AR2047" s="8">
        <v>0</v>
      </c>
      <c r="AS2047">
        <v>1.0333140000000001</v>
      </c>
    </row>
    <row r="2048" spans="1:45" x14ac:dyDescent="0.25">
      <c r="A2048">
        <v>365</v>
      </c>
      <c r="B2048">
        <v>1998</v>
      </c>
      <c r="C2048" s="8">
        <v>0</v>
      </c>
      <c r="D2048">
        <v>6.9503200000000001E-2</v>
      </c>
      <c r="E2048">
        <v>0.22138859999999999</v>
      </c>
      <c r="F2048">
        <v>5.3519200000000003E-2</v>
      </c>
      <c r="G2048">
        <v>0.93989469999999997</v>
      </c>
      <c r="H2048">
        <v>0.33619840000000001</v>
      </c>
      <c r="Q2048" s="10">
        <f t="shared" si="82"/>
        <v>1.0413922300513663E-2</v>
      </c>
      <c r="AI2048">
        <v>0.1225754</v>
      </c>
      <c r="AJ2048">
        <f t="shared" si="81"/>
        <v>0.1225754</v>
      </c>
      <c r="AO2048">
        <v>0.1225754</v>
      </c>
      <c r="AR2048" s="8">
        <v>0</v>
      </c>
      <c r="AS2048">
        <v>0.82710589999999995</v>
      </c>
    </row>
    <row r="2049" spans="1:45" x14ac:dyDescent="0.25">
      <c r="A2049">
        <v>365</v>
      </c>
      <c r="B2049">
        <v>1999</v>
      </c>
      <c r="C2049" s="8">
        <v>0</v>
      </c>
      <c r="D2049">
        <v>9.6872100000000003E-2</v>
      </c>
      <c r="E2049">
        <v>0.2441885</v>
      </c>
      <c r="F2049">
        <v>5.42529E-2</v>
      </c>
      <c r="G2049">
        <v>1.109502</v>
      </c>
      <c r="H2049">
        <v>0.32081670000000001</v>
      </c>
      <c r="Q2049" s="10">
        <f t="shared" si="82"/>
        <v>7.6783725918108097E-3</v>
      </c>
      <c r="AI2049">
        <v>0.36934509999999998</v>
      </c>
      <c r="AJ2049">
        <f t="shared" si="81"/>
        <v>0.36934509999999998</v>
      </c>
      <c r="AO2049">
        <v>0.36934509999999998</v>
      </c>
      <c r="AR2049" s="8">
        <v>0</v>
      </c>
      <c r="AS2049">
        <v>0.99745729999999999</v>
      </c>
    </row>
    <row r="2050" spans="1:45" x14ac:dyDescent="0.25">
      <c r="A2050">
        <v>365</v>
      </c>
      <c r="B2050">
        <v>2000</v>
      </c>
      <c r="C2050" s="8">
        <v>0</v>
      </c>
      <c r="D2050">
        <v>0.1225754</v>
      </c>
      <c r="E2050">
        <v>0.25388919999999998</v>
      </c>
      <c r="F2050">
        <v>5.3614799999999997E-2</v>
      </c>
      <c r="G2050">
        <v>0.6971543</v>
      </c>
      <c r="H2050">
        <v>0.32680550000000003</v>
      </c>
      <c r="Q2050" s="10">
        <f t="shared" si="82"/>
        <v>1.4786221487533452E-2</v>
      </c>
      <c r="AI2050">
        <v>0.30002760000000001</v>
      </c>
      <c r="AJ2050">
        <f t="shared" si="81"/>
        <v>0.30002760000000001</v>
      </c>
      <c r="AO2050">
        <v>0.30002760000000001</v>
      </c>
      <c r="AR2050" s="8">
        <v>0</v>
      </c>
      <c r="AS2050">
        <v>0.93989469999999997</v>
      </c>
    </row>
    <row r="2051" spans="1:45" x14ac:dyDescent="0.25">
      <c r="A2051">
        <v>366</v>
      </c>
      <c r="B2051">
        <v>2001</v>
      </c>
      <c r="C2051" s="8">
        <v>0</v>
      </c>
      <c r="D2051">
        <v>0.36934509999999998</v>
      </c>
      <c r="E2051">
        <v>1.080117</v>
      </c>
      <c r="F2051">
        <v>8.03735E-2</v>
      </c>
      <c r="G2051">
        <v>2.9534500000000001</v>
      </c>
      <c r="H2051">
        <v>0.47763949999999999</v>
      </c>
      <c r="Q2051" s="10">
        <f t="shared" si="82"/>
        <v>1.2162523002277757E-4</v>
      </c>
      <c r="AI2051">
        <v>0.34186030000000001</v>
      </c>
      <c r="AJ2051">
        <f t="shared" si="81"/>
        <v>0.34186030000000001</v>
      </c>
      <c r="AO2051">
        <v>0.34186030000000001</v>
      </c>
      <c r="AR2051" s="8">
        <v>0</v>
      </c>
      <c r="AS2051">
        <v>1.109502</v>
      </c>
    </row>
    <row r="2052" spans="1:45" x14ac:dyDescent="0.25">
      <c r="A2052">
        <v>366</v>
      </c>
      <c r="B2052">
        <v>2002</v>
      </c>
      <c r="C2052" s="8">
        <v>0</v>
      </c>
      <c r="D2052">
        <v>0.30002760000000001</v>
      </c>
      <c r="E2052">
        <v>1.005306</v>
      </c>
      <c r="F2052">
        <v>7.3362300000000005E-2</v>
      </c>
      <c r="G2052">
        <v>3.1763840000000001</v>
      </c>
      <c r="H2052">
        <v>0.46565279999999998</v>
      </c>
      <c r="Q2052" s="10">
        <f t="shared" si="82"/>
        <v>9.697074472757731E-5</v>
      </c>
      <c r="AI2052">
        <v>0.31729760000000001</v>
      </c>
      <c r="AJ2052">
        <f t="shared" si="81"/>
        <v>0.31729760000000001</v>
      </c>
      <c r="AO2052">
        <v>0.31729760000000001</v>
      </c>
      <c r="AR2052" s="8">
        <v>0</v>
      </c>
      <c r="AS2052">
        <v>0.6971543</v>
      </c>
    </row>
    <row r="2053" spans="1:45" x14ac:dyDescent="0.25">
      <c r="A2053">
        <v>366</v>
      </c>
      <c r="B2053">
        <v>2003</v>
      </c>
      <c r="C2053" s="8">
        <v>0</v>
      </c>
      <c r="D2053">
        <v>0.34186030000000001</v>
      </c>
      <c r="E2053">
        <v>0.9811957</v>
      </c>
      <c r="F2053">
        <v>6.8383600000000003E-2</v>
      </c>
      <c r="G2053">
        <v>3.791512</v>
      </c>
      <c r="H2053">
        <v>0.41506890000000002</v>
      </c>
      <c r="Q2053" s="10">
        <f t="shared" si="82"/>
        <v>3.8670318447081158E-5</v>
      </c>
      <c r="AI2053">
        <v>0.17946529999999999</v>
      </c>
      <c r="AJ2053">
        <f t="shared" ref="AJ2053:AJ2116" si="83">MAX(MIN(AI2053,AM$5),AM$4)</f>
        <v>0.17946529999999999</v>
      </c>
      <c r="AO2053">
        <v>0.17946529999999999</v>
      </c>
      <c r="AR2053" s="8">
        <v>0</v>
      </c>
      <c r="AS2053">
        <v>2.9534500000000001</v>
      </c>
    </row>
    <row r="2054" spans="1:45" x14ac:dyDescent="0.25">
      <c r="A2054">
        <v>366</v>
      </c>
      <c r="B2054">
        <v>2004</v>
      </c>
      <c r="C2054" s="8">
        <v>0</v>
      </c>
      <c r="D2054">
        <v>0.31729760000000001</v>
      </c>
      <c r="E2054">
        <v>0.93626120000000002</v>
      </c>
      <c r="F2054">
        <v>5.7705300000000001E-2</v>
      </c>
      <c r="G2054">
        <v>3.778686</v>
      </c>
      <c r="H2054">
        <v>0.4181588</v>
      </c>
      <c r="Q2054" s="10">
        <f t="shared" si="82"/>
        <v>4.5512782572583179E-5</v>
      </c>
      <c r="AI2054">
        <v>5.73993E-2</v>
      </c>
      <c r="AJ2054">
        <f t="shared" si="83"/>
        <v>5.73993E-2</v>
      </c>
      <c r="AO2054">
        <v>5.73993E-2</v>
      </c>
      <c r="AR2054" s="8">
        <v>0</v>
      </c>
      <c r="AS2054">
        <v>3.1763840000000001</v>
      </c>
    </row>
    <row r="2055" spans="1:45" x14ac:dyDescent="0.25">
      <c r="A2055">
        <v>367</v>
      </c>
      <c r="B2055">
        <v>1995</v>
      </c>
      <c r="C2055" s="8">
        <v>0</v>
      </c>
      <c r="D2055">
        <v>0.17946529999999999</v>
      </c>
      <c r="E2055">
        <v>0.30045189999999999</v>
      </c>
      <c r="F2055">
        <v>6.1104199999999997E-2</v>
      </c>
      <c r="G2055">
        <v>1.42218</v>
      </c>
      <c r="H2055">
        <v>0.37569809999999998</v>
      </c>
      <c r="Q2055" s="10">
        <f t="shared" ref="Q2055:Q2118" si="84">1/(1+EXP(-(J$6+SUMPRODUCT(K$6:O$6,D2055:H2055))))</f>
        <v>4.3713766945905098E-3</v>
      </c>
      <c r="AI2055">
        <v>5.6878400000000003E-2</v>
      </c>
      <c r="AJ2055">
        <f t="shared" si="83"/>
        <v>5.6878400000000003E-2</v>
      </c>
      <c r="AO2055">
        <v>5.6878400000000003E-2</v>
      </c>
      <c r="AR2055" s="8">
        <v>0</v>
      </c>
      <c r="AS2055">
        <v>3.791512</v>
      </c>
    </row>
    <row r="2056" spans="1:45" x14ac:dyDescent="0.25">
      <c r="A2056">
        <v>367</v>
      </c>
      <c r="B2056">
        <v>1996</v>
      </c>
      <c r="C2056" s="8">
        <v>0</v>
      </c>
      <c r="D2056">
        <v>5.73993E-2</v>
      </c>
      <c r="E2056">
        <v>0.21830630000000001</v>
      </c>
      <c r="F2056">
        <v>5.7584099999999999E-2</v>
      </c>
      <c r="G2056">
        <v>0.81648270000000001</v>
      </c>
      <c r="H2056">
        <v>0.28705419999999998</v>
      </c>
      <c r="Q2056" s="10">
        <f t="shared" si="84"/>
        <v>1.18796268144086E-2</v>
      </c>
      <c r="AI2056">
        <v>3.7717100000000003E-2</v>
      </c>
      <c r="AJ2056">
        <f t="shared" si="83"/>
        <v>3.7717100000000003E-2</v>
      </c>
      <c r="AO2056">
        <v>3.7717100000000003E-2</v>
      </c>
      <c r="AR2056" s="8">
        <v>0</v>
      </c>
      <c r="AS2056">
        <v>3.778686</v>
      </c>
    </row>
    <row r="2057" spans="1:45" x14ac:dyDescent="0.25">
      <c r="A2057">
        <v>367</v>
      </c>
      <c r="B2057">
        <v>1997</v>
      </c>
      <c r="C2057" s="8">
        <v>0</v>
      </c>
      <c r="D2057">
        <v>5.6878400000000003E-2</v>
      </c>
      <c r="E2057">
        <v>0.19091849999999999</v>
      </c>
      <c r="F2057">
        <v>5.8259199999999997E-2</v>
      </c>
      <c r="G2057">
        <v>0.83828499999999995</v>
      </c>
      <c r="H2057">
        <v>0.31187530000000002</v>
      </c>
      <c r="Q2057" s="10">
        <f t="shared" si="84"/>
        <v>1.2055148006089492E-2</v>
      </c>
      <c r="AI2057">
        <v>9.3811199999999997E-2</v>
      </c>
      <c r="AJ2057">
        <f t="shared" si="83"/>
        <v>9.3811199999999997E-2</v>
      </c>
      <c r="AO2057">
        <v>9.3811199999999997E-2</v>
      </c>
      <c r="AR2057" s="8">
        <v>0</v>
      </c>
      <c r="AS2057">
        <v>1.42218</v>
      </c>
    </row>
    <row r="2058" spans="1:45" x14ac:dyDescent="0.25">
      <c r="A2058">
        <v>367</v>
      </c>
      <c r="B2058">
        <v>1998</v>
      </c>
      <c r="C2058" s="8">
        <v>0</v>
      </c>
      <c r="D2058">
        <v>3.7717100000000003E-2</v>
      </c>
      <c r="E2058">
        <v>0.23254920000000001</v>
      </c>
      <c r="F2058">
        <v>5.8103200000000001E-2</v>
      </c>
      <c r="G2058">
        <v>0.76141970000000003</v>
      </c>
      <c r="H2058">
        <v>0.27671869999999998</v>
      </c>
      <c r="Q2058" s="10">
        <f t="shared" si="84"/>
        <v>1.2460478021914533E-2</v>
      </c>
      <c r="AI2058">
        <v>6.5651899999999999E-2</v>
      </c>
      <c r="AJ2058">
        <f t="shared" si="83"/>
        <v>6.5651899999999999E-2</v>
      </c>
      <c r="AO2058">
        <v>6.5651899999999999E-2</v>
      </c>
      <c r="AR2058" s="8">
        <v>0</v>
      </c>
      <c r="AS2058">
        <v>0.81648270000000001</v>
      </c>
    </row>
    <row r="2059" spans="1:45" x14ac:dyDescent="0.25">
      <c r="A2059">
        <v>367</v>
      </c>
      <c r="B2059">
        <v>1999</v>
      </c>
      <c r="C2059" s="8">
        <v>0</v>
      </c>
      <c r="D2059">
        <v>9.3811199999999997E-2</v>
      </c>
      <c r="E2059">
        <v>0.22379969999999999</v>
      </c>
      <c r="F2059">
        <v>4.9354200000000001E-2</v>
      </c>
      <c r="G2059">
        <v>0.4033871</v>
      </c>
      <c r="H2059">
        <v>0.25632169999999999</v>
      </c>
      <c r="Q2059" s="10">
        <f t="shared" si="84"/>
        <v>2.3921027398154351E-2</v>
      </c>
      <c r="AI2059">
        <v>6.2155799999999997E-2</v>
      </c>
      <c r="AJ2059">
        <f t="shared" si="83"/>
        <v>6.2155799999999997E-2</v>
      </c>
      <c r="AO2059">
        <v>6.2155799999999997E-2</v>
      </c>
      <c r="AR2059" s="8">
        <v>0</v>
      </c>
      <c r="AS2059">
        <v>0.83828499999999995</v>
      </c>
    </row>
    <row r="2060" spans="1:45" x14ac:dyDescent="0.25">
      <c r="A2060">
        <v>367</v>
      </c>
      <c r="B2060">
        <v>2000</v>
      </c>
      <c r="C2060" s="8">
        <v>0</v>
      </c>
      <c r="D2060">
        <v>6.5651899999999999E-2</v>
      </c>
      <c r="E2060">
        <v>0.20210719999999999</v>
      </c>
      <c r="F2060">
        <v>5.1459199999999997E-2</v>
      </c>
      <c r="G2060">
        <v>0.65698639999999997</v>
      </c>
      <c r="H2060">
        <v>0.28091349999999998</v>
      </c>
      <c r="Q2060" s="10">
        <f t="shared" si="84"/>
        <v>1.6388588056313262E-2</v>
      </c>
      <c r="AI2060">
        <v>6.5967700000000004E-2</v>
      </c>
      <c r="AJ2060">
        <f t="shared" si="83"/>
        <v>6.5967700000000004E-2</v>
      </c>
      <c r="AO2060">
        <v>6.5967700000000004E-2</v>
      </c>
      <c r="AR2060" s="8">
        <v>0</v>
      </c>
      <c r="AS2060">
        <v>0.76141970000000003</v>
      </c>
    </row>
    <row r="2061" spans="1:45" x14ac:dyDescent="0.25">
      <c r="A2061">
        <v>367</v>
      </c>
      <c r="B2061">
        <v>2001</v>
      </c>
      <c r="C2061" s="8">
        <v>0</v>
      </c>
      <c r="D2061">
        <v>6.2155799999999997E-2</v>
      </c>
      <c r="E2061">
        <v>0.16978699999999999</v>
      </c>
      <c r="F2061">
        <v>2.9925E-2</v>
      </c>
      <c r="G2061">
        <v>0.99150709999999997</v>
      </c>
      <c r="H2061">
        <v>0.30213760000000001</v>
      </c>
      <c r="Q2061" s="10">
        <f t="shared" si="84"/>
        <v>1.2167026478239923E-2</v>
      </c>
      <c r="AI2061">
        <v>6.10138E-2</v>
      </c>
      <c r="AJ2061">
        <f t="shared" si="83"/>
        <v>6.10138E-2</v>
      </c>
      <c r="AO2061">
        <v>6.10138E-2</v>
      </c>
      <c r="AR2061" s="8">
        <v>0</v>
      </c>
      <c r="AS2061">
        <v>0.4033871</v>
      </c>
    </row>
    <row r="2062" spans="1:45" x14ac:dyDescent="0.25">
      <c r="A2062">
        <v>367</v>
      </c>
      <c r="B2062">
        <v>2002</v>
      </c>
      <c r="C2062" s="8">
        <v>0</v>
      </c>
      <c r="D2062">
        <v>6.5967700000000004E-2</v>
      </c>
      <c r="E2062">
        <v>0.12718750000000001</v>
      </c>
      <c r="F2062">
        <v>5.5479399999999998E-2</v>
      </c>
      <c r="G2062">
        <v>1.3449789999999999</v>
      </c>
      <c r="H2062">
        <v>0.33061059999999998</v>
      </c>
      <c r="Q2062" s="10">
        <f t="shared" si="84"/>
        <v>6.1610954497351199E-3</v>
      </c>
      <c r="AI2062">
        <v>4.7729800000000003E-2</v>
      </c>
      <c r="AJ2062">
        <f t="shared" si="83"/>
        <v>4.7729800000000003E-2</v>
      </c>
      <c r="AO2062">
        <v>4.7729800000000003E-2</v>
      </c>
      <c r="AR2062" s="8">
        <v>0</v>
      </c>
      <c r="AS2062">
        <v>0.65698639999999997</v>
      </c>
    </row>
    <row r="2063" spans="1:45" x14ac:dyDescent="0.25">
      <c r="A2063">
        <v>367</v>
      </c>
      <c r="B2063">
        <v>2003</v>
      </c>
      <c r="C2063" s="8">
        <v>0</v>
      </c>
      <c r="D2063">
        <v>6.10138E-2</v>
      </c>
      <c r="E2063">
        <v>0.1814954</v>
      </c>
      <c r="F2063">
        <v>5.82938E-2</v>
      </c>
      <c r="G2063">
        <v>1.225835</v>
      </c>
      <c r="H2063">
        <v>0.36864950000000002</v>
      </c>
      <c r="Q2063" s="10">
        <f t="shared" si="84"/>
        <v>6.871961089960469E-3</v>
      </c>
      <c r="AI2063">
        <v>3.3591700000000002E-2</v>
      </c>
      <c r="AJ2063">
        <f t="shared" si="83"/>
        <v>3.3591700000000002E-2</v>
      </c>
      <c r="AO2063">
        <v>3.3591700000000002E-2</v>
      </c>
      <c r="AR2063" s="8">
        <v>0</v>
      </c>
      <c r="AS2063">
        <v>0.99150709999999997</v>
      </c>
    </row>
    <row r="2064" spans="1:45" x14ac:dyDescent="0.25">
      <c r="A2064">
        <v>367</v>
      </c>
      <c r="B2064">
        <v>2004</v>
      </c>
      <c r="C2064" s="8">
        <v>0</v>
      </c>
      <c r="D2064">
        <v>4.7729800000000003E-2</v>
      </c>
      <c r="E2064">
        <v>0.19778129999999999</v>
      </c>
      <c r="F2064">
        <v>4.3996399999999998E-2</v>
      </c>
      <c r="G2064">
        <v>1.3636520000000001</v>
      </c>
      <c r="H2064">
        <v>0.41277069999999999</v>
      </c>
      <c r="Q2064" s="10">
        <f t="shared" si="84"/>
        <v>6.1783242190670577E-3</v>
      </c>
      <c r="AI2064">
        <v>1.27563E-2</v>
      </c>
      <c r="AJ2064">
        <f t="shared" si="83"/>
        <v>1.27563E-2</v>
      </c>
      <c r="AO2064">
        <v>1.27563E-2</v>
      </c>
      <c r="AR2064" s="8">
        <v>0</v>
      </c>
      <c r="AS2064">
        <v>1.3449789999999999</v>
      </c>
    </row>
    <row r="2065" spans="1:45" x14ac:dyDescent="0.25">
      <c r="A2065">
        <v>368</v>
      </c>
      <c r="B2065">
        <v>1997</v>
      </c>
      <c r="C2065" s="8">
        <v>0</v>
      </c>
      <c r="D2065">
        <v>3.3591700000000002E-2</v>
      </c>
      <c r="E2065">
        <v>5.3308000000000001E-3</v>
      </c>
      <c r="F2065">
        <v>-2.0519300000000001E-2</v>
      </c>
      <c r="G2065">
        <v>0.63490449999999998</v>
      </c>
      <c r="H2065">
        <v>7.8849199999999994E-2</v>
      </c>
      <c r="Q2065" s="10">
        <f t="shared" si="84"/>
        <v>3.4353702027886429E-2</v>
      </c>
      <c r="AI2065">
        <v>5.57893E-2</v>
      </c>
      <c r="AJ2065">
        <f t="shared" si="83"/>
        <v>5.57893E-2</v>
      </c>
      <c r="AO2065">
        <v>5.57893E-2</v>
      </c>
      <c r="AR2065" s="8">
        <v>0</v>
      </c>
      <c r="AS2065">
        <v>1.225835</v>
      </c>
    </row>
    <row r="2066" spans="1:45" x14ac:dyDescent="0.25">
      <c r="A2066">
        <v>368</v>
      </c>
      <c r="B2066">
        <v>1998</v>
      </c>
      <c r="C2066" s="8">
        <v>0</v>
      </c>
      <c r="D2066">
        <v>1.27563E-2</v>
      </c>
      <c r="E2066">
        <v>-0.19575090000000001</v>
      </c>
      <c r="F2066">
        <v>-9.4346299999999994E-2</v>
      </c>
      <c r="G2066">
        <v>0.19101380000000001</v>
      </c>
      <c r="H2066">
        <v>7.0308200000000001E-2</v>
      </c>
      <c r="Q2066" s="10">
        <f t="shared" si="84"/>
        <v>0.14682669236728321</v>
      </c>
      <c r="AI2066">
        <v>5.6740600000000002E-2</v>
      </c>
      <c r="AJ2066">
        <f t="shared" si="83"/>
        <v>5.6740600000000002E-2</v>
      </c>
      <c r="AO2066">
        <v>5.6740600000000002E-2</v>
      </c>
      <c r="AR2066" s="8">
        <v>0</v>
      </c>
      <c r="AS2066">
        <v>1.3636520000000001</v>
      </c>
    </row>
    <row r="2067" spans="1:45" x14ac:dyDescent="0.25">
      <c r="A2067">
        <v>368</v>
      </c>
      <c r="B2067">
        <v>1999</v>
      </c>
      <c r="C2067" s="8">
        <v>0</v>
      </c>
      <c r="D2067">
        <v>5.57893E-2</v>
      </c>
      <c r="E2067">
        <v>-0.26406439999999998</v>
      </c>
      <c r="F2067">
        <v>3.5131200000000001E-2</v>
      </c>
      <c r="G2067">
        <v>0.22019449999999999</v>
      </c>
      <c r="H2067">
        <v>7.8363600000000005E-2</v>
      </c>
      <c r="Q2067" s="10">
        <f t="shared" si="84"/>
        <v>6.1817602317173335E-2</v>
      </c>
      <c r="AI2067">
        <v>7.2609900000000005E-2</v>
      </c>
      <c r="AJ2067">
        <f t="shared" si="83"/>
        <v>7.2609900000000005E-2</v>
      </c>
      <c r="AO2067">
        <v>7.2609900000000005E-2</v>
      </c>
      <c r="AR2067" s="8">
        <v>0</v>
      </c>
      <c r="AS2067">
        <v>0.63490449999999998</v>
      </c>
    </row>
    <row r="2068" spans="1:45" x14ac:dyDescent="0.25">
      <c r="A2068">
        <v>368</v>
      </c>
      <c r="B2068">
        <v>2000</v>
      </c>
      <c r="C2068" s="8">
        <v>0</v>
      </c>
      <c r="D2068">
        <v>5.6740600000000002E-2</v>
      </c>
      <c r="E2068">
        <v>-0.23803079999999999</v>
      </c>
      <c r="F2068">
        <v>5.5438800000000003E-2</v>
      </c>
      <c r="G2068">
        <v>0.63206439999999997</v>
      </c>
      <c r="H2068">
        <v>0.1113717</v>
      </c>
      <c r="Q2068" s="10">
        <f t="shared" si="84"/>
        <v>2.777219524392939E-2</v>
      </c>
      <c r="AI2068">
        <v>-1.8834199999999999E-2</v>
      </c>
      <c r="AJ2068">
        <f t="shared" si="83"/>
        <v>-1.8834199999999999E-2</v>
      </c>
      <c r="AO2068">
        <v>-1.8834199999999999E-2</v>
      </c>
      <c r="AR2068" s="8">
        <v>0</v>
      </c>
      <c r="AS2068">
        <v>0.19101380000000001</v>
      </c>
    </row>
    <row r="2069" spans="1:45" x14ac:dyDescent="0.25">
      <c r="A2069">
        <v>368</v>
      </c>
      <c r="B2069">
        <v>2001</v>
      </c>
      <c r="C2069" s="8">
        <v>0</v>
      </c>
      <c r="D2069">
        <v>7.2609900000000005E-2</v>
      </c>
      <c r="E2069">
        <v>-0.16465779999999999</v>
      </c>
      <c r="F2069">
        <v>7.0339E-3</v>
      </c>
      <c r="G2069">
        <v>0.56012329999999999</v>
      </c>
      <c r="H2069">
        <v>9.8671200000000001E-2</v>
      </c>
      <c r="Q2069" s="10">
        <f t="shared" si="84"/>
        <v>4.0632862441967302E-2</v>
      </c>
      <c r="AI2069">
        <v>-1.6047100000000002E-2</v>
      </c>
      <c r="AJ2069">
        <f t="shared" si="83"/>
        <v>-1.6047100000000002E-2</v>
      </c>
      <c r="AO2069">
        <v>-1.6047100000000002E-2</v>
      </c>
      <c r="AR2069" s="8">
        <v>0</v>
      </c>
      <c r="AS2069">
        <v>0.22019449999999999</v>
      </c>
    </row>
    <row r="2070" spans="1:45" x14ac:dyDescent="0.25">
      <c r="A2070">
        <v>368</v>
      </c>
      <c r="B2070">
        <v>2002</v>
      </c>
      <c r="C2070" s="8">
        <v>0</v>
      </c>
      <c r="D2070">
        <v>-1.8834199999999999E-2</v>
      </c>
      <c r="E2070">
        <v>-0.2295065</v>
      </c>
      <c r="F2070">
        <v>4.8313200000000001E-2</v>
      </c>
      <c r="G2070">
        <v>0.67584339999999998</v>
      </c>
      <c r="H2070">
        <v>0.1182105</v>
      </c>
      <c r="Q2070" s="10">
        <f t="shared" si="84"/>
        <v>2.6395881677398893E-2</v>
      </c>
      <c r="AI2070">
        <v>8.1606000000000005E-3</v>
      </c>
      <c r="AJ2070">
        <f t="shared" si="83"/>
        <v>8.1606000000000005E-3</v>
      </c>
      <c r="AO2070">
        <v>8.1606000000000005E-3</v>
      </c>
      <c r="AR2070" s="8">
        <v>0</v>
      </c>
      <c r="AS2070">
        <v>0.63206439999999997</v>
      </c>
    </row>
    <row r="2071" spans="1:45" x14ac:dyDescent="0.25">
      <c r="A2071">
        <v>368</v>
      </c>
      <c r="B2071">
        <v>2003</v>
      </c>
      <c r="C2071" s="8">
        <v>0</v>
      </c>
      <c r="D2071">
        <v>-1.6047100000000002E-2</v>
      </c>
      <c r="E2071">
        <v>-0.16677739999999999</v>
      </c>
      <c r="F2071">
        <v>5.3783600000000001E-2</v>
      </c>
      <c r="G2071">
        <v>0.9929308</v>
      </c>
      <c r="H2071">
        <v>9.8766699999999999E-2</v>
      </c>
      <c r="Q2071" s="10">
        <f t="shared" si="84"/>
        <v>1.3939823418970008E-2</v>
      </c>
      <c r="AI2071">
        <v>0.49170229999999998</v>
      </c>
      <c r="AJ2071">
        <f t="shared" si="83"/>
        <v>0.49170229999999998</v>
      </c>
      <c r="AO2071">
        <v>0.49170229999999998</v>
      </c>
      <c r="AR2071" s="8">
        <v>0</v>
      </c>
      <c r="AS2071">
        <v>0.56012329999999999</v>
      </c>
    </row>
    <row r="2072" spans="1:45" x14ac:dyDescent="0.25">
      <c r="A2072">
        <v>368</v>
      </c>
      <c r="B2072">
        <v>2004</v>
      </c>
      <c r="C2072" s="8">
        <v>0</v>
      </c>
      <c r="D2072">
        <v>8.1606000000000005E-3</v>
      </c>
      <c r="E2072">
        <v>-5.47751E-2</v>
      </c>
      <c r="F2072">
        <v>4.62336E-2</v>
      </c>
      <c r="G2072">
        <v>1.406452</v>
      </c>
      <c r="H2072">
        <v>8.2922700000000002E-2</v>
      </c>
      <c r="Q2072" s="10">
        <f t="shared" si="84"/>
        <v>6.5598849350030413E-3</v>
      </c>
      <c r="AI2072">
        <v>0.49659910000000002</v>
      </c>
      <c r="AJ2072">
        <f t="shared" si="83"/>
        <v>0.49659910000000002</v>
      </c>
      <c r="AO2072">
        <v>0.49659910000000002</v>
      </c>
      <c r="AR2072" s="8">
        <v>0</v>
      </c>
      <c r="AS2072">
        <v>0.67584339999999998</v>
      </c>
    </row>
    <row r="2073" spans="1:45" x14ac:dyDescent="0.25">
      <c r="A2073">
        <v>369</v>
      </c>
      <c r="B2073">
        <v>2001</v>
      </c>
      <c r="C2073" s="8">
        <v>0</v>
      </c>
      <c r="D2073">
        <v>0.49170229999999998</v>
      </c>
      <c r="E2073">
        <v>6.8736699999999998E-2</v>
      </c>
      <c r="F2073">
        <v>1.605E-4</v>
      </c>
      <c r="G2073">
        <v>1.6841759999999999</v>
      </c>
      <c r="H2073">
        <v>0.24069850000000001</v>
      </c>
      <c r="Q2073" s="10">
        <f t="shared" si="84"/>
        <v>6.8565306802857448E-3</v>
      </c>
      <c r="AI2073">
        <v>0.35804449999999999</v>
      </c>
      <c r="AJ2073">
        <f t="shared" si="83"/>
        <v>0.35804449999999999</v>
      </c>
      <c r="AO2073">
        <v>0.35804449999999999</v>
      </c>
      <c r="AR2073" s="8">
        <v>0</v>
      </c>
      <c r="AS2073">
        <v>0.9929308</v>
      </c>
    </row>
    <row r="2074" spans="1:45" x14ac:dyDescent="0.25">
      <c r="A2074">
        <v>369</v>
      </c>
      <c r="B2074">
        <v>2002</v>
      </c>
      <c r="C2074" s="8">
        <v>0</v>
      </c>
      <c r="D2074">
        <v>0.49659910000000002</v>
      </c>
      <c r="E2074">
        <v>-8.56629E-2</v>
      </c>
      <c r="F2074">
        <v>-1.9680000000000001E-4</v>
      </c>
      <c r="G2074">
        <v>1.4507650000000001</v>
      </c>
      <c r="H2074">
        <v>0.20906459999999999</v>
      </c>
      <c r="Q2074" s="10">
        <f t="shared" si="84"/>
        <v>1.2201403477114122E-2</v>
      </c>
      <c r="AI2074">
        <v>0.47814259999999997</v>
      </c>
      <c r="AJ2074">
        <f t="shared" si="83"/>
        <v>0.47814259999999997</v>
      </c>
      <c r="AO2074">
        <v>0.47814259999999997</v>
      </c>
      <c r="AR2074" s="8">
        <v>0</v>
      </c>
      <c r="AS2074">
        <v>1.406452</v>
      </c>
    </row>
    <row r="2075" spans="1:45" x14ac:dyDescent="0.25">
      <c r="A2075">
        <v>369</v>
      </c>
      <c r="B2075">
        <v>2003</v>
      </c>
      <c r="C2075" s="8">
        <v>0</v>
      </c>
      <c r="D2075">
        <v>0.35804449999999999</v>
      </c>
      <c r="E2075">
        <v>-0.2163069</v>
      </c>
      <c r="F2075">
        <v>7.6979999999999995E-4</v>
      </c>
      <c r="G2075">
        <v>1.4317120000000001</v>
      </c>
      <c r="H2075">
        <v>0.25360899999999997</v>
      </c>
      <c r="Q2075" s="10">
        <f t="shared" si="84"/>
        <v>1.4612623959774631E-2</v>
      </c>
      <c r="AI2075">
        <v>0.15683849999999999</v>
      </c>
      <c r="AJ2075">
        <f t="shared" si="83"/>
        <v>0.15683849999999999</v>
      </c>
      <c r="AO2075">
        <v>0.15683849999999999</v>
      </c>
      <c r="AR2075" s="8">
        <v>0</v>
      </c>
      <c r="AS2075">
        <v>1.6841759999999999</v>
      </c>
    </row>
    <row r="2076" spans="1:45" x14ac:dyDescent="0.25">
      <c r="A2076">
        <v>369</v>
      </c>
      <c r="B2076">
        <v>2004</v>
      </c>
      <c r="C2076" s="8">
        <v>0</v>
      </c>
      <c r="D2076">
        <v>0.47814259999999997</v>
      </c>
      <c r="E2076">
        <v>-2.9348800000000001E-2</v>
      </c>
      <c r="F2076">
        <v>8.71976E-2</v>
      </c>
      <c r="G2076">
        <v>3.3611659999999999</v>
      </c>
      <c r="H2076">
        <v>0.42973210000000001</v>
      </c>
      <c r="Q2076" s="10">
        <f t="shared" si="84"/>
        <v>3.0643980917340855E-4</v>
      </c>
      <c r="AI2076">
        <v>-1.5162999999999999E-3</v>
      </c>
      <c r="AJ2076">
        <f t="shared" si="83"/>
        <v>-1.5162999999999999E-3</v>
      </c>
      <c r="AO2076">
        <v>-1.5162999999999999E-3</v>
      </c>
      <c r="AR2076" s="8">
        <v>0</v>
      </c>
      <c r="AS2076">
        <v>1.4507650000000001</v>
      </c>
    </row>
    <row r="2077" spans="1:45" x14ac:dyDescent="0.25">
      <c r="A2077">
        <v>370</v>
      </c>
      <c r="B2077">
        <v>1998</v>
      </c>
      <c r="C2077" s="8">
        <v>0</v>
      </c>
      <c r="D2077">
        <v>0.15683849999999999</v>
      </c>
      <c r="E2077">
        <v>9.9538699999999994E-2</v>
      </c>
      <c r="F2077">
        <v>9.0662999999999994E-3</v>
      </c>
      <c r="G2077">
        <v>1.459554</v>
      </c>
      <c r="H2077">
        <v>0.13065779999999999</v>
      </c>
      <c r="Q2077" s="10">
        <f t="shared" si="84"/>
        <v>7.0988233676968658E-3</v>
      </c>
      <c r="AI2077">
        <v>-1.22484E-2</v>
      </c>
      <c r="AJ2077">
        <f t="shared" si="83"/>
        <v>-1.22484E-2</v>
      </c>
      <c r="AO2077">
        <v>-1.22484E-2</v>
      </c>
      <c r="AR2077" s="8">
        <v>0</v>
      </c>
      <c r="AS2077">
        <v>1.4317120000000001</v>
      </c>
    </row>
    <row r="2078" spans="1:45" x14ac:dyDescent="0.25">
      <c r="A2078">
        <v>370</v>
      </c>
      <c r="B2078">
        <v>1999</v>
      </c>
      <c r="C2078" s="8">
        <v>0</v>
      </c>
      <c r="D2078">
        <v>-1.5162999999999999E-3</v>
      </c>
      <c r="E2078">
        <v>0.10218679999999999</v>
      </c>
      <c r="F2078">
        <v>5.3985600000000002E-2</v>
      </c>
      <c r="G2078">
        <v>0.81729719999999995</v>
      </c>
      <c r="H2078">
        <v>0.16806209999999999</v>
      </c>
      <c r="Q2078" s="10">
        <f t="shared" si="84"/>
        <v>1.3088983043722455E-2</v>
      </c>
      <c r="AI2078">
        <v>-1.01274E-2</v>
      </c>
      <c r="AJ2078">
        <f t="shared" si="83"/>
        <v>-1.01274E-2</v>
      </c>
      <c r="AO2078">
        <v>-1.01274E-2</v>
      </c>
      <c r="AR2078" s="8">
        <v>0</v>
      </c>
      <c r="AS2078">
        <v>3.3611659999999999</v>
      </c>
    </row>
    <row r="2079" spans="1:45" x14ac:dyDescent="0.25">
      <c r="A2079">
        <v>370</v>
      </c>
      <c r="B2079">
        <v>2000</v>
      </c>
      <c r="C2079" s="8">
        <v>0</v>
      </c>
      <c r="D2079">
        <v>-1.22484E-2</v>
      </c>
      <c r="E2079">
        <v>8.3212999999999995E-2</v>
      </c>
      <c r="F2079">
        <v>4.1974299999999999E-2</v>
      </c>
      <c r="G2079">
        <v>0.69370719999999997</v>
      </c>
      <c r="H2079">
        <v>0.18259230000000001</v>
      </c>
      <c r="Q2079" s="10">
        <f t="shared" si="84"/>
        <v>1.8028084144850517E-2</v>
      </c>
      <c r="AI2079">
        <v>2.96283E-2</v>
      </c>
      <c r="AJ2079">
        <f t="shared" si="83"/>
        <v>2.96283E-2</v>
      </c>
      <c r="AO2079">
        <v>2.96283E-2</v>
      </c>
      <c r="AR2079" s="8">
        <v>0</v>
      </c>
      <c r="AS2079">
        <v>1.459554</v>
      </c>
    </row>
    <row r="2080" spans="1:45" x14ac:dyDescent="0.25">
      <c r="A2080">
        <v>370</v>
      </c>
      <c r="B2080">
        <v>2001</v>
      </c>
      <c r="C2080" s="8">
        <v>0</v>
      </c>
      <c r="D2080">
        <v>-1.01274E-2</v>
      </c>
      <c r="E2080">
        <v>7.9685199999999998E-2</v>
      </c>
      <c r="F2080">
        <v>4.2326900000000001E-2</v>
      </c>
      <c r="G2080">
        <v>0.58104990000000001</v>
      </c>
      <c r="H2080">
        <v>0.16260640000000001</v>
      </c>
      <c r="Q2080" s="10">
        <f t="shared" si="84"/>
        <v>2.130455435835998E-2</v>
      </c>
      <c r="AI2080">
        <v>7.7355599999999997E-2</v>
      </c>
      <c r="AJ2080">
        <f t="shared" si="83"/>
        <v>7.7355599999999997E-2</v>
      </c>
      <c r="AO2080">
        <v>7.7355599999999997E-2</v>
      </c>
      <c r="AR2080" s="8">
        <v>0</v>
      </c>
      <c r="AS2080">
        <v>0.81729719999999995</v>
      </c>
    </row>
    <row r="2081" spans="1:45" x14ac:dyDescent="0.25">
      <c r="A2081">
        <v>370</v>
      </c>
      <c r="B2081">
        <v>2002</v>
      </c>
      <c r="C2081" s="8">
        <v>0</v>
      </c>
      <c r="D2081">
        <v>2.96283E-2</v>
      </c>
      <c r="E2081">
        <v>5.5252099999999998E-2</v>
      </c>
      <c r="F2081">
        <v>5.0282500000000001E-2</v>
      </c>
      <c r="G2081">
        <v>0.5593148</v>
      </c>
      <c r="H2081">
        <v>0.171741</v>
      </c>
      <c r="Q2081" s="10">
        <f t="shared" si="84"/>
        <v>2.1910432287519876E-2</v>
      </c>
      <c r="AI2081">
        <v>8.5144899999999996E-2</v>
      </c>
      <c r="AJ2081">
        <f t="shared" si="83"/>
        <v>8.5144899999999996E-2</v>
      </c>
      <c r="AO2081">
        <v>8.5144899999999996E-2</v>
      </c>
      <c r="AR2081" s="8">
        <v>0</v>
      </c>
      <c r="AS2081">
        <v>0.69370719999999997</v>
      </c>
    </row>
    <row r="2082" spans="1:45" x14ac:dyDescent="0.25">
      <c r="A2082">
        <v>370</v>
      </c>
      <c r="B2082">
        <v>2003</v>
      </c>
      <c r="C2082" s="8">
        <v>0</v>
      </c>
      <c r="D2082">
        <v>7.7355599999999997E-2</v>
      </c>
      <c r="E2082">
        <v>6.9048200000000004E-2</v>
      </c>
      <c r="F2082">
        <v>3.8616499999999998E-2</v>
      </c>
      <c r="G2082">
        <v>0.56445789999999996</v>
      </c>
      <c r="H2082">
        <v>0.15998789999999999</v>
      </c>
      <c r="Q2082" s="10">
        <f t="shared" si="84"/>
        <v>2.3635575385784483E-2</v>
      </c>
      <c r="AI2082">
        <v>5.50743E-2</v>
      </c>
      <c r="AJ2082">
        <f t="shared" si="83"/>
        <v>5.50743E-2</v>
      </c>
      <c r="AO2082">
        <v>5.50743E-2</v>
      </c>
      <c r="AR2082" s="8">
        <v>0</v>
      </c>
      <c r="AS2082">
        <v>0.58104990000000001</v>
      </c>
    </row>
    <row r="2083" spans="1:45" x14ac:dyDescent="0.25">
      <c r="A2083">
        <v>370</v>
      </c>
      <c r="B2083">
        <v>2004</v>
      </c>
      <c r="C2083" s="8">
        <v>0</v>
      </c>
      <c r="D2083">
        <v>8.5144899999999996E-2</v>
      </c>
      <c r="E2083">
        <v>9.4143199999999996E-2</v>
      </c>
      <c r="F2083">
        <v>4.5568400000000002E-2</v>
      </c>
      <c r="G2083">
        <v>0.71268050000000005</v>
      </c>
      <c r="H2083">
        <v>0.16005559999999999</v>
      </c>
      <c r="Q2083" s="10">
        <f t="shared" si="84"/>
        <v>1.7189508552267137E-2</v>
      </c>
      <c r="AI2083">
        <v>5.6457E-2</v>
      </c>
      <c r="AJ2083">
        <f t="shared" si="83"/>
        <v>5.6457E-2</v>
      </c>
      <c r="AO2083">
        <v>5.6457E-2</v>
      </c>
      <c r="AR2083" s="8">
        <v>0</v>
      </c>
      <c r="AS2083">
        <v>0.5593148</v>
      </c>
    </row>
    <row r="2084" spans="1:45" x14ac:dyDescent="0.25">
      <c r="A2084">
        <v>371</v>
      </c>
      <c r="B2084">
        <v>2002</v>
      </c>
      <c r="C2084" s="8">
        <v>0</v>
      </c>
      <c r="D2084">
        <v>5.50743E-2</v>
      </c>
      <c r="E2084">
        <v>0.30308220000000002</v>
      </c>
      <c r="F2084">
        <v>4.0894699999999999E-2</v>
      </c>
      <c r="G2084">
        <v>0.42191859999999998</v>
      </c>
      <c r="H2084">
        <v>0.1880608</v>
      </c>
      <c r="Q2084" s="10">
        <f t="shared" si="84"/>
        <v>2.0953310130412194E-2</v>
      </c>
      <c r="AI2084">
        <v>8.0913200000000005E-2</v>
      </c>
      <c r="AJ2084">
        <f t="shared" si="83"/>
        <v>8.0913200000000005E-2</v>
      </c>
      <c r="AO2084">
        <v>8.0913200000000005E-2</v>
      </c>
      <c r="AR2084" s="8">
        <v>0</v>
      </c>
      <c r="AS2084">
        <v>0.56445789999999996</v>
      </c>
    </row>
    <row r="2085" spans="1:45" x14ac:dyDescent="0.25">
      <c r="A2085">
        <v>371</v>
      </c>
      <c r="B2085">
        <v>2003</v>
      </c>
      <c r="C2085" s="8">
        <v>0</v>
      </c>
      <c r="D2085">
        <v>5.6457E-2</v>
      </c>
      <c r="E2085">
        <v>0.30607960000000001</v>
      </c>
      <c r="F2085">
        <v>3.4396599999999999E-2</v>
      </c>
      <c r="G2085">
        <v>0.7005169</v>
      </c>
      <c r="H2085">
        <v>0.2007651</v>
      </c>
      <c r="Q2085" s="10">
        <f t="shared" si="84"/>
        <v>1.4312743486832683E-2</v>
      </c>
      <c r="AI2085">
        <v>0.27662530000000002</v>
      </c>
      <c r="AJ2085">
        <f t="shared" si="83"/>
        <v>0.27662530000000002</v>
      </c>
      <c r="AO2085">
        <v>0.27662530000000002</v>
      </c>
      <c r="AR2085" s="8">
        <v>0</v>
      </c>
      <c r="AS2085">
        <v>0.71268050000000005</v>
      </c>
    </row>
    <row r="2086" spans="1:45" x14ac:dyDescent="0.25">
      <c r="A2086">
        <v>371</v>
      </c>
      <c r="B2086">
        <v>2004</v>
      </c>
      <c r="C2086" s="8">
        <v>0</v>
      </c>
      <c r="D2086">
        <v>8.0913200000000005E-2</v>
      </c>
      <c r="E2086">
        <v>0.32627109999999998</v>
      </c>
      <c r="F2086">
        <v>5.0050400000000002E-2</v>
      </c>
      <c r="G2086">
        <v>0.97407359999999998</v>
      </c>
      <c r="H2086">
        <v>0.20253689999999999</v>
      </c>
      <c r="Q2086" s="10">
        <f t="shared" si="84"/>
        <v>8.0702389412309217E-3</v>
      </c>
      <c r="AI2086">
        <v>0.29323480000000002</v>
      </c>
      <c r="AJ2086">
        <f t="shared" si="83"/>
        <v>0.29323480000000002</v>
      </c>
      <c r="AO2086">
        <v>0.29323480000000002</v>
      </c>
      <c r="AR2086" s="8">
        <v>0</v>
      </c>
      <c r="AS2086">
        <v>0.42191859999999998</v>
      </c>
    </row>
    <row r="2087" spans="1:45" x14ac:dyDescent="0.25">
      <c r="A2087">
        <v>372</v>
      </c>
      <c r="B2087">
        <v>1997</v>
      </c>
      <c r="C2087" s="8">
        <v>0</v>
      </c>
      <c r="D2087">
        <v>0.27662530000000002</v>
      </c>
      <c r="E2087">
        <v>1.8072399999999999E-2</v>
      </c>
      <c r="F2087">
        <v>3.4078200000000003E-2</v>
      </c>
      <c r="G2087">
        <v>0.65458269999999996</v>
      </c>
      <c r="H2087">
        <v>0.33701049999999999</v>
      </c>
      <c r="Q2087" s="10">
        <f t="shared" si="84"/>
        <v>2.7598630814324714E-2</v>
      </c>
      <c r="AI2087">
        <v>0.2752753</v>
      </c>
      <c r="AJ2087">
        <f t="shared" si="83"/>
        <v>0.2752753</v>
      </c>
      <c r="AO2087">
        <v>0.2752753</v>
      </c>
      <c r="AR2087" s="8">
        <v>0</v>
      </c>
      <c r="AS2087">
        <v>0.7005169</v>
      </c>
    </row>
    <row r="2088" spans="1:45" x14ac:dyDescent="0.25">
      <c r="A2088">
        <v>372</v>
      </c>
      <c r="B2088">
        <v>1998</v>
      </c>
      <c r="C2088" s="8">
        <v>0</v>
      </c>
      <c r="D2088">
        <v>0.29323480000000002</v>
      </c>
      <c r="E2088">
        <v>2.87881E-2</v>
      </c>
      <c r="F2088">
        <v>7.0716500000000002E-2</v>
      </c>
      <c r="G2088">
        <v>0.46315909999999999</v>
      </c>
      <c r="H2088">
        <v>0.471082</v>
      </c>
      <c r="Q2088" s="10">
        <f t="shared" si="84"/>
        <v>3.0013526414840907E-2</v>
      </c>
      <c r="AI2088">
        <v>0.3297889</v>
      </c>
      <c r="AJ2088">
        <f t="shared" si="83"/>
        <v>0.3297889</v>
      </c>
      <c r="AO2088">
        <v>0.3297889</v>
      </c>
      <c r="AR2088" s="8">
        <v>0</v>
      </c>
      <c r="AS2088">
        <v>0.97407359999999998</v>
      </c>
    </row>
    <row r="2089" spans="1:45" x14ac:dyDescent="0.25">
      <c r="A2089">
        <v>372</v>
      </c>
      <c r="B2089">
        <v>1999</v>
      </c>
      <c r="C2089" s="8">
        <v>0</v>
      </c>
      <c r="D2089">
        <v>0.2752753</v>
      </c>
      <c r="E2089">
        <v>2.07496E-2</v>
      </c>
      <c r="F2089">
        <v>5.0813400000000002E-2</v>
      </c>
      <c r="G2089">
        <v>0.26784839999999999</v>
      </c>
      <c r="H2089">
        <v>0.47716239999999999</v>
      </c>
      <c r="Q2089" s="10">
        <f t="shared" si="84"/>
        <v>4.7553982090581773E-2</v>
      </c>
      <c r="AI2089">
        <v>0.27365400000000001</v>
      </c>
      <c r="AJ2089">
        <f t="shared" si="83"/>
        <v>0.27365400000000001</v>
      </c>
      <c r="AO2089">
        <v>0.27365400000000001</v>
      </c>
      <c r="AR2089" s="8">
        <v>0</v>
      </c>
      <c r="AS2089">
        <v>0.65458269999999996</v>
      </c>
    </row>
    <row r="2090" spans="1:45" x14ac:dyDescent="0.25">
      <c r="A2090">
        <v>372</v>
      </c>
      <c r="B2090">
        <v>2000</v>
      </c>
      <c r="C2090" s="8">
        <v>0</v>
      </c>
      <c r="D2090">
        <v>0.3297889</v>
      </c>
      <c r="E2090">
        <v>2.50102E-2</v>
      </c>
      <c r="F2090">
        <v>6.9703899999999999E-2</v>
      </c>
      <c r="G2090">
        <v>0.14195630000000001</v>
      </c>
      <c r="H2090">
        <v>0.5064862</v>
      </c>
      <c r="Q2090" s="10">
        <f t="shared" si="84"/>
        <v>5.151047646186975E-2</v>
      </c>
      <c r="AI2090">
        <v>0.32444129999999999</v>
      </c>
      <c r="AJ2090">
        <f t="shared" si="83"/>
        <v>0.32444129999999999</v>
      </c>
      <c r="AO2090">
        <v>0.32444129999999999</v>
      </c>
      <c r="AR2090" s="8">
        <v>0</v>
      </c>
      <c r="AS2090">
        <v>0.46315909999999999</v>
      </c>
    </row>
    <row r="2091" spans="1:45" x14ac:dyDescent="0.25">
      <c r="A2091">
        <v>372</v>
      </c>
      <c r="B2091">
        <v>2001</v>
      </c>
      <c r="C2091" s="8">
        <v>0</v>
      </c>
      <c r="D2091">
        <v>0.27365400000000001</v>
      </c>
      <c r="E2091">
        <v>3.5341699999999997E-2</v>
      </c>
      <c r="F2091">
        <v>3.4082500000000002E-2</v>
      </c>
      <c r="G2091">
        <v>0.13774510000000001</v>
      </c>
      <c r="H2091">
        <v>0.43603189999999997</v>
      </c>
      <c r="Q2091" s="10">
        <f t="shared" si="84"/>
        <v>6.2774023896327052E-2</v>
      </c>
      <c r="AI2091">
        <v>0.36120780000000002</v>
      </c>
      <c r="AJ2091">
        <f t="shared" si="83"/>
        <v>0.36120780000000002</v>
      </c>
      <c r="AO2091">
        <v>0.36120780000000002</v>
      </c>
      <c r="AR2091" s="8">
        <v>0</v>
      </c>
      <c r="AS2091">
        <v>0.26784839999999999</v>
      </c>
    </row>
    <row r="2092" spans="1:45" x14ac:dyDescent="0.25">
      <c r="A2092">
        <v>372</v>
      </c>
      <c r="B2092">
        <v>2002</v>
      </c>
      <c r="C2092" s="8">
        <v>0</v>
      </c>
      <c r="D2092">
        <v>0.32444129999999999</v>
      </c>
      <c r="E2092">
        <v>-0.40830810000000001</v>
      </c>
      <c r="F2092">
        <v>6.1050300000000002E-2</v>
      </c>
      <c r="G2092">
        <v>7.2713100000000003E-2</v>
      </c>
      <c r="H2092">
        <v>0.5921556</v>
      </c>
      <c r="Q2092" s="10">
        <f t="shared" si="84"/>
        <v>0.1137908914257377</v>
      </c>
      <c r="AI2092">
        <v>0.34536919999999999</v>
      </c>
      <c r="AJ2092">
        <f t="shared" si="83"/>
        <v>0.34536919999999999</v>
      </c>
      <c r="AO2092">
        <v>0.34536919999999999</v>
      </c>
      <c r="AR2092" s="8">
        <v>0</v>
      </c>
      <c r="AS2092">
        <v>0.14195630000000001</v>
      </c>
    </row>
    <row r="2093" spans="1:45" x14ac:dyDescent="0.25">
      <c r="A2093">
        <v>372</v>
      </c>
      <c r="B2093">
        <v>2003</v>
      </c>
      <c r="C2093" s="8">
        <v>0</v>
      </c>
      <c r="D2093">
        <v>0.36120780000000002</v>
      </c>
      <c r="E2093">
        <v>-0.67896829999999997</v>
      </c>
      <c r="F2093">
        <v>4.7518600000000001E-2</v>
      </c>
      <c r="G2093">
        <v>7.0017499999999996E-2</v>
      </c>
      <c r="H2093">
        <v>0.80380019999999996</v>
      </c>
      <c r="Q2093" s="10">
        <f t="shared" si="84"/>
        <v>0.19779833941450345</v>
      </c>
      <c r="AI2093">
        <v>3.1291199999999998E-2</v>
      </c>
      <c r="AJ2093">
        <f t="shared" si="83"/>
        <v>3.1291199999999998E-2</v>
      </c>
      <c r="AO2093">
        <v>3.1291199999999998E-2</v>
      </c>
      <c r="AR2093" s="8">
        <v>0</v>
      </c>
      <c r="AS2093">
        <v>0.13774510000000001</v>
      </c>
    </row>
    <row r="2094" spans="1:45" x14ac:dyDescent="0.25">
      <c r="A2094">
        <v>372</v>
      </c>
      <c r="B2094">
        <v>2004</v>
      </c>
      <c r="C2094" s="8">
        <v>0</v>
      </c>
      <c r="D2094">
        <v>0.34536919999999999</v>
      </c>
      <c r="E2094">
        <v>-0.58866099999999999</v>
      </c>
      <c r="F2094">
        <v>5.5982299999999999E-2</v>
      </c>
      <c r="G2094">
        <v>0.28807379999999999</v>
      </c>
      <c r="H2094">
        <v>0.91863989999999995</v>
      </c>
      <c r="Q2094" s="10">
        <f t="shared" si="84"/>
        <v>0.13215811957272974</v>
      </c>
      <c r="AI2094">
        <v>3.34688E-2</v>
      </c>
      <c r="AJ2094">
        <f t="shared" si="83"/>
        <v>3.34688E-2</v>
      </c>
      <c r="AO2094">
        <v>3.34688E-2</v>
      </c>
      <c r="AR2094" s="8">
        <v>0</v>
      </c>
      <c r="AS2094">
        <v>7.2713100000000003E-2</v>
      </c>
    </row>
    <row r="2095" spans="1:45" x14ac:dyDescent="0.25">
      <c r="A2095">
        <v>373</v>
      </c>
      <c r="B2095">
        <v>1995</v>
      </c>
      <c r="C2095" s="8">
        <v>0</v>
      </c>
      <c r="D2095">
        <v>3.1291199999999998E-2</v>
      </c>
      <c r="E2095">
        <v>0.33437689999999998</v>
      </c>
      <c r="F2095">
        <v>4.7093999999999997E-2</v>
      </c>
      <c r="G2095">
        <v>1.331083</v>
      </c>
      <c r="H2095">
        <v>0.16562479999999999</v>
      </c>
      <c r="Q2095" s="10">
        <f t="shared" si="84"/>
        <v>4.4429973203810574E-3</v>
      </c>
      <c r="AI2095">
        <v>0.10546030000000001</v>
      </c>
      <c r="AJ2095">
        <f t="shared" si="83"/>
        <v>0.10546030000000001</v>
      </c>
      <c r="AO2095">
        <v>0.10546030000000001</v>
      </c>
      <c r="AR2095" s="8">
        <v>0</v>
      </c>
      <c r="AS2095">
        <v>7.0017499999999996E-2</v>
      </c>
    </row>
    <row r="2096" spans="1:45" x14ac:dyDescent="0.25">
      <c r="A2096">
        <v>373</v>
      </c>
      <c r="B2096">
        <v>1996</v>
      </c>
      <c r="C2096" s="8">
        <v>0</v>
      </c>
      <c r="D2096">
        <v>3.34688E-2</v>
      </c>
      <c r="E2096">
        <v>0.32758609999999999</v>
      </c>
      <c r="F2096">
        <v>7.7735600000000002E-2</v>
      </c>
      <c r="G2096">
        <v>2.0783360000000002</v>
      </c>
      <c r="H2096">
        <v>0.1515135</v>
      </c>
      <c r="Q2096" s="10">
        <f t="shared" si="84"/>
        <v>1.0627162005574589E-3</v>
      </c>
      <c r="AI2096">
        <v>0.1047153</v>
      </c>
      <c r="AJ2096">
        <f t="shared" si="83"/>
        <v>0.1047153</v>
      </c>
      <c r="AO2096">
        <v>0.1047153</v>
      </c>
      <c r="AR2096" s="8">
        <v>0</v>
      </c>
      <c r="AS2096">
        <v>0.28807379999999999</v>
      </c>
    </row>
    <row r="2097" spans="1:45" x14ac:dyDescent="0.25">
      <c r="A2097">
        <v>374</v>
      </c>
      <c r="B2097">
        <v>2000</v>
      </c>
      <c r="C2097" s="8">
        <v>0</v>
      </c>
      <c r="D2097">
        <v>0.10546030000000001</v>
      </c>
      <c r="E2097">
        <v>0.31375219999999998</v>
      </c>
      <c r="F2097">
        <v>4.6449999999999998E-3</v>
      </c>
      <c r="G2097">
        <v>0.54502700000000004</v>
      </c>
      <c r="H2097">
        <v>0.19428809999999999</v>
      </c>
      <c r="Q2097" s="10">
        <f t="shared" si="84"/>
        <v>2.3173954799036001E-2</v>
      </c>
      <c r="AI2097">
        <v>0.35063569999999999</v>
      </c>
      <c r="AJ2097">
        <f t="shared" si="83"/>
        <v>0.35063569999999999</v>
      </c>
      <c r="AO2097">
        <v>0.35063569999999999</v>
      </c>
      <c r="AR2097" s="8">
        <v>0</v>
      </c>
      <c r="AS2097">
        <v>1.331083</v>
      </c>
    </row>
    <row r="2098" spans="1:45" x14ac:dyDescent="0.25">
      <c r="A2098">
        <v>374</v>
      </c>
      <c r="B2098">
        <v>2002</v>
      </c>
      <c r="C2098" s="8">
        <v>0</v>
      </c>
      <c r="D2098">
        <v>0.1047153</v>
      </c>
      <c r="E2098">
        <v>0.28051379999999998</v>
      </c>
      <c r="F2098">
        <v>4.14039E-2</v>
      </c>
      <c r="G2098">
        <v>0.50204839999999995</v>
      </c>
      <c r="H2098">
        <v>0.1485648</v>
      </c>
      <c r="Q2098" s="10">
        <f t="shared" si="84"/>
        <v>1.8944026875591775E-2</v>
      </c>
      <c r="AI2098">
        <v>0.35475109999999999</v>
      </c>
      <c r="AJ2098">
        <f t="shared" si="83"/>
        <v>0.35475109999999999</v>
      </c>
      <c r="AO2098">
        <v>0.35475109999999999</v>
      </c>
      <c r="AR2098" s="8">
        <v>0</v>
      </c>
      <c r="AS2098">
        <v>2.0783360000000002</v>
      </c>
    </row>
    <row r="2099" spans="1:45" x14ac:dyDescent="0.25">
      <c r="A2099">
        <v>374</v>
      </c>
      <c r="B2099">
        <v>2003</v>
      </c>
      <c r="C2099" s="8">
        <v>0</v>
      </c>
      <c r="D2099">
        <v>0.35063569999999999</v>
      </c>
      <c r="E2099">
        <v>0.33054410000000001</v>
      </c>
      <c r="F2099">
        <v>9.0322899999999998E-2</v>
      </c>
      <c r="G2099">
        <v>1.0336209999999999</v>
      </c>
      <c r="H2099">
        <v>0.25030370000000002</v>
      </c>
      <c r="Q2099" s="10">
        <f t="shared" si="84"/>
        <v>6.1000155404230547E-3</v>
      </c>
      <c r="AI2099">
        <v>0.20395579999999999</v>
      </c>
      <c r="AJ2099">
        <f t="shared" si="83"/>
        <v>0.20395579999999999</v>
      </c>
      <c r="AO2099">
        <v>0.20395579999999999</v>
      </c>
      <c r="AR2099" s="8">
        <v>0</v>
      </c>
      <c r="AS2099">
        <v>0.54502700000000004</v>
      </c>
    </row>
    <row r="2100" spans="1:45" x14ac:dyDescent="0.25">
      <c r="A2100">
        <v>374</v>
      </c>
      <c r="B2100">
        <v>2004</v>
      </c>
      <c r="C2100" s="8">
        <v>0</v>
      </c>
      <c r="D2100">
        <v>0.35475109999999999</v>
      </c>
      <c r="E2100">
        <v>0.40997830000000002</v>
      </c>
      <c r="F2100">
        <v>5.5138399999999997E-2</v>
      </c>
      <c r="G2100">
        <v>1.7734570000000001</v>
      </c>
      <c r="H2100">
        <v>0.20867640000000001</v>
      </c>
      <c r="Q2100" s="10">
        <f t="shared" si="84"/>
        <v>2.1707886585313418E-3</v>
      </c>
      <c r="AI2100">
        <v>0.13879130000000001</v>
      </c>
      <c r="AJ2100">
        <f t="shared" si="83"/>
        <v>0.13879130000000001</v>
      </c>
      <c r="AO2100">
        <v>0.13879130000000001</v>
      </c>
      <c r="AR2100" s="8">
        <v>0</v>
      </c>
      <c r="AS2100">
        <v>0.50204839999999995</v>
      </c>
    </row>
    <row r="2101" spans="1:45" x14ac:dyDescent="0.25">
      <c r="A2101">
        <v>375</v>
      </c>
      <c r="B2101">
        <v>1995</v>
      </c>
      <c r="C2101" s="8">
        <v>0</v>
      </c>
      <c r="D2101">
        <v>0.20395579999999999</v>
      </c>
      <c r="E2101">
        <v>0.31428319999999998</v>
      </c>
      <c r="F2101">
        <v>4.9005899999999998E-2</v>
      </c>
      <c r="G2101">
        <v>2.6586699999999999</v>
      </c>
      <c r="H2101">
        <v>0.51364960000000004</v>
      </c>
      <c r="Q2101" s="10">
        <f t="shared" si="84"/>
        <v>7.2656521902573839E-4</v>
      </c>
      <c r="AI2101">
        <v>0.1599006</v>
      </c>
      <c r="AJ2101">
        <f t="shared" si="83"/>
        <v>0.1599006</v>
      </c>
      <c r="AO2101">
        <v>0.1599006</v>
      </c>
      <c r="AR2101" s="8">
        <v>0</v>
      </c>
      <c r="AS2101">
        <v>1.0336209999999999</v>
      </c>
    </row>
    <row r="2102" spans="1:45" x14ac:dyDescent="0.25">
      <c r="A2102">
        <v>375</v>
      </c>
      <c r="B2102">
        <v>1996</v>
      </c>
      <c r="C2102" s="8">
        <v>0</v>
      </c>
      <c r="D2102">
        <v>0.13879130000000001</v>
      </c>
      <c r="E2102">
        <v>0.31258219999999998</v>
      </c>
      <c r="F2102">
        <v>4.3839900000000001E-2</v>
      </c>
      <c r="G2102">
        <v>2.6164130000000001</v>
      </c>
      <c r="H2102">
        <v>0.4986466</v>
      </c>
      <c r="Q2102" s="10">
        <f t="shared" si="84"/>
        <v>7.829800987248091E-4</v>
      </c>
      <c r="AI2102">
        <v>0.14874970000000001</v>
      </c>
      <c r="AJ2102">
        <f t="shared" si="83"/>
        <v>0.14874970000000001</v>
      </c>
      <c r="AO2102">
        <v>0.14874970000000001</v>
      </c>
      <c r="AR2102" s="8">
        <v>0</v>
      </c>
      <c r="AS2102">
        <v>1.7734570000000001</v>
      </c>
    </row>
    <row r="2103" spans="1:45" x14ac:dyDescent="0.25">
      <c r="A2103">
        <v>375</v>
      </c>
      <c r="B2103">
        <v>1997</v>
      </c>
      <c r="C2103" s="8">
        <v>0</v>
      </c>
      <c r="D2103">
        <v>0.1599006</v>
      </c>
      <c r="E2103">
        <v>0.33789330000000001</v>
      </c>
      <c r="F2103">
        <v>5.2528999999999999E-2</v>
      </c>
      <c r="G2103">
        <v>3.4173830000000001</v>
      </c>
      <c r="H2103">
        <v>0.49505909999999997</v>
      </c>
      <c r="Q2103" s="10">
        <f t="shared" si="84"/>
        <v>1.9784588674495561E-4</v>
      </c>
      <c r="AI2103">
        <v>0.1734501</v>
      </c>
      <c r="AJ2103">
        <f t="shared" si="83"/>
        <v>0.1734501</v>
      </c>
      <c r="AO2103">
        <v>0.1734501</v>
      </c>
      <c r="AR2103" s="8">
        <v>0</v>
      </c>
      <c r="AS2103">
        <v>2.6586699999999999</v>
      </c>
    </row>
    <row r="2104" spans="1:45" x14ac:dyDescent="0.25">
      <c r="A2104">
        <v>375</v>
      </c>
      <c r="B2104">
        <v>1998</v>
      </c>
      <c r="C2104" s="8">
        <v>0</v>
      </c>
      <c r="D2104">
        <v>0.14874970000000001</v>
      </c>
      <c r="E2104">
        <v>0.34786</v>
      </c>
      <c r="F2104">
        <v>5.8053899999999999E-2</v>
      </c>
      <c r="G2104">
        <v>6.4350050000000003</v>
      </c>
      <c r="H2104">
        <v>0.52566369999999996</v>
      </c>
      <c r="Q2104" s="10">
        <f t="shared" si="84"/>
        <v>1.5441589633137271E-6</v>
      </c>
      <c r="AI2104">
        <v>0.15042</v>
      </c>
      <c r="AJ2104">
        <f t="shared" si="83"/>
        <v>0.15042</v>
      </c>
      <c r="AO2104">
        <v>0.15042</v>
      </c>
      <c r="AR2104" s="8">
        <v>0</v>
      </c>
      <c r="AS2104">
        <v>2.6164130000000001</v>
      </c>
    </row>
    <row r="2105" spans="1:45" x14ac:dyDescent="0.25">
      <c r="A2105">
        <v>375</v>
      </c>
      <c r="B2105">
        <v>1999</v>
      </c>
      <c r="C2105" s="8">
        <v>0</v>
      </c>
      <c r="D2105">
        <v>0.1734501</v>
      </c>
      <c r="E2105">
        <v>0.32722849999999998</v>
      </c>
      <c r="F2105">
        <v>5.5235899999999998E-2</v>
      </c>
      <c r="G2105">
        <v>3.9784799999999998</v>
      </c>
      <c r="H2105">
        <v>0.4516732</v>
      </c>
      <c r="Q2105" s="10">
        <f t="shared" si="84"/>
        <v>7.8730328925569684E-5</v>
      </c>
      <c r="AI2105">
        <v>0.1837191</v>
      </c>
      <c r="AJ2105">
        <f t="shared" si="83"/>
        <v>0.1837191</v>
      </c>
      <c r="AO2105">
        <v>0.1837191</v>
      </c>
      <c r="AR2105" s="8">
        <v>0</v>
      </c>
      <c r="AS2105">
        <v>3.4173830000000001</v>
      </c>
    </row>
    <row r="2106" spans="1:45" x14ac:dyDescent="0.25">
      <c r="A2106">
        <v>375</v>
      </c>
      <c r="B2106">
        <v>2000</v>
      </c>
      <c r="C2106" s="8">
        <v>0</v>
      </c>
      <c r="D2106">
        <v>0.15042</v>
      </c>
      <c r="E2106">
        <v>0.33285890000000001</v>
      </c>
      <c r="F2106">
        <v>4.1860799999999997E-2</v>
      </c>
      <c r="G2106">
        <v>3.5127389999999998</v>
      </c>
      <c r="H2106">
        <v>0.42142170000000001</v>
      </c>
      <c r="Q2106" s="10">
        <f t="shared" si="84"/>
        <v>1.7744174787684715E-4</v>
      </c>
      <c r="AI2106">
        <v>0.1452244</v>
      </c>
      <c r="AJ2106">
        <f t="shared" si="83"/>
        <v>0.1452244</v>
      </c>
      <c r="AO2106">
        <v>0.1452244</v>
      </c>
      <c r="AR2106" s="8">
        <v>0</v>
      </c>
      <c r="AS2106">
        <v>6.4350050000000003</v>
      </c>
    </row>
    <row r="2107" spans="1:45" x14ac:dyDescent="0.25">
      <c r="A2107">
        <v>375</v>
      </c>
      <c r="B2107">
        <v>2001</v>
      </c>
      <c r="C2107" s="8">
        <v>0</v>
      </c>
      <c r="D2107">
        <v>0.1837191</v>
      </c>
      <c r="E2107">
        <v>0.36076259999999999</v>
      </c>
      <c r="F2107">
        <v>6.1092800000000003E-2</v>
      </c>
      <c r="G2107">
        <v>5.0803450000000003</v>
      </c>
      <c r="H2107">
        <v>0.41234900000000002</v>
      </c>
      <c r="Q2107" s="10">
        <f t="shared" si="84"/>
        <v>1.2115017691407536E-5</v>
      </c>
      <c r="AI2107">
        <v>0.1478168</v>
      </c>
      <c r="AJ2107">
        <f t="shared" si="83"/>
        <v>0.1478168</v>
      </c>
      <c r="AO2107">
        <v>0.1478168</v>
      </c>
      <c r="AR2107" s="8">
        <v>0</v>
      </c>
      <c r="AS2107">
        <v>3.9784799999999998</v>
      </c>
    </row>
    <row r="2108" spans="1:45" x14ac:dyDescent="0.25">
      <c r="A2108">
        <v>375</v>
      </c>
      <c r="B2108">
        <v>2002</v>
      </c>
      <c r="C2108" s="8">
        <v>0</v>
      </c>
      <c r="D2108">
        <v>0.1452244</v>
      </c>
      <c r="E2108">
        <v>0.40528560000000002</v>
      </c>
      <c r="F2108">
        <v>6.0108099999999998E-2</v>
      </c>
      <c r="G2108">
        <v>3.4443069999999998</v>
      </c>
      <c r="H2108">
        <v>0.41120489999999998</v>
      </c>
      <c r="Q2108" s="10">
        <f t="shared" si="84"/>
        <v>1.5262200243607862E-4</v>
      </c>
      <c r="AI2108">
        <v>9.72021E-2</v>
      </c>
      <c r="AJ2108">
        <f t="shared" si="83"/>
        <v>9.72021E-2</v>
      </c>
      <c r="AO2108">
        <v>9.72021E-2</v>
      </c>
      <c r="AR2108" s="8">
        <v>0</v>
      </c>
      <c r="AS2108">
        <v>3.5127389999999998</v>
      </c>
    </row>
    <row r="2109" spans="1:45" x14ac:dyDescent="0.25">
      <c r="A2109">
        <v>375</v>
      </c>
      <c r="B2109">
        <v>2003</v>
      </c>
      <c r="C2109" s="8">
        <v>0</v>
      </c>
      <c r="D2109">
        <v>0.1478168</v>
      </c>
      <c r="E2109">
        <v>0.43120330000000001</v>
      </c>
      <c r="F2109">
        <v>7.30798E-2</v>
      </c>
      <c r="G2109">
        <v>4.8492290000000002</v>
      </c>
      <c r="H2109">
        <v>0.41135310000000003</v>
      </c>
      <c r="Q2109" s="10">
        <f t="shared" si="84"/>
        <v>1.4139143275736618E-5</v>
      </c>
      <c r="AI2109">
        <v>0.29349910000000001</v>
      </c>
      <c r="AJ2109">
        <f t="shared" si="83"/>
        <v>0.29349910000000001</v>
      </c>
      <c r="AO2109">
        <v>0.29349910000000001</v>
      </c>
      <c r="AR2109" s="8">
        <v>0</v>
      </c>
      <c r="AS2109">
        <v>5.0803450000000003</v>
      </c>
    </row>
    <row r="2110" spans="1:45" x14ac:dyDescent="0.25">
      <c r="A2110">
        <v>375</v>
      </c>
      <c r="B2110">
        <v>2004</v>
      </c>
      <c r="C2110" s="8">
        <v>0</v>
      </c>
      <c r="D2110">
        <v>9.72021E-2</v>
      </c>
      <c r="E2110">
        <v>0.47730119999999998</v>
      </c>
      <c r="F2110">
        <v>7.4716599999999994E-2</v>
      </c>
      <c r="G2110">
        <v>4.5858290000000004</v>
      </c>
      <c r="H2110">
        <v>0.44516850000000002</v>
      </c>
      <c r="Q2110" s="10">
        <f t="shared" si="84"/>
        <v>1.9856979946625908E-5</v>
      </c>
      <c r="AI2110">
        <v>0.30185030000000002</v>
      </c>
      <c r="AJ2110">
        <f t="shared" si="83"/>
        <v>0.30185030000000002</v>
      </c>
      <c r="AO2110">
        <v>0.30185030000000002</v>
      </c>
      <c r="AR2110" s="8">
        <v>0</v>
      </c>
      <c r="AS2110">
        <v>3.4443069999999998</v>
      </c>
    </row>
    <row r="2111" spans="1:45" x14ac:dyDescent="0.25">
      <c r="A2111">
        <v>376</v>
      </c>
      <c r="B2111">
        <v>1995</v>
      </c>
      <c r="C2111" s="8">
        <v>0</v>
      </c>
      <c r="D2111">
        <v>0.29349910000000001</v>
      </c>
      <c r="E2111">
        <v>0.53560949999999996</v>
      </c>
      <c r="F2111">
        <v>4.8424599999999998E-2</v>
      </c>
      <c r="G2111">
        <v>2.7519779999999998</v>
      </c>
      <c r="H2111">
        <v>0.2794103</v>
      </c>
      <c r="Q2111" s="10">
        <f t="shared" si="84"/>
        <v>4.0941552450049853E-4</v>
      </c>
      <c r="AI2111">
        <v>0.29822530000000003</v>
      </c>
      <c r="AJ2111">
        <f t="shared" si="83"/>
        <v>0.29822530000000003</v>
      </c>
      <c r="AO2111">
        <v>0.29822530000000003</v>
      </c>
      <c r="AR2111" s="8">
        <v>0</v>
      </c>
      <c r="AS2111">
        <v>4.8492290000000002</v>
      </c>
    </row>
    <row r="2112" spans="1:45" x14ac:dyDescent="0.25">
      <c r="A2112">
        <v>376</v>
      </c>
      <c r="B2112">
        <v>1996</v>
      </c>
      <c r="C2112" s="8">
        <v>0</v>
      </c>
      <c r="D2112">
        <v>0.30185030000000002</v>
      </c>
      <c r="E2112">
        <v>0.54787030000000003</v>
      </c>
      <c r="F2112">
        <v>5.7859099999999997E-2</v>
      </c>
      <c r="G2112">
        <v>3.1345070000000002</v>
      </c>
      <c r="H2112">
        <v>0.29182200000000003</v>
      </c>
      <c r="Q2112" s="10">
        <f t="shared" si="84"/>
        <v>2.0503832778451567E-4</v>
      </c>
      <c r="AI2112">
        <v>0.2852904</v>
      </c>
      <c r="AJ2112">
        <f t="shared" si="83"/>
        <v>0.2852904</v>
      </c>
      <c r="AO2112">
        <v>0.2852904</v>
      </c>
      <c r="AR2112" s="8">
        <v>0</v>
      </c>
      <c r="AS2112">
        <v>4.5858290000000004</v>
      </c>
    </row>
    <row r="2113" spans="1:45" x14ac:dyDescent="0.25">
      <c r="A2113">
        <v>376</v>
      </c>
      <c r="B2113">
        <v>1997</v>
      </c>
      <c r="C2113" s="8">
        <v>0</v>
      </c>
      <c r="D2113">
        <v>0.29822530000000003</v>
      </c>
      <c r="E2113">
        <v>0.53715259999999998</v>
      </c>
      <c r="F2113">
        <v>7.5062100000000007E-2</v>
      </c>
      <c r="G2113">
        <v>3.282778</v>
      </c>
      <c r="H2113">
        <v>0.3221657</v>
      </c>
      <c r="Q2113" s="10">
        <f t="shared" si="84"/>
        <v>1.4580217614894593E-4</v>
      </c>
      <c r="AI2113">
        <v>0.31707930000000001</v>
      </c>
      <c r="AJ2113">
        <f t="shared" si="83"/>
        <v>0.31707930000000001</v>
      </c>
      <c r="AO2113">
        <v>0.31707930000000001</v>
      </c>
      <c r="AR2113" s="8">
        <v>0</v>
      </c>
      <c r="AS2113">
        <v>2.7519779999999998</v>
      </c>
    </row>
    <row r="2114" spans="1:45" x14ac:dyDescent="0.25">
      <c r="A2114">
        <v>376</v>
      </c>
      <c r="B2114">
        <v>1998</v>
      </c>
      <c r="C2114" s="8">
        <v>0</v>
      </c>
      <c r="D2114">
        <v>0.2852904</v>
      </c>
      <c r="E2114">
        <v>0.43916870000000002</v>
      </c>
      <c r="F2114">
        <v>4.7328200000000001E-2</v>
      </c>
      <c r="G2114">
        <v>1.6570119999999999</v>
      </c>
      <c r="H2114">
        <v>0.27178989999999997</v>
      </c>
      <c r="Q2114" s="10">
        <f t="shared" si="84"/>
        <v>2.6925616410230272E-3</v>
      </c>
      <c r="AI2114">
        <v>0.30984020000000001</v>
      </c>
      <c r="AJ2114">
        <f t="shared" si="83"/>
        <v>0.30984020000000001</v>
      </c>
      <c r="AO2114">
        <v>0.30984020000000001</v>
      </c>
      <c r="AR2114" s="8">
        <v>0</v>
      </c>
      <c r="AS2114">
        <v>3.1345070000000002</v>
      </c>
    </row>
    <row r="2115" spans="1:45" x14ac:dyDescent="0.25">
      <c r="A2115">
        <v>376</v>
      </c>
      <c r="B2115">
        <v>1999</v>
      </c>
      <c r="C2115" s="8">
        <v>0</v>
      </c>
      <c r="D2115">
        <v>0.31707930000000001</v>
      </c>
      <c r="E2115">
        <v>0.45427899999999999</v>
      </c>
      <c r="F2115">
        <v>6.2973500000000002E-2</v>
      </c>
      <c r="G2115">
        <v>1.921349</v>
      </c>
      <c r="H2115">
        <v>0.30130879999999999</v>
      </c>
      <c r="Q2115" s="10">
        <f t="shared" si="84"/>
        <v>1.5757235630626274E-3</v>
      </c>
      <c r="AI2115">
        <v>0.32960990000000001</v>
      </c>
      <c r="AJ2115">
        <f t="shared" si="83"/>
        <v>0.32960990000000001</v>
      </c>
      <c r="AO2115">
        <v>0.32960990000000001</v>
      </c>
      <c r="AR2115" s="8">
        <v>0</v>
      </c>
      <c r="AS2115">
        <v>3.282778</v>
      </c>
    </row>
    <row r="2116" spans="1:45" x14ac:dyDescent="0.25">
      <c r="A2116">
        <v>376</v>
      </c>
      <c r="B2116">
        <v>2000</v>
      </c>
      <c r="C2116" s="8">
        <v>0</v>
      </c>
      <c r="D2116">
        <v>0.30984020000000001</v>
      </c>
      <c r="E2116">
        <v>0.42792429999999998</v>
      </c>
      <c r="F2116">
        <v>6.2529899999999999E-2</v>
      </c>
      <c r="G2116">
        <v>1.50223</v>
      </c>
      <c r="H2116">
        <v>0.30515569999999997</v>
      </c>
      <c r="Q2116" s="10">
        <f t="shared" si="84"/>
        <v>3.1971114833472571E-3</v>
      </c>
      <c r="AI2116">
        <v>0.34737610000000002</v>
      </c>
      <c r="AJ2116">
        <f t="shared" si="83"/>
        <v>0.34737610000000002</v>
      </c>
      <c r="AO2116">
        <v>0.34737610000000002</v>
      </c>
      <c r="AR2116" s="8">
        <v>0</v>
      </c>
      <c r="AS2116">
        <v>1.6570119999999999</v>
      </c>
    </row>
    <row r="2117" spans="1:45" x14ac:dyDescent="0.25">
      <c r="A2117">
        <v>376</v>
      </c>
      <c r="B2117">
        <v>2001</v>
      </c>
      <c r="C2117" s="8">
        <v>0</v>
      </c>
      <c r="D2117">
        <v>0.32960990000000001</v>
      </c>
      <c r="E2117">
        <v>0.42641449999999997</v>
      </c>
      <c r="F2117">
        <v>4.8979200000000001E-2</v>
      </c>
      <c r="G2117">
        <v>2.054646</v>
      </c>
      <c r="H2117">
        <v>0.29816340000000002</v>
      </c>
      <c r="Q2117" s="10">
        <f t="shared" si="84"/>
        <v>1.4889635462816686E-3</v>
      </c>
      <c r="AI2117">
        <v>0.35693799999999998</v>
      </c>
      <c r="AJ2117">
        <f t="shared" ref="AJ2117:AJ2180" si="85">MAX(MIN(AI2117,AM$5),AM$4)</f>
        <v>0.35693799999999998</v>
      </c>
      <c r="AO2117">
        <v>0.35693799999999998</v>
      </c>
      <c r="AR2117" s="8">
        <v>0</v>
      </c>
      <c r="AS2117">
        <v>1.921349</v>
      </c>
    </row>
    <row r="2118" spans="1:45" x14ac:dyDescent="0.25">
      <c r="A2118">
        <v>376</v>
      </c>
      <c r="B2118">
        <v>2002</v>
      </c>
      <c r="C2118" s="8">
        <v>0</v>
      </c>
      <c r="D2118">
        <v>0.34737610000000002</v>
      </c>
      <c r="E2118">
        <v>0.43238599999999999</v>
      </c>
      <c r="F2118">
        <v>5.5615699999999997E-2</v>
      </c>
      <c r="G2118">
        <v>1.609998</v>
      </c>
      <c r="H2118">
        <v>0.2936358</v>
      </c>
      <c r="Q2118" s="10">
        <f t="shared" si="84"/>
        <v>2.8521995422597334E-3</v>
      </c>
      <c r="AI2118">
        <v>0.24221909999999999</v>
      </c>
      <c r="AJ2118">
        <f t="shared" si="85"/>
        <v>0.24221909999999999</v>
      </c>
      <c r="AO2118">
        <v>0.24221909999999999</v>
      </c>
      <c r="AR2118" s="8">
        <v>0</v>
      </c>
      <c r="AS2118">
        <v>1.50223</v>
      </c>
    </row>
    <row r="2119" spans="1:45" x14ac:dyDescent="0.25">
      <c r="A2119">
        <v>376</v>
      </c>
      <c r="B2119">
        <v>2003</v>
      </c>
      <c r="C2119" s="8">
        <v>0</v>
      </c>
      <c r="D2119">
        <v>0.35693799999999998</v>
      </c>
      <c r="E2119">
        <v>0.4553162</v>
      </c>
      <c r="F2119">
        <v>5.7288400000000003E-2</v>
      </c>
      <c r="G2119">
        <v>1.727522</v>
      </c>
      <c r="H2119">
        <v>0.29167510000000002</v>
      </c>
      <c r="Q2119" s="10">
        <f t="shared" ref="Q2119:Q2182" si="86">1/(1+EXP(-(J$6+SUMPRODUCT(K$6:O$6,D2119:H2119))))</f>
        <v>2.2646500730762807E-3</v>
      </c>
      <c r="AI2119">
        <v>0.1512221</v>
      </c>
      <c r="AJ2119">
        <f t="shared" si="85"/>
        <v>0.1512221</v>
      </c>
      <c r="AO2119">
        <v>0.1512221</v>
      </c>
      <c r="AR2119" s="8">
        <v>0</v>
      </c>
      <c r="AS2119">
        <v>2.054646</v>
      </c>
    </row>
    <row r="2120" spans="1:45" x14ac:dyDescent="0.25">
      <c r="A2120">
        <v>376</v>
      </c>
      <c r="B2120">
        <v>2004</v>
      </c>
      <c r="C2120" s="8">
        <v>0</v>
      </c>
      <c r="D2120">
        <v>0.24221909999999999</v>
      </c>
      <c r="E2120">
        <v>0.22155910000000001</v>
      </c>
      <c r="F2120">
        <v>5.7584700000000003E-2</v>
      </c>
      <c r="G2120">
        <v>0.82833559999999995</v>
      </c>
      <c r="H2120">
        <v>0.24274090000000001</v>
      </c>
      <c r="Q2120" s="10">
        <f t="shared" si="86"/>
        <v>1.2182753387866084E-2</v>
      </c>
      <c r="AI2120">
        <v>0.13889299999999999</v>
      </c>
      <c r="AJ2120">
        <f t="shared" si="85"/>
        <v>0.13889299999999999</v>
      </c>
      <c r="AO2120">
        <v>0.13889299999999999</v>
      </c>
      <c r="AR2120" s="8">
        <v>0</v>
      </c>
      <c r="AS2120">
        <v>1.609998</v>
      </c>
    </row>
    <row r="2121" spans="1:45" x14ac:dyDescent="0.25">
      <c r="A2121">
        <v>377</v>
      </c>
      <c r="B2121">
        <v>1995</v>
      </c>
      <c r="C2121" s="8">
        <v>0</v>
      </c>
      <c r="D2121">
        <v>0.1512221</v>
      </c>
      <c r="E2121">
        <v>0.26200289999999998</v>
      </c>
      <c r="F2121">
        <v>5.3711099999999998E-2</v>
      </c>
      <c r="G2121">
        <v>0.71421389999999996</v>
      </c>
      <c r="H2121">
        <v>0.32134600000000002</v>
      </c>
      <c r="Q2121" s="10">
        <f t="shared" si="86"/>
        <v>1.4337590696755607E-2</v>
      </c>
      <c r="AI2121">
        <v>0.16229109999999999</v>
      </c>
      <c r="AJ2121">
        <f t="shared" si="85"/>
        <v>0.16229109999999999</v>
      </c>
      <c r="AO2121">
        <v>0.16229109999999999</v>
      </c>
      <c r="AR2121" s="8">
        <v>0</v>
      </c>
      <c r="AS2121">
        <v>1.727522</v>
      </c>
    </row>
    <row r="2122" spans="1:45" x14ac:dyDescent="0.25">
      <c r="A2122">
        <v>377</v>
      </c>
      <c r="B2122">
        <v>1996</v>
      </c>
      <c r="C2122" s="8">
        <v>0</v>
      </c>
      <c r="D2122">
        <v>0.13889299999999999</v>
      </c>
      <c r="E2122">
        <v>0.22247610000000001</v>
      </c>
      <c r="F2122">
        <v>2.13011E-2</v>
      </c>
      <c r="G2122">
        <v>0.50299479999999996</v>
      </c>
      <c r="H2122">
        <v>0.26507700000000001</v>
      </c>
      <c r="Q2122" s="10">
        <f t="shared" si="86"/>
        <v>2.6158116169090643E-2</v>
      </c>
      <c r="AI2122">
        <v>7.6869999999999998E-4</v>
      </c>
      <c r="AJ2122">
        <f t="shared" si="85"/>
        <v>7.6869999999999998E-4</v>
      </c>
      <c r="AO2122">
        <v>7.6869999999999998E-4</v>
      </c>
      <c r="AR2122" s="8">
        <v>0</v>
      </c>
      <c r="AS2122">
        <v>0.82833559999999995</v>
      </c>
    </row>
    <row r="2123" spans="1:45" x14ac:dyDescent="0.25">
      <c r="A2123">
        <v>377</v>
      </c>
      <c r="B2123">
        <v>1997</v>
      </c>
      <c r="C2123" s="8">
        <v>0</v>
      </c>
      <c r="D2123">
        <v>0.16229109999999999</v>
      </c>
      <c r="E2123">
        <v>0.1904459</v>
      </c>
      <c r="F2123">
        <v>3.0016299999999999E-2</v>
      </c>
      <c r="G2123">
        <v>0.68770169999999997</v>
      </c>
      <c r="H2123">
        <v>0.32115929999999998</v>
      </c>
      <c r="Q2123" s="10">
        <f t="shared" si="86"/>
        <v>2.0033221160489331E-2</v>
      </c>
      <c r="AI2123">
        <v>2.1434000000000002E-2</v>
      </c>
      <c r="AJ2123">
        <f t="shared" si="85"/>
        <v>2.1434000000000002E-2</v>
      </c>
      <c r="AO2123">
        <v>2.1434000000000002E-2</v>
      </c>
      <c r="AR2123" s="8">
        <v>0</v>
      </c>
      <c r="AS2123">
        <v>0.71421389999999996</v>
      </c>
    </row>
    <row r="2124" spans="1:45" x14ac:dyDescent="0.25">
      <c r="A2124">
        <v>378</v>
      </c>
      <c r="B2124">
        <v>1995</v>
      </c>
      <c r="C2124" s="8">
        <v>0</v>
      </c>
      <c r="D2124">
        <v>7.6869999999999998E-4</v>
      </c>
      <c r="E2124">
        <v>0.24401999999999999</v>
      </c>
      <c r="F2124">
        <v>6.2016099999999998E-2</v>
      </c>
      <c r="G2124">
        <v>1.8824939999999999</v>
      </c>
      <c r="H2124">
        <v>0.23722960000000001</v>
      </c>
      <c r="Q2124" s="10">
        <f t="shared" si="86"/>
        <v>1.9326013401538688E-3</v>
      </c>
      <c r="AI2124">
        <v>-9.08828E-2</v>
      </c>
      <c r="AJ2124">
        <f t="shared" si="85"/>
        <v>-9.08828E-2</v>
      </c>
      <c r="AO2124">
        <v>-9.08828E-2</v>
      </c>
      <c r="AR2124" s="8">
        <v>0</v>
      </c>
      <c r="AS2124">
        <v>0.50299479999999996</v>
      </c>
    </row>
    <row r="2125" spans="1:45" x14ac:dyDescent="0.25">
      <c r="A2125">
        <v>378</v>
      </c>
      <c r="B2125">
        <v>1996</v>
      </c>
      <c r="C2125" s="8">
        <v>0</v>
      </c>
      <c r="D2125">
        <v>2.1434000000000002E-2</v>
      </c>
      <c r="E2125">
        <v>0.25565139999999997</v>
      </c>
      <c r="F2125">
        <v>6.2064500000000002E-2</v>
      </c>
      <c r="G2125">
        <v>1.8457650000000001</v>
      </c>
      <c r="H2125">
        <v>0.24118210000000001</v>
      </c>
      <c r="Q2125" s="10">
        <f t="shared" si="86"/>
        <v>2.0360425338040366E-3</v>
      </c>
      <c r="AI2125">
        <v>2.6486900000000001E-2</v>
      </c>
      <c r="AJ2125">
        <f t="shared" si="85"/>
        <v>2.6486900000000001E-2</v>
      </c>
      <c r="AO2125">
        <v>2.6486900000000001E-2</v>
      </c>
      <c r="AR2125" s="8">
        <v>0</v>
      </c>
      <c r="AS2125">
        <v>0.68770169999999997</v>
      </c>
    </row>
    <row r="2126" spans="1:45" x14ac:dyDescent="0.25">
      <c r="A2126">
        <v>378</v>
      </c>
      <c r="B2126">
        <v>1997</v>
      </c>
      <c r="C2126" s="8">
        <v>0</v>
      </c>
      <c r="D2126">
        <v>-9.08828E-2</v>
      </c>
      <c r="E2126">
        <v>0.2456305</v>
      </c>
      <c r="F2126">
        <v>2.3667000000000001E-2</v>
      </c>
      <c r="G2126">
        <v>2.1529050000000001</v>
      </c>
      <c r="H2126">
        <v>0.22995879999999999</v>
      </c>
      <c r="Q2126" s="10">
        <f t="shared" si="86"/>
        <v>1.6325960271703064E-3</v>
      </c>
      <c r="AI2126">
        <v>5.0835199999999997E-2</v>
      </c>
      <c r="AJ2126">
        <f t="shared" si="85"/>
        <v>5.0835199999999997E-2</v>
      </c>
      <c r="AO2126">
        <v>5.0835199999999997E-2</v>
      </c>
      <c r="AR2126" s="8">
        <v>0</v>
      </c>
      <c r="AS2126">
        <v>1.8824939999999999</v>
      </c>
    </row>
    <row r="2127" spans="1:45" x14ac:dyDescent="0.25">
      <c r="A2127">
        <v>379</v>
      </c>
      <c r="B2127">
        <v>1995</v>
      </c>
      <c r="C2127" s="8">
        <v>0</v>
      </c>
      <c r="D2127">
        <v>2.6486900000000001E-2</v>
      </c>
      <c r="E2127">
        <v>0.19966619999999999</v>
      </c>
      <c r="F2127">
        <v>3.9736100000000003E-2</v>
      </c>
      <c r="G2127">
        <v>0.8355243</v>
      </c>
      <c r="H2127">
        <v>0.1495908</v>
      </c>
      <c r="Q2127" s="10">
        <f t="shared" si="86"/>
        <v>1.2377102568342509E-2</v>
      </c>
      <c r="AI2127">
        <v>5.3953399999999999E-2</v>
      </c>
      <c r="AJ2127">
        <f t="shared" si="85"/>
        <v>5.3953399999999999E-2</v>
      </c>
      <c r="AO2127">
        <v>5.3953399999999999E-2</v>
      </c>
      <c r="AR2127" s="8">
        <v>0</v>
      </c>
      <c r="AS2127">
        <v>1.8457650000000001</v>
      </c>
    </row>
    <row r="2128" spans="1:45" x14ac:dyDescent="0.25">
      <c r="A2128">
        <v>379</v>
      </c>
      <c r="B2128">
        <v>1996</v>
      </c>
      <c r="C2128" s="8">
        <v>0</v>
      </c>
      <c r="D2128">
        <v>5.0835199999999997E-2</v>
      </c>
      <c r="E2128">
        <v>0.21085519999999999</v>
      </c>
      <c r="F2128">
        <v>6.5491900000000006E-2</v>
      </c>
      <c r="G2128">
        <v>0.93640210000000002</v>
      </c>
      <c r="H2128">
        <v>0.17352970000000001</v>
      </c>
      <c r="Q2128" s="10">
        <f t="shared" si="86"/>
        <v>8.6837769685569992E-3</v>
      </c>
      <c r="AI2128">
        <v>7.0495299999999997E-2</v>
      </c>
      <c r="AJ2128">
        <f t="shared" si="85"/>
        <v>7.0495299999999997E-2</v>
      </c>
      <c r="AO2128">
        <v>7.0495299999999997E-2</v>
      </c>
      <c r="AR2128" s="8">
        <v>0</v>
      </c>
      <c r="AS2128">
        <v>2.1529050000000001</v>
      </c>
    </row>
    <row r="2129" spans="1:45" x14ac:dyDescent="0.25">
      <c r="A2129">
        <v>379</v>
      </c>
      <c r="B2129">
        <v>1997</v>
      </c>
      <c r="C2129" s="8">
        <v>0</v>
      </c>
      <c r="D2129">
        <v>5.3953399999999999E-2</v>
      </c>
      <c r="E2129">
        <v>0.22147500000000001</v>
      </c>
      <c r="F2129">
        <v>5.9022499999999999E-2</v>
      </c>
      <c r="G2129">
        <v>1.3261579999999999</v>
      </c>
      <c r="H2129">
        <v>0.18914610000000001</v>
      </c>
      <c r="Q2129" s="10">
        <f t="shared" si="86"/>
        <v>4.9107190922015355E-3</v>
      </c>
      <c r="AI2129">
        <v>0.12189850000000001</v>
      </c>
      <c r="AJ2129">
        <f t="shared" si="85"/>
        <v>0.12189850000000001</v>
      </c>
      <c r="AO2129">
        <v>0.12189850000000001</v>
      </c>
      <c r="AR2129" s="8">
        <v>0</v>
      </c>
      <c r="AS2129">
        <v>0.8355243</v>
      </c>
    </row>
    <row r="2130" spans="1:45" x14ac:dyDescent="0.25">
      <c r="A2130">
        <v>379</v>
      </c>
      <c r="B2130">
        <v>1998</v>
      </c>
      <c r="C2130" s="8">
        <v>0</v>
      </c>
      <c r="D2130">
        <v>7.0495299999999997E-2</v>
      </c>
      <c r="E2130">
        <v>0.16962379999999999</v>
      </c>
      <c r="F2130">
        <v>3.7961099999999998E-2</v>
      </c>
      <c r="G2130">
        <v>1.600992</v>
      </c>
      <c r="H2130">
        <v>0.2190454</v>
      </c>
      <c r="Q2130" s="10">
        <f t="shared" si="86"/>
        <v>4.1514490030633115E-3</v>
      </c>
      <c r="AI2130">
        <v>0.1041347</v>
      </c>
      <c r="AJ2130">
        <f t="shared" si="85"/>
        <v>0.1041347</v>
      </c>
      <c r="AO2130">
        <v>0.1041347</v>
      </c>
      <c r="AR2130" s="8">
        <v>0</v>
      </c>
      <c r="AS2130">
        <v>0.93640210000000002</v>
      </c>
    </row>
    <row r="2131" spans="1:45" x14ac:dyDescent="0.25">
      <c r="A2131">
        <v>379</v>
      </c>
      <c r="B2131">
        <v>1999</v>
      </c>
      <c r="C2131" s="8">
        <v>0</v>
      </c>
      <c r="D2131">
        <v>0.12189850000000001</v>
      </c>
      <c r="E2131">
        <v>0.16680510000000001</v>
      </c>
      <c r="F2131">
        <v>4.7182200000000001E-2</v>
      </c>
      <c r="G2131">
        <v>1.073895</v>
      </c>
      <c r="H2131">
        <v>0.22678870000000001</v>
      </c>
      <c r="Q2131" s="10">
        <f t="shared" si="86"/>
        <v>9.159873348622536E-3</v>
      </c>
      <c r="AI2131">
        <v>0.1268669</v>
      </c>
      <c r="AJ2131">
        <f t="shared" si="85"/>
        <v>0.1268669</v>
      </c>
      <c r="AO2131">
        <v>0.1268669</v>
      </c>
      <c r="AR2131" s="8">
        <v>0</v>
      </c>
      <c r="AS2131">
        <v>1.3261579999999999</v>
      </c>
    </row>
    <row r="2132" spans="1:45" x14ac:dyDescent="0.25">
      <c r="A2132">
        <v>379</v>
      </c>
      <c r="B2132">
        <v>2000</v>
      </c>
      <c r="C2132" s="8">
        <v>0</v>
      </c>
      <c r="D2132">
        <v>0.1041347</v>
      </c>
      <c r="E2132">
        <v>0.16237209999999999</v>
      </c>
      <c r="F2132">
        <v>4.8064299999999997E-2</v>
      </c>
      <c r="G2132">
        <v>1.499708</v>
      </c>
      <c r="H2132">
        <v>0.29305680000000001</v>
      </c>
      <c r="Q2132" s="10">
        <f t="shared" si="86"/>
        <v>4.8245683345056216E-3</v>
      </c>
      <c r="AI2132">
        <v>0.1039935</v>
      </c>
      <c r="AJ2132">
        <f t="shared" si="85"/>
        <v>0.1039935</v>
      </c>
      <c r="AO2132">
        <v>0.1039935</v>
      </c>
      <c r="AR2132" s="8">
        <v>0</v>
      </c>
      <c r="AS2132">
        <v>1.600992</v>
      </c>
    </row>
    <row r="2133" spans="1:45" x14ac:dyDescent="0.25">
      <c r="A2133">
        <v>379</v>
      </c>
      <c r="B2133">
        <v>2001</v>
      </c>
      <c r="C2133" s="8">
        <v>0</v>
      </c>
      <c r="D2133">
        <v>0.1268669</v>
      </c>
      <c r="E2133">
        <v>0.17061490000000001</v>
      </c>
      <c r="F2133">
        <v>5.9798700000000003E-2</v>
      </c>
      <c r="G2133">
        <v>1.3084789999999999</v>
      </c>
      <c r="H2133">
        <v>0.20879120000000001</v>
      </c>
      <c r="Q2133" s="10">
        <f t="shared" si="86"/>
        <v>5.6350024450068717E-3</v>
      </c>
      <c r="AI2133">
        <v>0.1216807</v>
      </c>
      <c r="AJ2133">
        <f t="shared" si="85"/>
        <v>0.1216807</v>
      </c>
      <c r="AO2133">
        <v>0.1216807</v>
      </c>
      <c r="AR2133" s="8">
        <v>0</v>
      </c>
      <c r="AS2133">
        <v>1.073895</v>
      </c>
    </row>
    <row r="2134" spans="1:45" x14ac:dyDescent="0.25">
      <c r="A2134">
        <v>379</v>
      </c>
      <c r="B2134">
        <v>2002</v>
      </c>
      <c r="C2134" s="8">
        <v>0</v>
      </c>
      <c r="D2134">
        <v>0.1039935</v>
      </c>
      <c r="E2134">
        <v>0.19204350000000001</v>
      </c>
      <c r="F2134">
        <v>4.7789999999999999E-2</v>
      </c>
      <c r="G2134">
        <v>1.1924459999999999</v>
      </c>
      <c r="H2134">
        <v>0.208313</v>
      </c>
      <c r="Q2134" s="10">
        <f t="shared" si="86"/>
        <v>7.152809737226898E-3</v>
      </c>
      <c r="AI2134">
        <v>9.6977300000000002E-2</v>
      </c>
      <c r="AJ2134">
        <f t="shared" si="85"/>
        <v>9.6977300000000002E-2</v>
      </c>
      <c r="AO2134">
        <v>9.6977300000000002E-2</v>
      </c>
      <c r="AR2134" s="8">
        <v>0</v>
      </c>
      <c r="AS2134">
        <v>1.499708</v>
      </c>
    </row>
    <row r="2135" spans="1:45" x14ac:dyDescent="0.25">
      <c r="A2135">
        <v>379</v>
      </c>
      <c r="B2135">
        <v>2003</v>
      </c>
      <c r="C2135" s="8">
        <v>0</v>
      </c>
      <c r="D2135">
        <v>0.1216807</v>
      </c>
      <c r="E2135">
        <v>0.18817739999999999</v>
      </c>
      <c r="F2135">
        <v>5.3831700000000003E-2</v>
      </c>
      <c r="G2135">
        <v>1.4143239999999999</v>
      </c>
      <c r="H2135">
        <v>0.20483850000000001</v>
      </c>
      <c r="Q2135" s="10">
        <f t="shared" si="86"/>
        <v>4.8486945463914214E-3</v>
      </c>
      <c r="AI2135">
        <v>0.20463719999999999</v>
      </c>
      <c r="AJ2135">
        <f t="shared" si="85"/>
        <v>0.20463719999999999</v>
      </c>
      <c r="AO2135">
        <v>0.20463719999999999</v>
      </c>
      <c r="AR2135" s="8">
        <v>0</v>
      </c>
      <c r="AS2135">
        <v>1.3084789999999999</v>
      </c>
    </row>
    <row r="2136" spans="1:45" x14ac:dyDescent="0.25">
      <c r="A2136">
        <v>379</v>
      </c>
      <c r="B2136">
        <v>2004</v>
      </c>
      <c r="C2136" s="8">
        <v>0</v>
      </c>
      <c r="D2136">
        <v>9.6977300000000002E-2</v>
      </c>
      <c r="E2136">
        <v>0.21939220000000001</v>
      </c>
      <c r="F2136">
        <v>4.1720500000000001E-2</v>
      </c>
      <c r="G2136">
        <v>1.5505770000000001</v>
      </c>
      <c r="H2136">
        <v>0.2275201</v>
      </c>
      <c r="Q2136" s="10">
        <f t="shared" si="86"/>
        <v>4.1272559320650187E-3</v>
      </c>
      <c r="AI2136">
        <v>0.2248008</v>
      </c>
      <c r="AJ2136">
        <f t="shared" si="85"/>
        <v>0.2248008</v>
      </c>
      <c r="AO2136">
        <v>0.2248008</v>
      </c>
      <c r="AR2136" s="8">
        <v>0</v>
      </c>
      <c r="AS2136">
        <v>1.1924459999999999</v>
      </c>
    </row>
    <row r="2137" spans="1:45" x14ac:dyDescent="0.25">
      <c r="A2137">
        <v>380</v>
      </c>
      <c r="B2137">
        <v>2001</v>
      </c>
      <c r="C2137" s="8">
        <v>0</v>
      </c>
      <c r="D2137">
        <v>0.20463719999999999</v>
      </c>
      <c r="E2137">
        <v>0.28065560000000001</v>
      </c>
      <c r="F2137">
        <v>4.3143599999999997E-2</v>
      </c>
      <c r="G2137">
        <v>0.95684119999999995</v>
      </c>
      <c r="H2137">
        <v>0.2494526</v>
      </c>
      <c r="Q2137" s="10">
        <f t="shared" si="86"/>
        <v>1.0129834139746007E-2</v>
      </c>
      <c r="AI2137">
        <v>0.2845163</v>
      </c>
      <c r="AJ2137">
        <f t="shared" si="85"/>
        <v>0.2845163</v>
      </c>
      <c r="AO2137">
        <v>0.2845163</v>
      </c>
      <c r="AR2137" s="8">
        <v>0</v>
      </c>
      <c r="AS2137">
        <v>1.4143239999999999</v>
      </c>
    </row>
    <row r="2138" spans="1:45" x14ac:dyDescent="0.25">
      <c r="A2138">
        <v>380</v>
      </c>
      <c r="B2138">
        <v>2002</v>
      </c>
      <c r="C2138" s="8">
        <v>0</v>
      </c>
      <c r="D2138">
        <v>0.2248008</v>
      </c>
      <c r="E2138">
        <v>0.32066670000000003</v>
      </c>
      <c r="F2138">
        <v>5.5767499999999998E-2</v>
      </c>
      <c r="G2138">
        <v>1.529169</v>
      </c>
      <c r="H2138">
        <v>0.24969830000000001</v>
      </c>
      <c r="Q2138" s="10">
        <f t="shared" si="86"/>
        <v>3.5234132099269981E-3</v>
      </c>
      <c r="AI2138">
        <v>0.35526550000000001</v>
      </c>
      <c r="AJ2138">
        <f t="shared" si="85"/>
        <v>0.35526550000000001</v>
      </c>
      <c r="AO2138">
        <v>0.35526550000000001</v>
      </c>
      <c r="AR2138" s="8">
        <v>0</v>
      </c>
      <c r="AS2138">
        <v>1.5505770000000001</v>
      </c>
    </row>
    <row r="2139" spans="1:45" x14ac:dyDescent="0.25">
      <c r="A2139">
        <v>380</v>
      </c>
      <c r="B2139">
        <v>2003</v>
      </c>
      <c r="C2139" s="8">
        <v>0</v>
      </c>
      <c r="D2139">
        <v>0.2845163</v>
      </c>
      <c r="E2139">
        <v>0.43085220000000002</v>
      </c>
      <c r="F2139">
        <v>7.7288599999999999E-2</v>
      </c>
      <c r="G2139">
        <v>2.2961520000000002</v>
      </c>
      <c r="H2139">
        <v>0.26007350000000001</v>
      </c>
      <c r="Q2139" s="10">
        <f t="shared" si="86"/>
        <v>7.7008428796023886E-4</v>
      </c>
      <c r="AI2139">
        <v>0.10648589999999999</v>
      </c>
      <c r="AJ2139">
        <f t="shared" si="85"/>
        <v>0.10648589999999999</v>
      </c>
      <c r="AO2139">
        <v>0.10648589999999999</v>
      </c>
      <c r="AR2139" s="8">
        <v>0</v>
      </c>
      <c r="AS2139">
        <v>0.95684119999999995</v>
      </c>
    </row>
    <row r="2140" spans="1:45" x14ac:dyDescent="0.25">
      <c r="A2140">
        <v>380</v>
      </c>
      <c r="B2140">
        <v>2004</v>
      </c>
      <c r="C2140" s="8">
        <v>0</v>
      </c>
      <c r="D2140">
        <v>0.35526550000000001</v>
      </c>
      <c r="E2140">
        <v>0.46703420000000001</v>
      </c>
      <c r="F2140">
        <v>6.1023399999999998E-2</v>
      </c>
      <c r="G2140">
        <v>2.3606220000000002</v>
      </c>
      <c r="H2140">
        <v>0.24427789999999999</v>
      </c>
      <c r="Q2140" s="10">
        <f t="shared" si="86"/>
        <v>7.6570077406438932E-4</v>
      </c>
      <c r="AI2140">
        <v>5.40437E-2</v>
      </c>
      <c r="AJ2140">
        <f t="shared" si="85"/>
        <v>5.40437E-2</v>
      </c>
      <c r="AO2140">
        <v>5.40437E-2</v>
      </c>
      <c r="AR2140" s="8">
        <v>0</v>
      </c>
      <c r="AS2140">
        <v>1.529169</v>
      </c>
    </row>
    <row r="2141" spans="1:45" x14ac:dyDescent="0.25">
      <c r="A2141">
        <v>381</v>
      </c>
      <c r="B2141">
        <v>1995</v>
      </c>
      <c r="C2141" s="8">
        <v>0</v>
      </c>
      <c r="D2141">
        <v>0.10648589999999999</v>
      </c>
      <c r="E2141">
        <v>0.19346169999999999</v>
      </c>
      <c r="F2141">
        <v>4.1843699999999998E-2</v>
      </c>
      <c r="G2141">
        <v>0.65571809999999997</v>
      </c>
      <c r="H2141">
        <v>0.24243210000000001</v>
      </c>
      <c r="Q2141" s="10">
        <f t="shared" si="86"/>
        <v>1.7809291532690796E-2</v>
      </c>
      <c r="AI2141">
        <v>3.8972600000000003E-2</v>
      </c>
      <c r="AJ2141">
        <f t="shared" si="85"/>
        <v>3.8972600000000003E-2</v>
      </c>
      <c r="AO2141">
        <v>3.8972600000000003E-2</v>
      </c>
      <c r="AR2141" s="8">
        <v>0</v>
      </c>
      <c r="AS2141">
        <v>2.2961520000000002</v>
      </c>
    </row>
    <row r="2142" spans="1:45" x14ac:dyDescent="0.25">
      <c r="A2142">
        <v>382</v>
      </c>
      <c r="B2142">
        <v>1995</v>
      </c>
      <c r="C2142" s="8">
        <v>0</v>
      </c>
      <c r="D2142">
        <v>5.40437E-2</v>
      </c>
      <c r="E2142">
        <v>0.1865443</v>
      </c>
      <c r="F2142">
        <v>5.7293999999999998E-2</v>
      </c>
      <c r="G2142">
        <v>1.285741</v>
      </c>
      <c r="H2142">
        <v>0.17268230000000001</v>
      </c>
      <c r="Q2142" s="10">
        <f t="shared" si="86"/>
        <v>5.5270812958276259E-3</v>
      </c>
      <c r="AI2142">
        <v>4.2507499999999997E-2</v>
      </c>
      <c r="AJ2142">
        <f t="shared" si="85"/>
        <v>4.2507499999999997E-2</v>
      </c>
      <c r="AO2142">
        <v>4.2507499999999997E-2</v>
      </c>
      <c r="AR2142" s="8">
        <v>0</v>
      </c>
      <c r="AS2142">
        <v>2.3606220000000002</v>
      </c>
    </row>
    <row r="2143" spans="1:45" x14ac:dyDescent="0.25">
      <c r="A2143">
        <v>382</v>
      </c>
      <c r="B2143">
        <v>1996</v>
      </c>
      <c r="C2143" s="8">
        <v>0</v>
      </c>
      <c r="D2143">
        <v>3.8972600000000003E-2</v>
      </c>
      <c r="E2143">
        <v>0.1324728</v>
      </c>
      <c r="F2143">
        <v>4.1294200000000003E-2</v>
      </c>
      <c r="G2143">
        <v>1.107226</v>
      </c>
      <c r="H2143">
        <v>0.17289199999999999</v>
      </c>
      <c r="Q2143" s="10">
        <f t="shared" si="86"/>
        <v>8.9458139345801133E-3</v>
      </c>
      <c r="AI2143">
        <v>0.13340489999999999</v>
      </c>
      <c r="AJ2143">
        <f t="shared" si="85"/>
        <v>0.13340489999999999</v>
      </c>
      <c r="AO2143">
        <v>0.13340489999999999</v>
      </c>
      <c r="AR2143" s="8">
        <v>0</v>
      </c>
      <c r="AS2143">
        <v>0.65571809999999997</v>
      </c>
    </row>
    <row r="2144" spans="1:45" x14ac:dyDescent="0.25">
      <c r="A2144">
        <v>382</v>
      </c>
      <c r="B2144">
        <v>1997</v>
      </c>
      <c r="C2144" s="8">
        <v>0</v>
      </c>
      <c r="D2144">
        <v>4.2507499999999997E-2</v>
      </c>
      <c r="E2144">
        <v>0.14644199999999999</v>
      </c>
      <c r="F2144">
        <v>4.67797E-2</v>
      </c>
      <c r="G2144">
        <v>1.304198</v>
      </c>
      <c r="H2144">
        <v>0.18309810000000001</v>
      </c>
      <c r="Q2144" s="10">
        <f t="shared" si="86"/>
        <v>6.1945135192856349E-3</v>
      </c>
      <c r="AI2144">
        <v>5.03153E-2</v>
      </c>
      <c r="AJ2144">
        <f t="shared" si="85"/>
        <v>5.03153E-2</v>
      </c>
      <c r="AO2144">
        <v>5.03153E-2</v>
      </c>
      <c r="AR2144" s="8">
        <v>0</v>
      </c>
      <c r="AS2144">
        <v>1.285741</v>
      </c>
    </row>
    <row r="2145" spans="1:45" x14ac:dyDescent="0.25">
      <c r="A2145">
        <v>382</v>
      </c>
      <c r="B2145">
        <v>1998</v>
      </c>
      <c r="C2145" s="8">
        <v>0</v>
      </c>
      <c r="D2145">
        <v>0.13340489999999999</v>
      </c>
      <c r="E2145">
        <v>0.15267500000000001</v>
      </c>
      <c r="F2145">
        <v>6.5289600000000003E-2</v>
      </c>
      <c r="G2145">
        <v>1.314848</v>
      </c>
      <c r="H2145">
        <v>0.1753777</v>
      </c>
      <c r="Q2145" s="10">
        <f t="shared" si="86"/>
        <v>5.3831111346814642E-3</v>
      </c>
      <c r="AI2145">
        <v>4.5347699999999998E-2</v>
      </c>
      <c r="AJ2145">
        <f t="shared" si="85"/>
        <v>4.5347699999999998E-2</v>
      </c>
      <c r="AO2145">
        <v>4.5347699999999998E-2</v>
      </c>
      <c r="AR2145" s="8">
        <v>0</v>
      </c>
      <c r="AS2145">
        <v>1.107226</v>
      </c>
    </row>
    <row r="2146" spans="1:45" x14ac:dyDescent="0.25">
      <c r="A2146">
        <v>382</v>
      </c>
      <c r="B2146">
        <v>1999</v>
      </c>
      <c r="C2146" s="8">
        <v>0</v>
      </c>
      <c r="D2146">
        <v>5.03153E-2</v>
      </c>
      <c r="E2146">
        <v>0.1355507</v>
      </c>
      <c r="F2146">
        <v>7.1648600000000007E-2</v>
      </c>
      <c r="G2146">
        <v>1.0695380000000001</v>
      </c>
      <c r="H2146">
        <v>0.1802166</v>
      </c>
      <c r="Q2146" s="10">
        <f t="shared" si="86"/>
        <v>7.4981946511985011E-3</v>
      </c>
      <c r="AI2146">
        <v>5.4712299999999998E-2</v>
      </c>
      <c r="AJ2146">
        <f t="shared" si="85"/>
        <v>5.4712299999999998E-2</v>
      </c>
      <c r="AO2146">
        <v>5.4712299999999998E-2</v>
      </c>
      <c r="AR2146" s="8">
        <v>0</v>
      </c>
      <c r="AS2146">
        <v>1.304198</v>
      </c>
    </row>
    <row r="2147" spans="1:45" x14ac:dyDescent="0.25">
      <c r="A2147">
        <v>382</v>
      </c>
      <c r="B2147">
        <v>2000</v>
      </c>
      <c r="C2147" s="8">
        <v>0</v>
      </c>
      <c r="D2147">
        <v>4.5347699999999998E-2</v>
      </c>
      <c r="E2147">
        <v>0.13402549999999999</v>
      </c>
      <c r="F2147">
        <v>6.2525899999999995E-2</v>
      </c>
      <c r="G2147">
        <v>1.043909</v>
      </c>
      <c r="H2147">
        <v>0.2211603</v>
      </c>
      <c r="Q2147" s="10">
        <f t="shared" si="86"/>
        <v>8.6097026346573444E-3</v>
      </c>
      <c r="AI2147">
        <v>6.0453600000000003E-2</v>
      </c>
      <c r="AJ2147">
        <f t="shared" si="85"/>
        <v>6.0453600000000003E-2</v>
      </c>
      <c r="AO2147">
        <v>6.0453600000000003E-2</v>
      </c>
      <c r="AR2147" s="8">
        <v>0</v>
      </c>
      <c r="AS2147">
        <v>1.314848</v>
      </c>
    </row>
    <row r="2148" spans="1:45" x14ac:dyDescent="0.25">
      <c r="A2148">
        <v>382</v>
      </c>
      <c r="B2148">
        <v>2001</v>
      </c>
      <c r="C2148" s="8">
        <v>0</v>
      </c>
      <c r="D2148">
        <v>5.4712299999999998E-2</v>
      </c>
      <c r="E2148">
        <v>0.13881080000000001</v>
      </c>
      <c r="F2148">
        <v>4.3232699999999999E-2</v>
      </c>
      <c r="G2148">
        <v>1.4151910000000001</v>
      </c>
      <c r="H2148">
        <v>0.16491049999999999</v>
      </c>
      <c r="Q2148" s="10">
        <f t="shared" si="86"/>
        <v>5.3702271777503613E-3</v>
      </c>
      <c r="AI2148">
        <v>3.2515099999999998E-2</v>
      </c>
      <c r="AJ2148">
        <f t="shared" si="85"/>
        <v>3.2515099999999998E-2</v>
      </c>
      <c r="AO2148">
        <v>3.2515099999999998E-2</v>
      </c>
      <c r="AR2148" s="8">
        <v>0</v>
      </c>
      <c r="AS2148">
        <v>1.0695380000000001</v>
      </c>
    </row>
    <row r="2149" spans="1:45" x14ac:dyDescent="0.25">
      <c r="A2149">
        <v>382</v>
      </c>
      <c r="B2149">
        <v>2002</v>
      </c>
      <c r="C2149" s="8">
        <v>0</v>
      </c>
      <c r="D2149">
        <v>6.0453600000000003E-2</v>
      </c>
      <c r="E2149">
        <v>0.12822710000000001</v>
      </c>
      <c r="F2149">
        <v>3.8218700000000001E-2</v>
      </c>
      <c r="G2149">
        <v>1.1867369999999999</v>
      </c>
      <c r="H2149">
        <v>0.17634520000000001</v>
      </c>
      <c r="Q2149" s="10">
        <f t="shared" si="86"/>
        <v>8.2237133483702308E-3</v>
      </c>
      <c r="AI2149">
        <v>5.5759700000000002E-2</v>
      </c>
      <c r="AJ2149">
        <f t="shared" si="85"/>
        <v>5.5759700000000002E-2</v>
      </c>
      <c r="AO2149">
        <v>5.5759700000000002E-2</v>
      </c>
      <c r="AR2149" s="8">
        <v>0</v>
      </c>
      <c r="AS2149">
        <v>1.043909</v>
      </c>
    </row>
    <row r="2150" spans="1:45" x14ac:dyDescent="0.25">
      <c r="A2150">
        <v>382</v>
      </c>
      <c r="B2150">
        <v>2003</v>
      </c>
      <c r="C2150" s="8">
        <v>0</v>
      </c>
      <c r="D2150">
        <v>3.2515099999999998E-2</v>
      </c>
      <c r="E2150">
        <v>0.150954</v>
      </c>
      <c r="F2150">
        <v>3.5272900000000003E-2</v>
      </c>
      <c r="G2150">
        <v>1.2709550000000001</v>
      </c>
      <c r="H2150">
        <v>0.1661107</v>
      </c>
      <c r="Q2150" s="10">
        <f t="shared" si="86"/>
        <v>7.0051014593455726E-3</v>
      </c>
      <c r="AI2150">
        <v>0.1350218</v>
      </c>
      <c r="AJ2150">
        <f t="shared" si="85"/>
        <v>0.1350218</v>
      </c>
      <c r="AO2150">
        <v>0.1350218</v>
      </c>
      <c r="AR2150" s="8">
        <v>0</v>
      </c>
      <c r="AS2150">
        <v>1.4151910000000001</v>
      </c>
    </row>
    <row r="2151" spans="1:45" x14ac:dyDescent="0.25">
      <c r="A2151">
        <v>382</v>
      </c>
      <c r="B2151">
        <v>2004</v>
      </c>
      <c r="C2151" s="8">
        <v>0</v>
      </c>
      <c r="D2151">
        <v>5.5759700000000002E-2</v>
      </c>
      <c r="E2151">
        <v>0.14158770000000001</v>
      </c>
      <c r="F2151">
        <v>5.33251E-2</v>
      </c>
      <c r="G2151">
        <v>1.5238750000000001</v>
      </c>
      <c r="H2151">
        <v>0.171374</v>
      </c>
      <c r="Q2151" s="10">
        <f t="shared" si="86"/>
        <v>4.1726343617716662E-3</v>
      </c>
      <c r="AI2151">
        <v>0.16637469999999999</v>
      </c>
      <c r="AJ2151">
        <f t="shared" si="85"/>
        <v>0.16637469999999999</v>
      </c>
      <c r="AO2151">
        <v>0.16637469999999999</v>
      </c>
      <c r="AR2151" s="8">
        <v>0</v>
      </c>
      <c r="AS2151">
        <v>1.1867369999999999</v>
      </c>
    </row>
    <row r="2152" spans="1:45" x14ac:dyDescent="0.25">
      <c r="A2152">
        <v>383</v>
      </c>
      <c r="B2152">
        <v>1999</v>
      </c>
      <c r="C2152" s="8">
        <v>0</v>
      </c>
      <c r="D2152">
        <v>0.1350218</v>
      </c>
      <c r="E2152">
        <v>0.25548599999999999</v>
      </c>
      <c r="F2152">
        <v>6.3040899999999997E-2</v>
      </c>
      <c r="G2152">
        <v>1.068748</v>
      </c>
      <c r="H2152">
        <v>0.39365149999999999</v>
      </c>
      <c r="Q2152" s="10">
        <f t="shared" si="86"/>
        <v>7.9826465226970518E-3</v>
      </c>
      <c r="AI2152">
        <v>0.18537049999999999</v>
      </c>
      <c r="AJ2152">
        <f t="shared" si="85"/>
        <v>0.18537049999999999</v>
      </c>
      <c r="AO2152">
        <v>0.18537049999999999</v>
      </c>
      <c r="AR2152" s="8">
        <v>0</v>
      </c>
      <c r="AS2152">
        <v>1.2709550000000001</v>
      </c>
    </row>
    <row r="2153" spans="1:45" x14ac:dyDescent="0.25">
      <c r="A2153">
        <v>383</v>
      </c>
      <c r="B2153">
        <v>2000</v>
      </c>
      <c r="C2153" s="8">
        <v>0</v>
      </c>
      <c r="D2153">
        <v>0.16637469999999999</v>
      </c>
      <c r="E2153">
        <v>0.26772439999999997</v>
      </c>
      <c r="F2153">
        <v>7.0081099999999993E-2</v>
      </c>
      <c r="G2153">
        <v>1.0375749999999999</v>
      </c>
      <c r="H2153">
        <v>0.40827459999999999</v>
      </c>
      <c r="Q2153" s="10">
        <f t="shared" si="86"/>
        <v>7.9638368860896567E-3</v>
      </c>
      <c r="AI2153">
        <v>0.17194980000000001</v>
      </c>
      <c r="AJ2153">
        <f t="shared" si="85"/>
        <v>0.17194980000000001</v>
      </c>
      <c r="AO2153">
        <v>0.17194980000000001</v>
      </c>
      <c r="AR2153" s="8">
        <v>0</v>
      </c>
      <c r="AS2153">
        <v>1.5238750000000001</v>
      </c>
    </row>
    <row r="2154" spans="1:45" x14ac:dyDescent="0.25">
      <c r="A2154">
        <v>383</v>
      </c>
      <c r="B2154">
        <v>2001</v>
      </c>
      <c r="C2154" s="8">
        <v>0</v>
      </c>
      <c r="D2154">
        <v>0.18537049999999999</v>
      </c>
      <c r="E2154">
        <v>0.28776970000000002</v>
      </c>
      <c r="F2154">
        <v>5.4815700000000002E-2</v>
      </c>
      <c r="G2154">
        <v>1.542546</v>
      </c>
      <c r="H2154">
        <v>0.39654420000000001</v>
      </c>
      <c r="Q2154" s="10">
        <f t="shared" si="86"/>
        <v>3.9267731031555689E-3</v>
      </c>
      <c r="AI2154">
        <v>0.24066509999999999</v>
      </c>
      <c r="AJ2154">
        <f t="shared" si="85"/>
        <v>0.24066509999999999</v>
      </c>
      <c r="AO2154">
        <v>0.24066509999999999</v>
      </c>
      <c r="AR2154" s="8">
        <v>0</v>
      </c>
      <c r="AS2154">
        <v>1.068748</v>
      </c>
    </row>
    <row r="2155" spans="1:45" x14ac:dyDescent="0.25">
      <c r="A2155">
        <v>383</v>
      </c>
      <c r="B2155">
        <v>2002</v>
      </c>
      <c r="C2155" s="8">
        <v>0</v>
      </c>
      <c r="D2155">
        <v>0.17194980000000001</v>
      </c>
      <c r="E2155">
        <v>0.29052889999999998</v>
      </c>
      <c r="F2155">
        <v>4.11616E-2</v>
      </c>
      <c r="G2155">
        <v>1.1526890000000001</v>
      </c>
      <c r="H2155">
        <v>0.37657079999999998</v>
      </c>
      <c r="Q2155" s="10">
        <f t="shared" si="86"/>
        <v>7.9432304076040676E-3</v>
      </c>
      <c r="AI2155">
        <v>0.5610676</v>
      </c>
      <c r="AJ2155">
        <f t="shared" si="85"/>
        <v>0.52051970800000003</v>
      </c>
      <c r="AO2155">
        <v>0.52051970800000003</v>
      </c>
      <c r="AR2155" s="8">
        <v>0</v>
      </c>
      <c r="AS2155">
        <v>1.0375749999999999</v>
      </c>
    </row>
    <row r="2156" spans="1:45" x14ac:dyDescent="0.25">
      <c r="A2156">
        <v>383</v>
      </c>
      <c r="B2156">
        <v>2003</v>
      </c>
      <c r="C2156" s="8">
        <v>0</v>
      </c>
      <c r="D2156">
        <v>0.24066509999999999</v>
      </c>
      <c r="E2156">
        <v>0.32212469999999999</v>
      </c>
      <c r="F2156">
        <v>6.6207600000000005E-2</v>
      </c>
      <c r="G2156">
        <v>1.5854220000000001</v>
      </c>
      <c r="H2156">
        <v>0.50345359999999995</v>
      </c>
      <c r="Q2156" s="10">
        <f t="shared" si="86"/>
        <v>3.4834611267732757E-3</v>
      </c>
      <c r="AI2156">
        <v>6.1328599999999997E-2</v>
      </c>
      <c r="AJ2156">
        <f t="shared" si="85"/>
        <v>6.1328599999999997E-2</v>
      </c>
      <c r="AO2156">
        <v>6.1328599999999997E-2</v>
      </c>
      <c r="AR2156" s="8">
        <v>0</v>
      </c>
      <c r="AS2156">
        <v>1.542546</v>
      </c>
    </row>
    <row r="2157" spans="1:45" x14ac:dyDescent="0.25">
      <c r="A2157">
        <v>384</v>
      </c>
      <c r="B2157">
        <v>2003</v>
      </c>
      <c r="C2157" s="8">
        <v>0</v>
      </c>
      <c r="D2157">
        <v>0.5610676</v>
      </c>
      <c r="E2157">
        <v>0.48380590000000001</v>
      </c>
      <c r="F2157">
        <v>7.4679099999999998E-2</v>
      </c>
      <c r="G2157">
        <v>2.3484080000000001</v>
      </c>
      <c r="H2157">
        <v>0.2166536</v>
      </c>
      <c r="Q2157" s="10">
        <f t="shared" si="86"/>
        <v>7.3130799626268308E-4</v>
      </c>
      <c r="AI2157">
        <v>0.15263109999999999</v>
      </c>
      <c r="AJ2157">
        <f t="shared" si="85"/>
        <v>0.15263109999999999</v>
      </c>
      <c r="AO2157">
        <v>0.15263109999999999</v>
      </c>
      <c r="AR2157" s="8">
        <v>0</v>
      </c>
      <c r="AS2157">
        <v>1.1526890000000001</v>
      </c>
    </row>
    <row r="2158" spans="1:45" x14ac:dyDescent="0.25">
      <c r="A2158">
        <v>385</v>
      </c>
      <c r="B2158">
        <v>2001</v>
      </c>
      <c r="C2158" s="8">
        <v>0</v>
      </c>
      <c r="D2158">
        <v>6.1328599999999997E-2</v>
      </c>
      <c r="E2158">
        <v>0.3849745</v>
      </c>
      <c r="F2158">
        <v>4.3265100000000001E-2</v>
      </c>
      <c r="G2158">
        <v>0.94873070000000004</v>
      </c>
      <c r="H2158">
        <v>0.29357440000000001</v>
      </c>
      <c r="Q2158" s="10">
        <f t="shared" si="86"/>
        <v>8.5447160482194414E-3</v>
      </c>
      <c r="AI2158">
        <v>9.5233899999999996E-2</v>
      </c>
      <c r="AJ2158">
        <f t="shared" si="85"/>
        <v>9.5233899999999996E-2</v>
      </c>
      <c r="AO2158">
        <v>9.5233899999999996E-2</v>
      </c>
      <c r="AR2158" s="8">
        <v>0</v>
      </c>
      <c r="AS2158">
        <v>1.5854220000000001</v>
      </c>
    </row>
    <row r="2159" spans="1:45" x14ac:dyDescent="0.25">
      <c r="A2159">
        <v>385</v>
      </c>
      <c r="B2159">
        <v>2002</v>
      </c>
      <c r="C2159" s="8">
        <v>0</v>
      </c>
      <c r="D2159">
        <v>0.15263109999999999</v>
      </c>
      <c r="E2159">
        <v>0.23089370000000001</v>
      </c>
      <c r="F2159">
        <v>5.2737699999999998E-2</v>
      </c>
      <c r="G2159">
        <v>0.55055480000000001</v>
      </c>
      <c r="H2159">
        <v>0.2748834</v>
      </c>
      <c r="Q2159" s="10">
        <f t="shared" si="86"/>
        <v>1.8987335547679011E-2</v>
      </c>
      <c r="AI2159">
        <v>0.13047919999999999</v>
      </c>
      <c r="AJ2159">
        <f t="shared" si="85"/>
        <v>0.13047919999999999</v>
      </c>
      <c r="AO2159">
        <v>0.13047919999999999</v>
      </c>
      <c r="AR2159" s="8">
        <v>0</v>
      </c>
      <c r="AS2159">
        <v>2.3484080000000001</v>
      </c>
    </row>
    <row r="2160" spans="1:45" x14ac:dyDescent="0.25">
      <c r="A2160">
        <v>385</v>
      </c>
      <c r="B2160">
        <v>2003</v>
      </c>
      <c r="C2160" s="8">
        <v>0</v>
      </c>
      <c r="D2160">
        <v>9.5233899999999996E-2</v>
      </c>
      <c r="E2160">
        <v>0.22703770000000001</v>
      </c>
      <c r="F2160">
        <v>3.4126099999999999E-2</v>
      </c>
      <c r="G2160">
        <v>0.67192810000000003</v>
      </c>
      <c r="H2160">
        <v>0.28595150000000003</v>
      </c>
      <c r="Q2160" s="10">
        <f t="shared" si="86"/>
        <v>1.7974258311083104E-2</v>
      </c>
      <c r="AI2160">
        <v>3.3802199999999998E-2</v>
      </c>
      <c r="AJ2160">
        <f t="shared" si="85"/>
        <v>3.3802199999999998E-2</v>
      </c>
      <c r="AO2160">
        <v>3.3802199999999998E-2</v>
      </c>
      <c r="AR2160" s="8">
        <v>0</v>
      </c>
      <c r="AS2160">
        <v>0.94873070000000004</v>
      </c>
    </row>
    <row r="2161" spans="1:45" x14ac:dyDescent="0.25">
      <c r="A2161">
        <v>385</v>
      </c>
      <c r="B2161">
        <v>2004</v>
      </c>
      <c r="C2161" s="8">
        <v>0</v>
      </c>
      <c r="D2161">
        <v>0.13047919999999999</v>
      </c>
      <c r="E2161">
        <v>0.26026840000000001</v>
      </c>
      <c r="F2161">
        <v>3.8435499999999997E-2</v>
      </c>
      <c r="G2161">
        <v>0.81232700000000002</v>
      </c>
      <c r="H2161">
        <v>0.3049713</v>
      </c>
      <c r="Q2161" s="10">
        <f t="shared" si="86"/>
        <v>1.364271972023277E-2</v>
      </c>
      <c r="AI2161">
        <v>9.9682199999999999E-2</v>
      </c>
      <c r="AJ2161">
        <f t="shared" si="85"/>
        <v>9.9682199999999999E-2</v>
      </c>
      <c r="AO2161">
        <v>9.9682199999999999E-2</v>
      </c>
      <c r="AR2161" s="8">
        <v>0</v>
      </c>
      <c r="AS2161">
        <v>0.55055480000000001</v>
      </c>
    </row>
    <row r="2162" spans="1:45" x14ac:dyDescent="0.25">
      <c r="A2162">
        <v>386</v>
      </c>
      <c r="B2162">
        <v>1995</v>
      </c>
      <c r="C2162" s="8">
        <v>0</v>
      </c>
      <c r="D2162">
        <v>3.3802199999999998E-2</v>
      </c>
      <c r="E2162">
        <v>0.3709829</v>
      </c>
      <c r="F2162">
        <v>6.1534199999999997E-2</v>
      </c>
      <c r="G2162">
        <v>2.5460199999999999</v>
      </c>
      <c r="H2162">
        <v>0.22617590000000001</v>
      </c>
      <c r="Q2162" s="10">
        <f t="shared" si="86"/>
        <v>5.6492171619927515E-4</v>
      </c>
      <c r="AI2162">
        <v>0.19767589999999999</v>
      </c>
      <c r="AJ2162">
        <f t="shared" si="85"/>
        <v>0.19767589999999999</v>
      </c>
      <c r="AO2162">
        <v>0.19767589999999999</v>
      </c>
      <c r="AR2162" s="8">
        <v>0</v>
      </c>
      <c r="AS2162">
        <v>0.67192810000000003</v>
      </c>
    </row>
    <row r="2163" spans="1:45" x14ac:dyDescent="0.25">
      <c r="A2163">
        <v>386</v>
      </c>
      <c r="B2163">
        <v>1996</v>
      </c>
      <c r="C2163" s="8">
        <v>0</v>
      </c>
      <c r="D2163">
        <v>9.9682199999999999E-2</v>
      </c>
      <c r="E2163">
        <v>0.29471000000000003</v>
      </c>
      <c r="F2163">
        <v>3.2907899999999997E-2</v>
      </c>
      <c r="G2163">
        <v>1.439093</v>
      </c>
      <c r="H2163">
        <v>0.14408699999999999</v>
      </c>
      <c r="Q2163" s="10">
        <f t="shared" si="86"/>
        <v>4.5054498050810287E-3</v>
      </c>
      <c r="AI2163">
        <v>0.13512260000000001</v>
      </c>
      <c r="AJ2163">
        <f t="shared" si="85"/>
        <v>0.13512260000000001</v>
      </c>
      <c r="AO2163">
        <v>0.13512260000000001</v>
      </c>
      <c r="AR2163" s="8">
        <v>0</v>
      </c>
      <c r="AS2163">
        <v>0.81232700000000002</v>
      </c>
    </row>
    <row r="2164" spans="1:45" x14ac:dyDescent="0.25">
      <c r="A2164">
        <v>387</v>
      </c>
      <c r="B2164">
        <v>1995</v>
      </c>
      <c r="C2164" s="8">
        <v>0</v>
      </c>
      <c r="D2164">
        <v>0.19767589999999999</v>
      </c>
      <c r="E2164">
        <v>2.7896399999999998E-2</v>
      </c>
      <c r="F2164">
        <v>4.6966399999999998E-2</v>
      </c>
      <c r="G2164">
        <v>1.2510019999999999</v>
      </c>
      <c r="H2164">
        <v>0.17019339999999999</v>
      </c>
      <c r="Q2164" s="10">
        <f t="shared" si="86"/>
        <v>8.4431000103434729E-3</v>
      </c>
      <c r="AI2164">
        <v>4.6134700000000001E-2</v>
      </c>
      <c r="AJ2164">
        <f t="shared" si="85"/>
        <v>4.6134700000000001E-2</v>
      </c>
      <c r="AO2164">
        <v>4.6134700000000001E-2</v>
      </c>
      <c r="AR2164" s="8">
        <v>0</v>
      </c>
      <c r="AS2164">
        <v>2.5460199999999999</v>
      </c>
    </row>
    <row r="2165" spans="1:45" x14ac:dyDescent="0.25">
      <c r="A2165">
        <v>388</v>
      </c>
      <c r="B2165">
        <v>1995</v>
      </c>
      <c r="C2165" s="8">
        <v>0</v>
      </c>
      <c r="D2165">
        <v>0.13512260000000001</v>
      </c>
      <c r="E2165">
        <v>0.64915560000000005</v>
      </c>
      <c r="F2165">
        <v>5.9844700000000001E-2</v>
      </c>
      <c r="G2165">
        <v>0.99236729999999995</v>
      </c>
      <c r="H2165">
        <v>0.31192049999999999</v>
      </c>
      <c r="Q2165" s="10">
        <f t="shared" si="86"/>
        <v>4.9757226549318623E-3</v>
      </c>
      <c r="AI2165">
        <v>4.7711299999999998E-2</v>
      </c>
      <c r="AJ2165">
        <f t="shared" si="85"/>
        <v>4.7711299999999998E-2</v>
      </c>
      <c r="AO2165">
        <v>4.7711299999999998E-2</v>
      </c>
      <c r="AR2165" s="8">
        <v>0</v>
      </c>
      <c r="AS2165">
        <v>1.439093</v>
      </c>
    </row>
    <row r="2166" spans="1:45" x14ac:dyDescent="0.25">
      <c r="A2166">
        <v>388</v>
      </c>
      <c r="B2166">
        <v>1996</v>
      </c>
      <c r="C2166" s="8">
        <v>0</v>
      </c>
      <c r="D2166">
        <v>4.6134700000000001E-2</v>
      </c>
      <c r="E2166">
        <v>0.35880440000000002</v>
      </c>
      <c r="F2166">
        <v>7.4421699999999993E-2</v>
      </c>
      <c r="G2166">
        <v>1.2507280000000001</v>
      </c>
      <c r="H2166">
        <v>0.49353639999999999</v>
      </c>
      <c r="Q2166" s="10">
        <f t="shared" si="86"/>
        <v>4.8271068061045298E-3</v>
      </c>
      <c r="AI2166">
        <v>9.5881499999999995E-2</v>
      </c>
      <c r="AJ2166">
        <f t="shared" si="85"/>
        <v>9.5881499999999995E-2</v>
      </c>
      <c r="AO2166">
        <v>9.5881499999999995E-2</v>
      </c>
      <c r="AR2166" s="8">
        <v>0</v>
      </c>
      <c r="AS2166">
        <v>1.2510019999999999</v>
      </c>
    </row>
    <row r="2167" spans="1:45" x14ac:dyDescent="0.25">
      <c r="A2167">
        <v>388</v>
      </c>
      <c r="B2167">
        <v>1997</v>
      </c>
      <c r="C2167" s="8">
        <v>0</v>
      </c>
      <c r="D2167">
        <v>4.7711299999999998E-2</v>
      </c>
      <c r="E2167">
        <v>0.352329</v>
      </c>
      <c r="F2167">
        <v>3.5769500000000003E-2</v>
      </c>
      <c r="G2167">
        <v>1.512985</v>
      </c>
      <c r="H2167">
        <v>0.47306179999999998</v>
      </c>
      <c r="Q2167" s="10">
        <f t="shared" si="86"/>
        <v>4.3205656311885226E-3</v>
      </c>
      <c r="AI2167">
        <v>6.1542100000000002E-2</v>
      </c>
      <c r="AJ2167">
        <f t="shared" si="85"/>
        <v>6.1542100000000002E-2</v>
      </c>
      <c r="AO2167">
        <v>6.1542100000000002E-2</v>
      </c>
      <c r="AR2167" s="8">
        <v>0</v>
      </c>
      <c r="AS2167">
        <v>0.99236729999999995</v>
      </c>
    </row>
    <row r="2168" spans="1:45" x14ac:dyDescent="0.25">
      <c r="A2168">
        <v>389</v>
      </c>
      <c r="B2168">
        <v>2001</v>
      </c>
      <c r="C2168" s="8">
        <v>0</v>
      </c>
      <c r="D2168">
        <v>9.5881499999999995E-2</v>
      </c>
      <c r="E2168">
        <v>0.13156100000000001</v>
      </c>
      <c r="F2168">
        <v>5.14721E-2</v>
      </c>
      <c r="G2168">
        <v>0.86277729999999997</v>
      </c>
      <c r="H2168">
        <v>0.40735440000000001</v>
      </c>
      <c r="Q2168" s="10">
        <f t="shared" si="86"/>
        <v>1.435447001089744E-2</v>
      </c>
      <c r="AI2168">
        <v>0.2267594</v>
      </c>
      <c r="AJ2168">
        <f t="shared" si="85"/>
        <v>0.2267594</v>
      </c>
      <c r="AO2168">
        <v>0.2267594</v>
      </c>
      <c r="AR2168" s="8">
        <v>0</v>
      </c>
      <c r="AS2168">
        <v>1.2507280000000001</v>
      </c>
    </row>
    <row r="2169" spans="1:45" x14ac:dyDescent="0.25">
      <c r="A2169">
        <v>389</v>
      </c>
      <c r="B2169">
        <v>2002</v>
      </c>
      <c r="C2169" s="8">
        <v>0</v>
      </c>
      <c r="D2169">
        <v>6.1542100000000002E-2</v>
      </c>
      <c r="E2169">
        <v>0.13405220000000001</v>
      </c>
      <c r="F2169">
        <v>5.6889599999999999E-2</v>
      </c>
      <c r="G2169">
        <v>0.55010669999999995</v>
      </c>
      <c r="H2169">
        <v>0.44463740000000002</v>
      </c>
      <c r="Q2169" s="10">
        <f t="shared" si="86"/>
        <v>2.2553627883370123E-2</v>
      </c>
      <c r="AI2169">
        <v>0.21429210000000001</v>
      </c>
      <c r="AJ2169">
        <f t="shared" si="85"/>
        <v>0.21429210000000001</v>
      </c>
      <c r="AO2169">
        <v>0.21429210000000001</v>
      </c>
      <c r="AR2169" s="8">
        <v>0</v>
      </c>
      <c r="AS2169">
        <v>1.512985</v>
      </c>
    </row>
    <row r="2170" spans="1:45" x14ac:dyDescent="0.25">
      <c r="A2170">
        <v>390</v>
      </c>
      <c r="B2170">
        <v>1995</v>
      </c>
      <c r="C2170" s="8">
        <v>0</v>
      </c>
      <c r="D2170">
        <v>0.2267594</v>
      </c>
      <c r="E2170">
        <v>0.11893330000000001</v>
      </c>
      <c r="F2170">
        <v>5.0688400000000002E-2</v>
      </c>
      <c r="G2170">
        <v>0.95278130000000005</v>
      </c>
      <c r="H2170">
        <v>0.29546810000000001</v>
      </c>
      <c r="Q2170" s="10">
        <f t="shared" si="86"/>
        <v>1.2578118845693769E-2</v>
      </c>
      <c r="AI2170">
        <v>0.22853780000000001</v>
      </c>
      <c r="AJ2170">
        <f t="shared" si="85"/>
        <v>0.22853780000000001</v>
      </c>
      <c r="AO2170">
        <v>0.22853780000000001</v>
      </c>
      <c r="AR2170" s="8">
        <v>0</v>
      </c>
      <c r="AS2170">
        <v>0.86277729999999997</v>
      </c>
    </row>
    <row r="2171" spans="1:45" x14ac:dyDescent="0.25">
      <c r="A2171">
        <v>390</v>
      </c>
      <c r="B2171">
        <v>1996</v>
      </c>
      <c r="C2171" s="8">
        <v>0</v>
      </c>
      <c r="D2171">
        <v>0.21429210000000001</v>
      </c>
      <c r="E2171">
        <v>0.1055744</v>
      </c>
      <c r="F2171">
        <v>5.3536399999999998E-2</v>
      </c>
      <c r="G2171">
        <v>1.2525360000000001</v>
      </c>
      <c r="H2171">
        <v>0.2918405</v>
      </c>
      <c r="Q2171" s="10">
        <f t="shared" si="86"/>
        <v>7.7552657935827671E-3</v>
      </c>
      <c r="AI2171">
        <v>0.26280389999999998</v>
      </c>
      <c r="AJ2171">
        <f t="shared" si="85"/>
        <v>0.26280389999999998</v>
      </c>
      <c r="AO2171">
        <v>0.26280389999999998</v>
      </c>
      <c r="AR2171" s="8">
        <v>0</v>
      </c>
      <c r="AS2171">
        <v>0.55010669999999995</v>
      </c>
    </row>
    <row r="2172" spans="1:45" x14ac:dyDescent="0.25">
      <c r="A2172">
        <v>390</v>
      </c>
      <c r="B2172">
        <v>1997</v>
      </c>
      <c r="C2172" s="8">
        <v>0</v>
      </c>
      <c r="D2172">
        <v>0.22853780000000001</v>
      </c>
      <c r="E2172">
        <v>9.7620799999999994E-2</v>
      </c>
      <c r="F2172">
        <v>3.0355400000000001E-2</v>
      </c>
      <c r="G2172">
        <v>0.92025489999999999</v>
      </c>
      <c r="H2172">
        <v>0.24946960000000001</v>
      </c>
      <c r="Q2172" s="10">
        <f t="shared" si="86"/>
        <v>1.5589576737522032E-2</v>
      </c>
      <c r="AI2172">
        <v>0.21847739999999999</v>
      </c>
      <c r="AJ2172">
        <f t="shared" si="85"/>
        <v>0.21847739999999999</v>
      </c>
      <c r="AO2172">
        <v>0.21847739999999999</v>
      </c>
      <c r="AR2172" s="8">
        <v>0</v>
      </c>
      <c r="AS2172">
        <v>0.95278130000000005</v>
      </c>
    </row>
    <row r="2173" spans="1:45" x14ac:dyDescent="0.25">
      <c r="A2173">
        <v>390</v>
      </c>
      <c r="B2173">
        <v>1998</v>
      </c>
      <c r="C2173" s="8">
        <v>0</v>
      </c>
      <c r="D2173">
        <v>0.26280389999999998</v>
      </c>
      <c r="E2173">
        <v>9.5804600000000004E-2</v>
      </c>
      <c r="F2173">
        <v>3.8367900000000003E-2</v>
      </c>
      <c r="G2173">
        <v>0.55808369999999996</v>
      </c>
      <c r="H2173">
        <v>0.23407929999999999</v>
      </c>
      <c r="Q2173" s="10">
        <f t="shared" si="86"/>
        <v>2.5955432244253965E-2</v>
      </c>
      <c r="AI2173">
        <v>6.4074599999999995E-2</v>
      </c>
      <c r="AJ2173">
        <f t="shared" si="85"/>
        <v>6.4074599999999995E-2</v>
      </c>
      <c r="AO2173">
        <v>6.4074599999999995E-2</v>
      </c>
      <c r="AR2173" s="8">
        <v>0</v>
      </c>
      <c r="AS2173">
        <v>1.2525360000000001</v>
      </c>
    </row>
    <row r="2174" spans="1:45" x14ac:dyDescent="0.25">
      <c r="A2174">
        <v>390</v>
      </c>
      <c r="B2174">
        <v>1999</v>
      </c>
      <c r="C2174" s="8">
        <v>0</v>
      </c>
      <c r="D2174">
        <v>0.21847739999999999</v>
      </c>
      <c r="E2174">
        <v>0.1331928</v>
      </c>
      <c r="F2174">
        <v>4.5263100000000001E-2</v>
      </c>
      <c r="G2174">
        <v>0.59508609999999995</v>
      </c>
      <c r="H2174">
        <v>0.27350570000000002</v>
      </c>
      <c r="Q2174" s="10">
        <f t="shared" si="86"/>
        <v>2.2150481461106829E-2</v>
      </c>
      <c r="AI2174">
        <v>7.9436499999999993E-2</v>
      </c>
      <c r="AJ2174">
        <f t="shared" si="85"/>
        <v>7.9436499999999993E-2</v>
      </c>
      <c r="AO2174">
        <v>7.9436499999999993E-2</v>
      </c>
      <c r="AR2174" s="8">
        <v>0</v>
      </c>
      <c r="AS2174">
        <v>0.92025489999999999</v>
      </c>
    </row>
    <row r="2175" spans="1:45" x14ac:dyDescent="0.25">
      <c r="A2175">
        <v>391</v>
      </c>
      <c r="B2175">
        <v>1995</v>
      </c>
      <c r="C2175" s="8">
        <v>0</v>
      </c>
      <c r="D2175">
        <v>6.4074599999999995E-2</v>
      </c>
      <c r="E2175">
        <v>0.42133290000000001</v>
      </c>
      <c r="F2175">
        <v>6.2486E-2</v>
      </c>
      <c r="G2175">
        <v>2.4440400000000002</v>
      </c>
      <c r="H2175">
        <v>0.2466168</v>
      </c>
      <c r="Q2175" s="10">
        <f t="shared" si="86"/>
        <v>6.2862008558453673E-4</v>
      </c>
      <c r="AI2175">
        <v>5.79461E-2</v>
      </c>
      <c r="AJ2175">
        <f t="shared" si="85"/>
        <v>5.79461E-2</v>
      </c>
      <c r="AO2175">
        <v>5.79461E-2</v>
      </c>
      <c r="AR2175" s="8">
        <v>0</v>
      </c>
      <c r="AS2175">
        <v>0.55808369999999996</v>
      </c>
    </row>
    <row r="2176" spans="1:45" x14ac:dyDescent="0.25">
      <c r="A2176">
        <v>391</v>
      </c>
      <c r="B2176">
        <v>1996</v>
      </c>
      <c r="C2176" s="8">
        <v>0</v>
      </c>
      <c r="D2176">
        <v>7.9436499999999993E-2</v>
      </c>
      <c r="E2176">
        <v>0.47783789999999998</v>
      </c>
      <c r="F2176">
        <v>6.7427299999999996E-2</v>
      </c>
      <c r="G2176">
        <v>2.8588789999999999</v>
      </c>
      <c r="H2176">
        <v>0.25594339999999999</v>
      </c>
      <c r="Q2176" s="10">
        <f t="shared" si="86"/>
        <v>2.9097589451223388E-4</v>
      </c>
      <c r="AI2176">
        <v>-0.1060189</v>
      </c>
      <c r="AJ2176">
        <f t="shared" si="85"/>
        <v>-0.1060189</v>
      </c>
      <c r="AO2176">
        <v>-0.1060189</v>
      </c>
      <c r="AR2176" s="8">
        <v>0</v>
      </c>
      <c r="AS2176">
        <v>0.59508609999999995</v>
      </c>
    </row>
    <row r="2177" spans="1:45" x14ac:dyDescent="0.25">
      <c r="A2177">
        <v>391</v>
      </c>
      <c r="B2177">
        <v>1997</v>
      </c>
      <c r="C2177" s="8">
        <v>0</v>
      </c>
      <c r="D2177">
        <v>5.79461E-2</v>
      </c>
      <c r="E2177">
        <v>0.31636799999999998</v>
      </c>
      <c r="F2177">
        <v>6.0016699999999999E-2</v>
      </c>
      <c r="G2177">
        <v>2.7365949999999999</v>
      </c>
      <c r="H2177">
        <v>0.24269959999999999</v>
      </c>
      <c r="Q2177" s="10">
        <f t="shared" si="86"/>
        <v>4.6632440163215408E-4</v>
      </c>
      <c r="AI2177">
        <v>-4.6677499999999997E-2</v>
      </c>
      <c r="AJ2177">
        <f t="shared" si="85"/>
        <v>-4.6677499999999997E-2</v>
      </c>
      <c r="AO2177">
        <v>-4.6677499999999997E-2</v>
      </c>
      <c r="AR2177" s="8">
        <v>0</v>
      </c>
      <c r="AS2177">
        <v>2.4440400000000002</v>
      </c>
    </row>
    <row r="2178" spans="1:45" x14ac:dyDescent="0.25">
      <c r="A2178">
        <v>391</v>
      </c>
      <c r="B2178">
        <v>1998</v>
      </c>
      <c r="C2178" s="8">
        <v>0</v>
      </c>
      <c r="D2178">
        <v>-0.1060189</v>
      </c>
      <c r="E2178">
        <v>0.26235920000000001</v>
      </c>
      <c r="F2178">
        <v>6.0684399999999999E-2</v>
      </c>
      <c r="G2178">
        <v>1.8492109999999999</v>
      </c>
      <c r="H2178">
        <v>0.19949910000000001</v>
      </c>
      <c r="Q2178" s="10">
        <f t="shared" si="86"/>
        <v>1.8744532957973082E-3</v>
      </c>
      <c r="AI2178">
        <v>-2.6540000000000001E-3</v>
      </c>
      <c r="AJ2178">
        <f t="shared" si="85"/>
        <v>-2.6540000000000001E-3</v>
      </c>
      <c r="AO2178">
        <v>-2.6540000000000001E-3</v>
      </c>
      <c r="AR2178" s="8">
        <v>0</v>
      </c>
      <c r="AS2178">
        <v>2.8588789999999999</v>
      </c>
    </row>
    <row r="2179" spans="1:45" x14ac:dyDescent="0.25">
      <c r="A2179">
        <v>391</v>
      </c>
      <c r="B2179">
        <v>1999</v>
      </c>
      <c r="C2179" s="8">
        <v>0</v>
      </c>
      <c r="D2179">
        <v>-4.6677499999999997E-2</v>
      </c>
      <c r="E2179">
        <v>0.22274910000000001</v>
      </c>
      <c r="F2179">
        <v>5.9287800000000002E-2</v>
      </c>
      <c r="G2179">
        <v>2.9033350000000002</v>
      </c>
      <c r="H2179">
        <v>0.21023520000000001</v>
      </c>
      <c r="Q2179" s="10">
        <f t="shared" si="86"/>
        <v>3.8672943965442435E-4</v>
      </c>
      <c r="AI2179">
        <v>1.9606499999999999E-2</v>
      </c>
      <c r="AJ2179">
        <f t="shared" si="85"/>
        <v>1.9606499999999999E-2</v>
      </c>
      <c r="AO2179">
        <v>1.9606499999999999E-2</v>
      </c>
      <c r="AR2179" s="8">
        <v>0</v>
      </c>
      <c r="AS2179">
        <v>2.7365949999999999</v>
      </c>
    </row>
    <row r="2180" spans="1:45" x14ac:dyDescent="0.25">
      <c r="A2180">
        <v>391</v>
      </c>
      <c r="B2180">
        <v>2000</v>
      </c>
      <c r="C2180" s="8">
        <v>0</v>
      </c>
      <c r="D2180">
        <v>-2.6540000000000001E-3</v>
      </c>
      <c r="E2180">
        <v>0.25429279999999999</v>
      </c>
      <c r="F2180">
        <v>7.9666200000000006E-2</v>
      </c>
      <c r="G2180">
        <v>3.7451460000000001</v>
      </c>
      <c r="H2180">
        <v>0.2154181</v>
      </c>
      <c r="Q2180" s="10">
        <f t="shared" si="86"/>
        <v>8.3856326879810524E-5</v>
      </c>
      <c r="AI2180">
        <v>1.5045899999999999E-2</v>
      </c>
      <c r="AJ2180">
        <f t="shared" si="85"/>
        <v>1.5045899999999999E-2</v>
      </c>
      <c r="AO2180">
        <v>1.5045899999999999E-2</v>
      </c>
      <c r="AR2180" s="8">
        <v>0</v>
      </c>
      <c r="AS2180">
        <v>1.8492109999999999</v>
      </c>
    </row>
    <row r="2181" spans="1:45" x14ac:dyDescent="0.25">
      <c r="A2181">
        <v>391</v>
      </c>
      <c r="B2181">
        <v>2001</v>
      </c>
      <c r="C2181" s="8">
        <v>0</v>
      </c>
      <c r="D2181">
        <v>1.9606499999999999E-2</v>
      </c>
      <c r="E2181">
        <v>0.29280590000000001</v>
      </c>
      <c r="F2181">
        <v>6.53585E-2</v>
      </c>
      <c r="G2181">
        <v>3.66181</v>
      </c>
      <c r="H2181">
        <v>0.1982254</v>
      </c>
      <c r="Q2181" s="10">
        <f t="shared" si="86"/>
        <v>1.0138350707893441E-4</v>
      </c>
      <c r="AI2181">
        <v>1.9874200000000002E-2</v>
      </c>
      <c r="AJ2181">
        <f t="shared" ref="AJ2181:AJ2244" si="87">MAX(MIN(AI2181,AM$5),AM$4)</f>
        <v>1.9874200000000002E-2</v>
      </c>
      <c r="AO2181">
        <v>1.9874200000000002E-2</v>
      </c>
      <c r="AR2181" s="8">
        <v>0</v>
      </c>
      <c r="AS2181">
        <v>2.9033350000000002</v>
      </c>
    </row>
    <row r="2182" spans="1:45" x14ac:dyDescent="0.25">
      <c r="A2182">
        <v>391</v>
      </c>
      <c r="B2182">
        <v>2002</v>
      </c>
      <c r="C2182" s="8">
        <v>0</v>
      </c>
      <c r="D2182">
        <v>1.5045899999999999E-2</v>
      </c>
      <c r="E2182">
        <v>0.31521529999999998</v>
      </c>
      <c r="F2182">
        <v>7.2359999999999994E-2</v>
      </c>
      <c r="G2182">
        <v>2.8320789999999998</v>
      </c>
      <c r="H2182">
        <v>0.21265210000000001</v>
      </c>
      <c r="Q2182" s="10">
        <f t="shared" si="86"/>
        <v>3.505058015213838E-4</v>
      </c>
      <c r="AI2182">
        <v>3.7799899999999997E-2</v>
      </c>
      <c r="AJ2182">
        <f t="shared" si="87"/>
        <v>3.7799899999999997E-2</v>
      </c>
      <c r="AO2182">
        <v>3.7799899999999997E-2</v>
      </c>
      <c r="AR2182" s="8">
        <v>0</v>
      </c>
      <c r="AS2182">
        <v>3.7451460000000001</v>
      </c>
    </row>
    <row r="2183" spans="1:45" x14ac:dyDescent="0.25">
      <c r="A2183">
        <v>391</v>
      </c>
      <c r="B2183">
        <v>2003</v>
      </c>
      <c r="C2183" s="8">
        <v>0</v>
      </c>
      <c r="D2183">
        <v>1.9874200000000002E-2</v>
      </c>
      <c r="E2183">
        <v>0.3561106</v>
      </c>
      <c r="F2183">
        <v>7.3885000000000006E-2</v>
      </c>
      <c r="G2183">
        <v>2.6535310000000001</v>
      </c>
      <c r="H2183">
        <v>0.2281357</v>
      </c>
      <c r="Q2183" s="10">
        <f t="shared" ref="Q2183:Q2246" si="88">1/(1+EXP(-(J$6+SUMPRODUCT(K$6:O$6,D2183:H2183))))</f>
        <v>4.3867431786957361E-4</v>
      </c>
      <c r="AI2183">
        <v>9.2758300000000002E-2</v>
      </c>
      <c r="AJ2183">
        <f t="shared" si="87"/>
        <v>9.2758300000000002E-2</v>
      </c>
      <c r="AO2183">
        <v>9.2758300000000002E-2</v>
      </c>
      <c r="AR2183" s="8">
        <v>0</v>
      </c>
      <c r="AS2183">
        <v>3.66181</v>
      </c>
    </row>
    <row r="2184" spans="1:45" x14ac:dyDescent="0.25">
      <c r="A2184">
        <v>391</v>
      </c>
      <c r="B2184">
        <v>2004</v>
      </c>
      <c r="C2184" s="8">
        <v>0</v>
      </c>
      <c r="D2184">
        <v>3.7799899999999997E-2</v>
      </c>
      <c r="E2184">
        <v>0.27586899999999998</v>
      </c>
      <c r="F2184">
        <v>3.2424300000000003E-2</v>
      </c>
      <c r="G2184">
        <v>1.33525</v>
      </c>
      <c r="H2184">
        <v>0.18755079999999999</v>
      </c>
      <c r="Q2184" s="10">
        <f t="shared" si="88"/>
        <v>5.486773574346647E-3</v>
      </c>
      <c r="AI2184">
        <v>8.6863300000000004E-2</v>
      </c>
      <c r="AJ2184">
        <f t="shared" si="87"/>
        <v>8.6863300000000004E-2</v>
      </c>
      <c r="AO2184">
        <v>8.6863300000000004E-2</v>
      </c>
      <c r="AR2184" s="8">
        <v>0</v>
      </c>
      <c r="AS2184">
        <v>2.8320789999999998</v>
      </c>
    </row>
    <row r="2185" spans="1:45" x14ac:dyDescent="0.25">
      <c r="A2185">
        <v>392</v>
      </c>
      <c r="B2185">
        <v>1995</v>
      </c>
      <c r="C2185" s="8">
        <v>0</v>
      </c>
      <c r="D2185">
        <v>9.2758300000000002E-2</v>
      </c>
      <c r="E2185">
        <v>0.29448980000000002</v>
      </c>
      <c r="F2185">
        <v>3.5737699999999997E-2</v>
      </c>
      <c r="G2185">
        <v>0.40246579999999998</v>
      </c>
      <c r="H2185">
        <v>0.85888500000000001</v>
      </c>
      <c r="Q2185" s="10">
        <f t="shared" si="88"/>
        <v>3.4616384531605301E-2</v>
      </c>
      <c r="AI2185">
        <v>0.15942519999999999</v>
      </c>
      <c r="AJ2185">
        <f t="shared" si="87"/>
        <v>0.15942519999999999</v>
      </c>
      <c r="AO2185">
        <v>0.15942519999999999</v>
      </c>
      <c r="AR2185" s="8">
        <v>0</v>
      </c>
      <c r="AS2185">
        <v>2.6535310000000001</v>
      </c>
    </row>
    <row r="2186" spans="1:45" x14ac:dyDescent="0.25">
      <c r="A2186">
        <v>392</v>
      </c>
      <c r="B2186">
        <v>1996</v>
      </c>
      <c r="C2186" s="8">
        <v>0</v>
      </c>
      <c r="D2186">
        <v>8.6863300000000004E-2</v>
      </c>
      <c r="E2186">
        <v>0.26918239999999999</v>
      </c>
      <c r="F2186">
        <v>4.90991E-2</v>
      </c>
      <c r="G2186">
        <v>0.41489789999999999</v>
      </c>
      <c r="H2186">
        <v>0.86215359999999996</v>
      </c>
      <c r="Q2186" s="10">
        <f t="shared" si="88"/>
        <v>3.172200743129637E-2</v>
      </c>
      <c r="AI2186">
        <v>0.1611062</v>
      </c>
      <c r="AJ2186">
        <f t="shared" si="87"/>
        <v>0.1611062</v>
      </c>
      <c r="AO2186">
        <v>0.1611062</v>
      </c>
      <c r="AR2186" s="8">
        <v>0</v>
      </c>
      <c r="AS2186">
        <v>1.33525</v>
      </c>
    </row>
    <row r="2187" spans="1:45" x14ac:dyDescent="0.25">
      <c r="A2187">
        <v>392</v>
      </c>
      <c r="B2187">
        <v>1997</v>
      </c>
      <c r="C2187" s="8">
        <v>0</v>
      </c>
      <c r="D2187">
        <v>0.15942519999999999</v>
      </c>
      <c r="E2187">
        <v>0.24752869999999999</v>
      </c>
      <c r="F2187">
        <v>5.5376300000000003E-2</v>
      </c>
      <c r="G2187">
        <v>0.41450910000000002</v>
      </c>
      <c r="H2187">
        <v>0.76353280000000001</v>
      </c>
      <c r="Q2187" s="10">
        <f t="shared" si="88"/>
        <v>3.024642898039593E-2</v>
      </c>
      <c r="AI2187">
        <v>0.10178420000000001</v>
      </c>
      <c r="AJ2187">
        <f t="shared" si="87"/>
        <v>0.10178420000000001</v>
      </c>
      <c r="AO2187">
        <v>0.10178420000000001</v>
      </c>
      <c r="AR2187" s="8">
        <v>0</v>
      </c>
      <c r="AS2187">
        <v>0.40246579999999998</v>
      </c>
    </row>
    <row r="2188" spans="1:45" x14ac:dyDescent="0.25">
      <c r="A2188">
        <v>392</v>
      </c>
      <c r="B2188">
        <v>1998</v>
      </c>
      <c r="C2188" s="8">
        <v>0</v>
      </c>
      <c r="D2188">
        <v>0.1611062</v>
      </c>
      <c r="E2188">
        <v>0.24190890000000001</v>
      </c>
      <c r="F2188">
        <v>5.1803500000000002E-2</v>
      </c>
      <c r="G2188">
        <v>0.28195779999999998</v>
      </c>
      <c r="H2188">
        <v>0.76358150000000002</v>
      </c>
      <c r="Q2188" s="10">
        <f t="shared" si="88"/>
        <v>3.845865651595165E-2</v>
      </c>
      <c r="AI2188">
        <v>0.15385399999999999</v>
      </c>
      <c r="AJ2188">
        <f t="shared" si="87"/>
        <v>0.15385399999999999</v>
      </c>
      <c r="AO2188">
        <v>0.15385399999999999</v>
      </c>
      <c r="AR2188" s="8">
        <v>0</v>
      </c>
      <c r="AS2188">
        <v>0.41489789999999999</v>
      </c>
    </row>
    <row r="2189" spans="1:45" x14ac:dyDescent="0.25">
      <c r="A2189">
        <v>392</v>
      </c>
      <c r="B2189">
        <v>1999</v>
      </c>
      <c r="C2189" s="8">
        <v>0</v>
      </c>
      <c r="D2189">
        <v>0.10178420000000001</v>
      </c>
      <c r="E2189">
        <v>0.2227924</v>
      </c>
      <c r="F2189">
        <v>5.7456100000000003E-2</v>
      </c>
      <c r="G2189">
        <v>0.26821919999999999</v>
      </c>
      <c r="H2189">
        <v>0.80211339999999998</v>
      </c>
      <c r="Q2189" s="10">
        <f t="shared" si="88"/>
        <v>3.8598326763297927E-2</v>
      </c>
      <c r="AI2189">
        <v>0.17210890000000001</v>
      </c>
      <c r="AJ2189">
        <f t="shared" si="87"/>
        <v>0.17210890000000001</v>
      </c>
      <c r="AO2189">
        <v>0.17210890000000001</v>
      </c>
      <c r="AR2189" s="8">
        <v>0</v>
      </c>
      <c r="AS2189">
        <v>0.41450910000000002</v>
      </c>
    </row>
    <row r="2190" spans="1:45" x14ac:dyDescent="0.25">
      <c r="A2190">
        <v>392</v>
      </c>
      <c r="B2190">
        <v>2000</v>
      </c>
      <c r="C2190" s="8">
        <v>0</v>
      </c>
      <c r="D2190">
        <v>0.15385399999999999</v>
      </c>
      <c r="E2190">
        <v>0.25669160000000002</v>
      </c>
      <c r="F2190">
        <v>4.3192599999999998E-2</v>
      </c>
      <c r="G2190">
        <v>0.28361750000000002</v>
      </c>
      <c r="H2190">
        <v>0.63472740000000005</v>
      </c>
      <c r="Q2190" s="10">
        <f t="shared" si="88"/>
        <v>3.7073569001022766E-2</v>
      </c>
      <c r="AI2190">
        <v>0.15553349999999999</v>
      </c>
      <c r="AJ2190">
        <f t="shared" si="87"/>
        <v>0.15553349999999999</v>
      </c>
      <c r="AO2190">
        <v>0.15553349999999999</v>
      </c>
      <c r="AR2190" s="8">
        <v>0</v>
      </c>
      <c r="AS2190">
        <v>0.28195779999999998</v>
      </c>
    </row>
    <row r="2191" spans="1:45" x14ac:dyDescent="0.25">
      <c r="A2191">
        <v>392</v>
      </c>
      <c r="B2191">
        <v>2001</v>
      </c>
      <c r="C2191" s="8">
        <v>0</v>
      </c>
      <c r="D2191">
        <v>0.17210890000000001</v>
      </c>
      <c r="E2191">
        <v>0.25137759999999998</v>
      </c>
      <c r="F2191">
        <v>2.8697E-2</v>
      </c>
      <c r="G2191">
        <v>0.28426430000000003</v>
      </c>
      <c r="H2191">
        <v>0.66936419999999996</v>
      </c>
      <c r="Q2191" s="10">
        <f t="shared" si="88"/>
        <v>4.2885232987160592E-2</v>
      </c>
      <c r="AI2191">
        <v>0.14287269999999999</v>
      </c>
      <c r="AJ2191">
        <f t="shared" si="87"/>
        <v>0.14287269999999999</v>
      </c>
      <c r="AO2191">
        <v>0.14287269999999999</v>
      </c>
      <c r="AR2191" s="8">
        <v>0</v>
      </c>
      <c r="AS2191">
        <v>0.26821919999999999</v>
      </c>
    </row>
    <row r="2192" spans="1:45" x14ac:dyDescent="0.25">
      <c r="A2192">
        <v>392</v>
      </c>
      <c r="B2192">
        <v>2002</v>
      </c>
      <c r="C2192" s="8">
        <v>0</v>
      </c>
      <c r="D2192">
        <v>0.15553349999999999</v>
      </c>
      <c r="E2192">
        <v>0.25823420000000002</v>
      </c>
      <c r="F2192">
        <v>4.0058499999999997E-2</v>
      </c>
      <c r="G2192">
        <v>0.23930999999999999</v>
      </c>
      <c r="H2192">
        <v>0.71654859999999998</v>
      </c>
      <c r="Q2192" s="10">
        <f t="shared" si="88"/>
        <v>4.2605368764671268E-2</v>
      </c>
      <c r="AI2192">
        <v>4.5988399999999999E-2</v>
      </c>
      <c r="AJ2192">
        <f t="shared" si="87"/>
        <v>4.5988399999999999E-2</v>
      </c>
      <c r="AO2192">
        <v>4.5988399999999999E-2</v>
      </c>
      <c r="AR2192" s="8">
        <v>0</v>
      </c>
      <c r="AS2192">
        <v>0.28361750000000002</v>
      </c>
    </row>
    <row r="2193" spans="1:45" x14ac:dyDescent="0.25">
      <c r="A2193">
        <v>392</v>
      </c>
      <c r="B2193">
        <v>2003</v>
      </c>
      <c r="C2193" s="8">
        <v>0</v>
      </c>
      <c r="D2193">
        <v>0.14287269999999999</v>
      </c>
      <c r="E2193">
        <v>0.24390970000000001</v>
      </c>
      <c r="F2193">
        <v>3.0247900000000001E-2</v>
      </c>
      <c r="G2193">
        <v>0.26745780000000002</v>
      </c>
      <c r="H2193">
        <v>0.71152629999999994</v>
      </c>
      <c r="Q2193" s="10">
        <f t="shared" si="88"/>
        <v>4.4525464121537781E-2</v>
      </c>
      <c r="AI2193">
        <v>0.16626930000000001</v>
      </c>
      <c r="AJ2193">
        <f t="shared" si="87"/>
        <v>0.16626930000000001</v>
      </c>
      <c r="AO2193">
        <v>0.16626930000000001</v>
      </c>
      <c r="AR2193" s="8">
        <v>0</v>
      </c>
      <c r="AS2193">
        <v>0.28426430000000003</v>
      </c>
    </row>
    <row r="2194" spans="1:45" x14ac:dyDescent="0.25">
      <c r="A2194">
        <v>392</v>
      </c>
      <c r="B2194">
        <v>2004</v>
      </c>
      <c r="C2194" s="8">
        <v>0</v>
      </c>
      <c r="D2194">
        <v>4.5988399999999999E-2</v>
      </c>
      <c r="E2194">
        <v>0.23919950000000001</v>
      </c>
      <c r="F2194">
        <v>2.7304499999999999E-2</v>
      </c>
      <c r="G2194">
        <v>0.25207869999999999</v>
      </c>
      <c r="H2194">
        <v>0.79626160000000001</v>
      </c>
      <c r="Q2194" s="10">
        <f t="shared" si="88"/>
        <v>4.7476419195742497E-2</v>
      </c>
      <c r="AI2194">
        <v>0.27343210000000001</v>
      </c>
      <c r="AJ2194">
        <f t="shared" si="87"/>
        <v>0.27343210000000001</v>
      </c>
      <c r="AO2194">
        <v>0.27343210000000001</v>
      </c>
      <c r="AR2194" s="8">
        <v>0</v>
      </c>
      <c r="AS2194">
        <v>0.23930999999999999</v>
      </c>
    </row>
    <row r="2195" spans="1:45" x14ac:dyDescent="0.25">
      <c r="A2195">
        <v>393</v>
      </c>
      <c r="B2195">
        <v>1995</v>
      </c>
      <c r="C2195" s="8">
        <v>0</v>
      </c>
      <c r="D2195">
        <v>0.16626930000000001</v>
      </c>
      <c r="E2195">
        <v>0.40077940000000001</v>
      </c>
      <c r="F2195">
        <v>4.3353999999999997E-2</v>
      </c>
      <c r="G2195">
        <v>2.392299</v>
      </c>
      <c r="H2195">
        <v>0.22712869999999999</v>
      </c>
      <c r="Q2195" s="10">
        <f t="shared" si="88"/>
        <v>8.4468175405380454E-4</v>
      </c>
      <c r="AI2195">
        <v>0.25570759999999998</v>
      </c>
      <c r="AJ2195">
        <f t="shared" si="87"/>
        <v>0.25570759999999998</v>
      </c>
      <c r="AO2195">
        <v>0.25570759999999998</v>
      </c>
      <c r="AR2195" s="8">
        <v>0</v>
      </c>
      <c r="AS2195">
        <v>0.26745780000000002</v>
      </c>
    </row>
    <row r="2196" spans="1:45" x14ac:dyDescent="0.25">
      <c r="A2196">
        <v>393</v>
      </c>
      <c r="B2196">
        <v>1996</v>
      </c>
      <c r="C2196" s="8">
        <v>0</v>
      </c>
      <c r="D2196">
        <v>0.27343210000000001</v>
      </c>
      <c r="E2196">
        <v>0.45182369999999999</v>
      </c>
      <c r="F2196">
        <v>6.2752500000000003E-2</v>
      </c>
      <c r="G2196">
        <v>3.1392199999999999</v>
      </c>
      <c r="H2196">
        <v>0.25649739999999999</v>
      </c>
      <c r="Q2196" s="10">
        <f t="shared" si="88"/>
        <v>2.1756925269051882E-4</v>
      </c>
      <c r="AI2196">
        <v>0.2156148</v>
      </c>
      <c r="AJ2196">
        <f t="shared" si="87"/>
        <v>0.2156148</v>
      </c>
      <c r="AO2196">
        <v>0.2156148</v>
      </c>
      <c r="AR2196" s="8">
        <v>0</v>
      </c>
      <c r="AS2196">
        <v>0.25207869999999999</v>
      </c>
    </row>
    <row r="2197" spans="1:45" x14ac:dyDescent="0.25">
      <c r="A2197">
        <v>393</v>
      </c>
      <c r="B2197">
        <v>1997</v>
      </c>
      <c r="C2197" s="8">
        <v>0</v>
      </c>
      <c r="D2197">
        <v>0.25570759999999998</v>
      </c>
      <c r="E2197">
        <v>0.4401024</v>
      </c>
      <c r="F2197">
        <v>7.4814199999999997E-2</v>
      </c>
      <c r="G2197">
        <v>4.0246310000000003</v>
      </c>
      <c r="H2197">
        <v>0.26614850000000001</v>
      </c>
      <c r="Q2197" s="10">
        <f t="shared" si="88"/>
        <v>4.8954770109403913E-5</v>
      </c>
      <c r="AI2197">
        <v>0.2296511</v>
      </c>
      <c r="AJ2197">
        <f t="shared" si="87"/>
        <v>0.2296511</v>
      </c>
      <c r="AO2197">
        <v>0.2296511</v>
      </c>
      <c r="AR2197" s="8">
        <v>0</v>
      </c>
      <c r="AS2197">
        <v>2.392299</v>
      </c>
    </row>
    <row r="2198" spans="1:45" x14ac:dyDescent="0.25">
      <c r="A2198">
        <v>393</v>
      </c>
      <c r="B2198">
        <v>1998</v>
      </c>
      <c r="C2198" s="8">
        <v>0</v>
      </c>
      <c r="D2198">
        <v>0.2156148</v>
      </c>
      <c r="E2198">
        <v>0.44447880000000001</v>
      </c>
      <c r="F2198">
        <v>8.0316600000000002E-2</v>
      </c>
      <c r="G2198">
        <v>4.0356120000000004</v>
      </c>
      <c r="H2198">
        <v>0.29449419999999998</v>
      </c>
      <c r="Q2198" s="10">
        <f t="shared" si="88"/>
        <v>4.5785869711910735E-5</v>
      </c>
      <c r="AI2198">
        <v>0.1775246</v>
      </c>
      <c r="AJ2198">
        <f t="shared" si="87"/>
        <v>0.1775246</v>
      </c>
      <c r="AO2198">
        <v>0.1775246</v>
      </c>
      <c r="AR2198" s="8">
        <v>0</v>
      </c>
      <c r="AS2198">
        <v>3.1392199999999999</v>
      </c>
    </row>
    <row r="2199" spans="1:45" x14ac:dyDescent="0.25">
      <c r="A2199">
        <v>393</v>
      </c>
      <c r="B2199">
        <v>1999</v>
      </c>
      <c r="C2199" s="8">
        <v>0</v>
      </c>
      <c r="D2199">
        <v>0.2296511</v>
      </c>
      <c r="E2199">
        <v>0.3401209</v>
      </c>
      <c r="F2199">
        <v>6.2240499999999997E-2</v>
      </c>
      <c r="G2199">
        <v>3.2507359999999998</v>
      </c>
      <c r="H2199">
        <v>0.27839459999999999</v>
      </c>
      <c r="Q2199" s="10">
        <f t="shared" si="88"/>
        <v>2.1416582818437337E-4</v>
      </c>
      <c r="AI2199">
        <v>0.17872979999999999</v>
      </c>
      <c r="AJ2199">
        <f t="shared" si="87"/>
        <v>0.17872979999999999</v>
      </c>
      <c r="AO2199">
        <v>0.17872979999999999</v>
      </c>
      <c r="AR2199" s="8">
        <v>0</v>
      </c>
      <c r="AS2199">
        <v>4.0246310000000003</v>
      </c>
    </row>
    <row r="2200" spans="1:45" x14ac:dyDescent="0.25">
      <c r="A2200">
        <v>393</v>
      </c>
      <c r="B2200">
        <v>2000</v>
      </c>
      <c r="C2200" s="8">
        <v>0</v>
      </c>
      <c r="D2200">
        <v>0.1775246</v>
      </c>
      <c r="E2200">
        <v>0.3241019</v>
      </c>
      <c r="F2200">
        <v>5.57922E-2</v>
      </c>
      <c r="G2200">
        <v>2.7365620000000002</v>
      </c>
      <c r="H2200">
        <v>0.24533160000000001</v>
      </c>
      <c r="Q2200" s="10">
        <f t="shared" si="88"/>
        <v>5.0201445827199387E-4</v>
      </c>
      <c r="AI2200">
        <v>0.21558469999999999</v>
      </c>
      <c r="AJ2200">
        <f t="shared" si="87"/>
        <v>0.21558469999999999</v>
      </c>
      <c r="AO2200">
        <v>0.21558469999999999</v>
      </c>
      <c r="AR2200" s="8">
        <v>0</v>
      </c>
      <c r="AS2200">
        <v>4.0356120000000004</v>
      </c>
    </row>
    <row r="2201" spans="1:45" x14ac:dyDescent="0.25">
      <c r="A2201">
        <v>393</v>
      </c>
      <c r="B2201">
        <v>2001</v>
      </c>
      <c r="C2201" s="8">
        <v>0</v>
      </c>
      <c r="D2201">
        <v>0.17872979999999999</v>
      </c>
      <c r="E2201">
        <v>0.283553</v>
      </c>
      <c r="F2201">
        <v>6.0858700000000002E-2</v>
      </c>
      <c r="G2201">
        <v>2.2522630000000001</v>
      </c>
      <c r="H2201">
        <v>0.24596689999999999</v>
      </c>
      <c r="Q2201" s="10">
        <f t="shared" si="88"/>
        <v>1.1066853816935392E-3</v>
      </c>
      <c r="AI2201">
        <v>0.16497500000000001</v>
      </c>
      <c r="AJ2201">
        <f t="shared" si="87"/>
        <v>0.16497500000000001</v>
      </c>
      <c r="AO2201">
        <v>0.16497500000000001</v>
      </c>
      <c r="AR2201" s="8">
        <v>0</v>
      </c>
      <c r="AS2201">
        <v>3.2507359999999998</v>
      </c>
    </row>
    <row r="2202" spans="1:45" x14ac:dyDescent="0.25">
      <c r="A2202">
        <v>393</v>
      </c>
      <c r="B2202">
        <v>2002</v>
      </c>
      <c r="C2202" s="8">
        <v>0</v>
      </c>
      <c r="D2202">
        <v>0.21558469999999999</v>
      </c>
      <c r="E2202">
        <v>0.259772</v>
      </c>
      <c r="F2202">
        <v>6.6764799999999999E-2</v>
      </c>
      <c r="G2202">
        <v>1.556797</v>
      </c>
      <c r="H2202">
        <v>0.23643210000000001</v>
      </c>
      <c r="Q2202" s="10">
        <f t="shared" si="88"/>
        <v>3.3338448209329495E-3</v>
      </c>
      <c r="AI2202">
        <v>0.2216418</v>
      </c>
      <c r="AJ2202">
        <f t="shared" si="87"/>
        <v>0.2216418</v>
      </c>
      <c r="AO2202">
        <v>0.2216418</v>
      </c>
      <c r="AR2202" s="8">
        <v>0</v>
      </c>
      <c r="AS2202">
        <v>2.7365620000000002</v>
      </c>
    </row>
    <row r="2203" spans="1:45" x14ac:dyDescent="0.25">
      <c r="A2203">
        <v>393</v>
      </c>
      <c r="B2203">
        <v>2003</v>
      </c>
      <c r="C2203" s="8">
        <v>0</v>
      </c>
      <c r="D2203">
        <v>0.16497500000000001</v>
      </c>
      <c r="E2203">
        <v>0.3445375</v>
      </c>
      <c r="F2203">
        <v>6.9260199999999994E-2</v>
      </c>
      <c r="G2203">
        <v>1.9327289999999999</v>
      </c>
      <c r="H2203">
        <v>0.25491960000000002</v>
      </c>
      <c r="Q2203" s="10">
        <f t="shared" si="88"/>
        <v>1.5747235235937294E-3</v>
      </c>
      <c r="AI2203">
        <v>0.22619890000000001</v>
      </c>
      <c r="AJ2203">
        <f t="shared" si="87"/>
        <v>0.22619890000000001</v>
      </c>
      <c r="AO2203">
        <v>0.22619890000000001</v>
      </c>
      <c r="AR2203" s="8">
        <v>0</v>
      </c>
      <c r="AS2203">
        <v>2.2522630000000001</v>
      </c>
    </row>
    <row r="2204" spans="1:45" x14ac:dyDescent="0.25">
      <c r="A2204">
        <v>393</v>
      </c>
      <c r="B2204">
        <v>2004</v>
      </c>
      <c r="C2204" s="8">
        <v>0</v>
      </c>
      <c r="D2204">
        <v>0.2216418</v>
      </c>
      <c r="E2204">
        <v>0.37656200000000001</v>
      </c>
      <c r="F2204">
        <v>7.6017699999999994E-2</v>
      </c>
      <c r="G2204">
        <v>2.3356650000000001</v>
      </c>
      <c r="H2204">
        <v>0.27850659999999999</v>
      </c>
      <c r="Q2204" s="10">
        <f t="shared" si="88"/>
        <v>7.7898906109096248E-4</v>
      </c>
      <c r="AI2204">
        <v>0.22483429999999999</v>
      </c>
      <c r="AJ2204">
        <f t="shared" si="87"/>
        <v>0.22483429999999999</v>
      </c>
      <c r="AO2204">
        <v>0.22483429999999999</v>
      </c>
      <c r="AR2204" s="8">
        <v>0</v>
      </c>
      <c r="AS2204">
        <v>1.556797</v>
      </c>
    </row>
    <row r="2205" spans="1:45" x14ac:dyDescent="0.25">
      <c r="A2205">
        <v>394</v>
      </c>
      <c r="B2205">
        <v>1995</v>
      </c>
      <c r="C2205" s="8">
        <v>0</v>
      </c>
      <c r="D2205">
        <v>0.22619890000000001</v>
      </c>
      <c r="E2205">
        <v>5.8716299999999999E-2</v>
      </c>
      <c r="F2205">
        <v>4.0563200000000001E-2</v>
      </c>
      <c r="G2205">
        <v>0.62735609999999997</v>
      </c>
      <c r="H2205">
        <v>0.29171609999999998</v>
      </c>
      <c r="Q2205" s="10">
        <f t="shared" si="88"/>
        <v>2.4637210092505791E-2</v>
      </c>
      <c r="AI2205">
        <v>0.17025499999999999</v>
      </c>
      <c r="AJ2205">
        <f t="shared" si="87"/>
        <v>0.17025499999999999</v>
      </c>
      <c r="AO2205">
        <v>0.17025499999999999</v>
      </c>
      <c r="AR2205" s="8">
        <v>0</v>
      </c>
      <c r="AS2205">
        <v>1.9327289999999999</v>
      </c>
    </row>
    <row r="2206" spans="1:45" x14ac:dyDescent="0.25">
      <c r="A2206">
        <v>394</v>
      </c>
      <c r="B2206">
        <v>1996</v>
      </c>
      <c r="C2206" s="8">
        <v>0</v>
      </c>
      <c r="D2206">
        <v>0.22483429999999999</v>
      </c>
      <c r="E2206">
        <v>9.6444699999999994E-2</v>
      </c>
      <c r="F2206">
        <v>4.2298599999999999E-2</v>
      </c>
      <c r="G2206">
        <v>0.59648699999999999</v>
      </c>
      <c r="H2206">
        <v>0.25086619999999998</v>
      </c>
      <c r="Q2206" s="10">
        <f t="shared" si="88"/>
        <v>2.3568829118550714E-2</v>
      </c>
      <c r="AI2206">
        <v>0.1044967</v>
      </c>
      <c r="AJ2206">
        <f t="shared" si="87"/>
        <v>0.1044967</v>
      </c>
      <c r="AO2206">
        <v>0.1044967</v>
      </c>
      <c r="AR2206" s="8">
        <v>0</v>
      </c>
      <c r="AS2206">
        <v>2.3356650000000001</v>
      </c>
    </row>
    <row r="2207" spans="1:45" x14ac:dyDescent="0.25">
      <c r="A2207">
        <v>394</v>
      </c>
      <c r="B2207">
        <v>1997</v>
      </c>
      <c r="C2207" s="8">
        <v>0</v>
      </c>
      <c r="D2207">
        <v>0.17025499999999999</v>
      </c>
      <c r="E2207">
        <v>0.1284111</v>
      </c>
      <c r="F2207">
        <v>5.9865099999999997E-2</v>
      </c>
      <c r="G2207">
        <v>0.96453580000000005</v>
      </c>
      <c r="H2207">
        <v>0.22892879999999999</v>
      </c>
      <c r="Q2207" s="10">
        <f t="shared" si="88"/>
        <v>1.0626643901111539E-2</v>
      </c>
      <c r="AI2207">
        <v>0.25389499999999998</v>
      </c>
      <c r="AJ2207">
        <f t="shared" si="87"/>
        <v>0.25389499999999998</v>
      </c>
      <c r="AO2207">
        <v>0.25389499999999998</v>
      </c>
      <c r="AR2207" s="8">
        <v>0</v>
      </c>
      <c r="AS2207">
        <v>0.62735609999999997</v>
      </c>
    </row>
    <row r="2208" spans="1:45" x14ac:dyDescent="0.25">
      <c r="A2208">
        <v>395</v>
      </c>
      <c r="B2208">
        <v>1995</v>
      </c>
      <c r="C2208" s="8">
        <v>0</v>
      </c>
      <c r="D2208">
        <v>0.1044967</v>
      </c>
      <c r="E2208">
        <v>-0.1436443</v>
      </c>
      <c r="F2208">
        <v>5.7207899999999999E-2</v>
      </c>
      <c r="G2208">
        <v>1.4585030000000001</v>
      </c>
      <c r="H2208">
        <v>0.3598557</v>
      </c>
      <c r="Q2208" s="10">
        <f t="shared" si="88"/>
        <v>7.7662362341862608E-3</v>
      </c>
      <c r="AI2208">
        <v>0.2595459</v>
      </c>
      <c r="AJ2208">
        <f t="shared" si="87"/>
        <v>0.2595459</v>
      </c>
      <c r="AO2208">
        <v>0.2595459</v>
      </c>
      <c r="AR2208" s="8">
        <v>0</v>
      </c>
      <c r="AS2208">
        <v>0.59648699999999999</v>
      </c>
    </row>
    <row r="2209" spans="1:45" x14ac:dyDescent="0.25">
      <c r="A2209">
        <v>396</v>
      </c>
      <c r="B2209">
        <v>1998</v>
      </c>
      <c r="C2209" s="8">
        <v>0</v>
      </c>
      <c r="D2209">
        <v>0.25389499999999998</v>
      </c>
      <c r="E2209">
        <v>0.39157609999999998</v>
      </c>
      <c r="F2209">
        <v>2.98397E-2</v>
      </c>
      <c r="G2209">
        <v>1.136649</v>
      </c>
      <c r="H2209">
        <v>0.2288541</v>
      </c>
      <c r="Q2209" s="10">
        <f t="shared" si="88"/>
        <v>7.2761930022233563E-3</v>
      </c>
      <c r="AI2209">
        <v>0.23789399999999999</v>
      </c>
      <c r="AJ2209">
        <f t="shared" si="87"/>
        <v>0.23789399999999999</v>
      </c>
      <c r="AO2209">
        <v>0.23789399999999999</v>
      </c>
      <c r="AR2209" s="8">
        <v>0</v>
      </c>
      <c r="AS2209">
        <v>0.96453580000000005</v>
      </c>
    </row>
    <row r="2210" spans="1:45" x14ac:dyDescent="0.25">
      <c r="A2210">
        <v>396</v>
      </c>
      <c r="B2210">
        <v>1999</v>
      </c>
      <c r="C2210" s="8">
        <v>0</v>
      </c>
      <c r="D2210">
        <v>0.2595459</v>
      </c>
      <c r="E2210">
        <v>0.37309209999999998</v>
      </c>
      <c r="F2210">
        <v>2.9309600000000002E-2</v>
      </c>
      <c r="G2210">
        <v>1.6096779999999999</v>
      </c>
      <c r="H2210">
        <v>0.23622199999999999</v>
      </c>
      <c r="Q2210" s="10">
        <f t="shared" si="88"/>
        <v>3.5699163361135491E-3</v>
      </c>
      <c r="AI2210">
        <v>0.21378520000000001</v>
      </c>
      <c r="AJ2210">
        <f t="shared" si="87"/>
        <v>0.21378520000000001</v>
      </c>
      <c r="AO2210">
        <v>0.21378520000000001</v>
      </c>
      <c r="AR2210" s="8">
        <v>0</v>
      </c>
      <c r="AS2210">
        <v>1.4585030000000001</v>
      </c>
    </row>
    <row r="2211" spans="1:45" x14ac:dyDescent="0.25">
      <c r="A2211">
        <v>396</v>
      </c>
      <c r="B2211">
        <v>2000</v>
      </c>
      <c r="C2211" s="8">
        <v>0</v>
      </c>
      <c r="D2211">
        <v>0.23789399999999999</v>
      </c>
      <c r="E2211">
        <v>0.39702019999999999</v>
      </c>
      <c r="F2211">
        <v>3.0128800000000001E-2</v>
      </c>
      <c r="G2211">
        <v>1.125548</v>
      </c>
      <c r="H2211">
        <v>0.21248320000000001</v>
      </c>
      <c r="Q2211" s="10">
        <f t="shared" si="88"/>
        <v>7.2092236228970012E-3</v>
      </c>
      <c r="AI2211">
        <v>0.21762119999999999</v>
      </c>
      <c r="AJ2211">
        <f t="shared" si="87"/>
        <v>0.21762119999999999</v>
      </c>
      <c r="AO2211">
        <v>0.21762119999999999</v>
      </c>
      <c r="AR2211" s="8">
        <v>0</v>
      </c>
      <c r="AS2211">
        <v>1.136649</v>
      </c>
    </row>
    <row r="2212" spans="1:45" x14ac:dyDescent="0.25">
      <c r="A2212">
        <v>396</v>
      </c>
      <c r="B2212">
        <v>2001</v>
      </c>
      <c r="C2212" s="8">
        <v>0</v>
      </c>
      <c r="D2212">
        <v>0.21378520000000001</v>
      </c>
      <c r="E2212">
        <v>0.3259804</v>
      </c>
      <c r="F2212">
        <v>3.05332E-2</v>
      </c>
      <c r="G2212">
        <v>0.81435970000000002</v>
      </c>
      <c r="H2212">
        <v>0.2408207</v>
      </c>
      <c r="Q2212" s="10">
        <f t="shared" si="88"/>
        <v>1.3104331594186142E-2</v>
      </c>
      <c r="AI2212">
        <v>0.19988059999999999</v>
      </c>
      <c r="AJ2212">
        <f t="shared" si="87"/>
        <v>0.19988059999999999</v>
      </c>
      <c r="AO2212">
        <v>0.19988059999999999</v>
      </c>
      <c r="AR2212" s="8">
        <v>0</v>
      </c>
      <c r="AS2212">
        <v>1.6096779999999999</v>
      </c>
    </row>
    <row r="2213" spans="1:45" x14ac:dyDescent="0.25">
      <c r="A2213">
        <v>396</v>
      </c>
      <c r="B2213">
        <v>2002</v>
      </c>
      <c r="C2213" s="8">
        <v>0</v>
      </c>
      <c r="D2213">
        <v>0.21762119999999999</v>
      </c>
      <c r="E2213">
        <v>0.25915870000000002</v>
      </c>
      <c r="F2213">
        <v>4.2081300000000002E-2</v>
      </c>
      <c r="G2213">
        <v>0.5695827</v>
      </c>
      <c r="H2213">
        <v>0.27995229999999999</v>
      </c>
      <c r="Q2213" s="10">
        <f t="shared" si="88"/>
        <v>1.982242633018632E-2</v>
      </c>
      <c r="AI2213">
        <v>0.34197539999999998</v>
      </c>
      <c r="AJ2213">
        <f t="shared" si="87"/>
        <v>0.34197539999999998</v>
      </c>
      <c r="AO2213">
        <v>0.34197539999999998</v>
      </c>
      <c r="AR2213" s="8">
        <v>0</v>
      </c>
      <c r="AS2213">
        <v>1.125548</v>
      </c>
    </row>
    <row r="2214" spans="1:45" x14ac:dyDescent="0.25">
      <c r="A2214">
        <v>396</v>
      </c>
      <c r="B2214">
        <v>2003</v>
      </c>
      <c r="C2214" s="8">
        <v>0</v>
      </c>
      <c r="D2214">
        <v>0.19988059999999999</v>
      </c>
      <c r="E2214">
        <v>0.31818869999999999</v>
      </c>
      <c r="F2214">
        <v>4.1529999999999997E-2</v>
      </c>
      <c r="G2214">
        <v>1.0024139999999999</v>
      </c>
      <c r="H2214">
        <v>0.2955354</v>
      </c>
      <c r="Q2214" s="10">
        <f t="shared" si="88"/>
        <v>9.2871532840506834E-3</v>
      </c>
      <c r="AI2214">
        <v>0.31880540000000002</v>
      </c>
      <c r="AJ2214">
        <f t="shared" si="87"/>
        <v>0.31880540000000002</v>
      </c>
      <c r="AO2214">
        <v>0.31880540000000002</v>
      </c>
      <c r="AR2214" s="8">
        <v>0</v>
      </c>
      <c r="AS2214">
        <v>0.81435970000000002</v>
      </c>
    </row>
    <row r="2215" spans="1:45" x14ac:dyDescent="0.25">
      <c r="A2215">
        <v>397</v>
      </c>
      <c r="B2215">
        <v>1995</v>
      </c>
      <c r="C2215" s="8">
        <v>0</v>
      </c>
      <c r="D2215">
        <v>0.34197539999999998</v>
      </c>
      <c r="E2215">
        <v>0.39435579999999998</v>
      </c>
      <c r="F2215">
        <v>0.1137658</v>
      </c>
      <c r="G2215">
        <v>4.7988249999999999</v>
      </c>
      <c r="H2215">
        <v>0.47171770000000002</v>
      </c>
      <c r="Q2215" s="10">
        <f t="shared" si="88"/>
        <v>1.3134814005991081E-5</v>
      </c>
      <c r="AI2215">
        <v>0.36598409999999998</v>
      </c>
      <c r="AJ2215">
        <f t="shared" si="87"/>
        <v>0.36598409999999998</v>
      </c>
      <c r="AO2215">
        <v>0.36598409999999998</v>
      </c>
      <c r="AR2215" s="8">
        <v>0</v>
      </c>
      <c r="AS2215">
        <v>0.5695827</v>
      </c>
    </row>
    <row r="2216" spans="1:45" x14ac:dyDescent="0.25">
      <c r="A2216">
        <v>397</v>
      </c>
      <c r="B2216">
        <v>1996</v>
      </c>
      <c r="C2216" s="8">
        <v>0</v>
      </c>
      <c r="D2216">
        <v>0.31880540000000002</v>
      </c>
      <c r="E2216">
        <v>0.48868519999999999</v>
      </c>
      <c r="F2216">
        <v>8.1032800000000002E-2</v>
      </c>
      <c r="G2216">
        <v>5.2335380000000002</v>
      </c>
      <c r="H2216">
        <v>0.51901430000000004</v>
      </c>
      <c r="Q2216" s="10">
        <f t="shared" si="88"/>
        <v>7.590528195862755E-6</v>
      </c>
      <c r="AI2216">
        <v>0.2056635</v>
      </c>
      <c r="AJ2216">
        <f t="shared" si="87"/>
        <v>0.2056635</v>
      </c>
      <c r="AO2216">
        <v>0.2056635</v>
      </c>
      <c r="AR2216" s="8">
        <v>0</v>
      </c>
      <c r="AS2216">
        <v>1.0024139999999999</v>
      </c>
    </row>
    <row r="2217" spans="1:45" x14ac:dyDescent="0.25">
      <c r="A2217">
        <v>397</v>
      </c>
      <c r="B2217">
        <v>1997</v>
      </c>
      <c r="C2217" s="8">
        <v>0</v>
      </c>
      <c r="D2217">
        <v>0.36598409999999998</v>
      </c>
      <c r="E2217">
        <v>0.36483090000000001</v>
      </c>
      <c r="F2217">
        <v>0.1134617</v>
      </c>
      <c r="G2217">
        <v>5.5065720000000002</v>
      </c>
      <c r="H2217">
        <v>0.456285</v>
      </c>
      <c r="Q2217" s="10">
        <f t="shared" si="88"/>
        <v>4.451142715296789E-6</v>
      </c>
      <c r="AI2217">
        <v>0.16120280000000001</v>
      </c>
      <c r="AJ2217">
        <f t="shared" si="87"/>
        <v>0.16120280000000001</v>
      </c>
      <c r="AO2217">
        <v>0.16120280000000001</v>
      </c>
      <c r="AR2217" s="8">
        <v>0</v>
      </c>
      <c r="AS2217">
        <v>4.7988249999999999</v>
      </c>
    </row>
    <row r="2218" spans="1:45" x14ac:dyDescent="0.25">
      <c r="A2218">
        <v>397</v>
      </c>
      <c r="B2218">
        <v>1998</v>
      </c>
      <c r="C2218" s="8">
        <v>0</v>
      </c>
      <c r="D2218">
        <v>0.2056635</v>
      </c>
      <c r="E2218">
        <v>0.38966909999999999</v>
      </c>
      <c r="F2218">
        <v>7.7913300000000005E-2</v>
      </c>
      <c r="G2218">
        <v>2.7873950000000001</v>
      </c>
      <c r="H2218">
        <v>0.44556970000000001</v>
      </c>
      <c r="Q2218" s="10">
        <f t="shared" si="88"/>
        <v>4.0390840867128808E-4</v>
      </c>
      <c r="AI2218">
        <v>7.4187600000000006E-2</v>
      </c>
      <c r="AJ2218">
        <f t="shared" si="87"/>
        <v>7.4187600000000006E-2</v>
      </c>
      <c r="AO2218">
        <v>7.4187600000000006E-2</v>
      </c>
      <c r="AR2218" s="8">
        <v>0</v>
      </c>
      <c r="AS2218">
        <v>5.2335380000000002</v>
      </c>
    </row>
    <row r="2219" spans="1:45" x14ac:dyDescent="0.25">
      <c r="A2219">
        <v>397</v>
      </c>
      <c r="B2219">
        <v>1999</v>
      </c>
      <c r="C2219" s="8">
        <v>0</v>
      </c>
      <c r="D2219">
        <v>0.16120280000000001</v>
      </c>
      <c r="E2219">
        <v>7.9253000000000004E-2</v>
      </c>
      <c r="F2219">
        <v>6.88222E-2</v>
      </c>
      <c r="G2219">
        <v>1.789841</v>
      </c>
      <c r="H2219">
        <v>0.33014120000000002</v>
      </c>
      <c r="Q2219" s="10">
        <f t="shared" si="88"/>
        <v>3.0483306810253391E-3</v>
      </c>
      <c r="AI2219">
        <v>0.13424720000000001</v>
      </c>
      <c r="AJ2219">
        <f t="shared" si="87"/>
        <v>0.13424720000000001</v>
      </c>
      <c r="AO2219">
        <v>0.13424720000000001</v>
      </c>
      <c r="AR2219" s="8">
        <v>0</v>
      </c>
      <c r="AS2219">
        <v>5.5065720000000002</v>
      </c>
    </row>
    <row r="2220" spans="1:45" x14ac:dyDescent="0.25">
      <c r="A2220">
        <v>397</v>
      </c>
      <c r="B2220">
        <v>2000</v>
      </c>
      <c r="C2220" s="8">
        <v>0</v>
      </c>
      <c r="D2220">
        <v>7.4187600000000006E-2</v>
      </c>
      <c r="E2220">
        <v>-6.5173200000000001E-2</v>
      </c>
      <c r="F2220">
        <v>7.3078599999999994E-2</v>
      </c>
      <c r="G2220">
        <v>2.1632910000000001</v>
      </c>
      <c r="H2220">
        <v>0.40005649999999998</v>
      </c>
      <c r="Q2220" s="10">
        <f t="shared" si="88"/>
        <v>2.0212515781276499E-3</v>
      </c>
      <c r="AI2220">
        <v>0.1937122</v>
      </c>
      <c r="AJ2220">
        <f t="shared" si="87"/>
        <v>0.1937122</v>
      </c>
      <c r="AO2220">
        <v>0.1937122</v>
      </c>
      <c r="AR2220" s="8">
        <v>0</v>
      </c>
      <c r="AS2220">
        <v>2.7873950000000001</v>
      </c>
    </row>
    <row r="2221" spans="1:45" x14ac:dyDescent="0.25">
      <c r="A2221">
        <v>397</v>
      </c>
      <c r="B2221">
        <v>2001</v>
      </c>
      <c r="C2221" s="8">
        <v>0</v>
      </c>
      <c r="D2221">
        <v>0.13424720000000001</v>
      </c>
      <c r="E2221">
        <v>-1.7876699999999999E-2</v>
      </c>
      <c r="F2221">
        <v>7.0797899999999997E-2</v>
      </c>
      <c r="G2221">
        <v>2.67299</v>
      </c>
      <c r="H2221">
        <v>0.38321100000000002</v>
      </c>
      <c r="Q2221" s="10">
        <f t="shared" si="88"/>
        <v>8.6635745249308434E-4</v>
      </c>
      <c r="AI2221">
        <v>0.25334640000000003</v>
      </c>
      <c r="AJ2221">
        <f t="shared" si="87"/>
        <v>0.25334640000000003</v>
      </c>
      <c r="AO2221">
        <v>0.25334640000000003</v>
      </c>
      <c r="AR2221" s="8">
        <v>0</v>
      </c>
      <c r="AS2221">
        <v>1.789841</v>
      </c>
    </row>
    <row r="2222" spans="1:45" x14ac:dyDescent="0.25">
      <c r="A2222">
        <v>397</v>
      </c>
      <c r="B2222">
        <v>2002</v>
      </c>
      <c r="C2222" s="8">
        <v>0</v>
      </c>
      <c r="D2222">
        <v>0.1937122</v>
      </c>
      <c r="E2222">
        <v>3.7728499999999998E-2</v>
      </c>
      <c r="F2222">
        <v>0.1066373</v>
      </c>
      <c r="G2222">
        <v>3.4176190000000002</v>
      </c>
      <c r="H2222">
        <v>0.403974</v>
      </c>
      <c r="Q2222" s="10">
        <f t="shared" si="88"/>
        <v>1.9024528229475083E-4</v>
      </c>
      <c r="AI2222">
        <v>0.2221688</v>
      </c>
      <c r="AJ2222">
        <f t="shared" si="87"/>
        <v>0.2221688</v>
      </c>
      <c r="AO2222">
        <v>0.2221688</v>
      </c>
      <c r="AR2222" s="8">
        <v>0</v>
      </c>
      <c r="AS2222">
        <v>2.1632910000000001</v>
      </c>
    </row>
    <row r="2223" spans="1:45" x14ac:dyDescent="0.25">
      <c r="A2223">
        <v>397</v>
      </c>
      <c r="B2223">
        <v>2003</v>
      </c>
      <c r="C2223" s="8">
        <v>0</v>
      </c>
      <c r="D2223">
        <v>0.25334640000000003</v>
      </c>
      <c r="E2223">
        <v>0.13041359999999999</v>
      </c>
      <c r="F2223">
        <v>0.10592600000000001</v>
      </c>
      <c r="G2223">
        <v>3.648091</v>
      </c>
      <c r="H2223">
        <v>0.42000310000000002</v>
      </c>
      <c r="Q2223" s="10">
        <f t="shared" si="88"/>
        <v>1.1990203292037131E-4</v>
      </c>
      <c r="AI2223">
        <v>0.26120969999999999</v>
      </c>
      <c r="AJ2223">
        <f t="shared" si="87"/>
        <v>0.26120969999999999</v>
      </c>
      <c r="AO2223">
        <v>0.26120969999999999</v>
      </c>
      <c r="AR2223" s="8">
        <v>0</v>
      </c>
      <c r="AS2223">
        <v>2.67299</v>
      </c>
    </row>
    <row r="2224" spans="1:45" x14ac:dyDescent="0.25">
      <c r="A2224">
        <v>397</v>
      </c>
      <c r="B2224">
        <v>2004</v>
      </c>
      <c r="C2224" s="8">
        <v>0</v>
      </c>
      <c r="D2224">
        <v>0.2221688</v>
      </c>
      <c r="E2224">
        <v>0.2072659</v>
      </c>
      <c r="F2224">
        <v>0.1196231</v>
      </c>
      <c r="G2224">
        <v>3.432172</v>
      </c>
      <c r="H2224">
        <v>0.4155491</v>
      </c>
      <c r="Q2224" s="10">
        <f t="shared" si="88"/>
        <v>1.3345441145218902E-4</v>
      </c>
      <c r="AI2224">
        <v>0.21407979999999999</v>
      </c>
      <c r="AJ2224">
        <f t="shared" si="87"/>
        <v>0.21407979999999999</v>
      </c>
      <c r="AO2224">
        <v>0.21407979999999999</v>
      </c>
      <c r="AR2224" s="8">
        <v>0</v>
      </c>
      <c r="AS2224">
        <v>3.4176190000000002</v>
      </c>
    </row>
    <row r="2225" spans="1:45" x14ac:dyDescent="0.25">
      <c r="A2225">
        <v>398</v>
      </c>
      <c r="B2225">
        <v>1998</v>
      </c>
      <c r="C2225" s="8">
        <v>0</v>
      </c>
      <c r="D2225">
        <v>0.26120969999999999</v>
      </c>
      <c r="E2225">
        <v>-0.78619749999999999</v>
      </c>
      <c r="F2225">
        <v>6.8322300000000002E-2</v>
      </c>
      <c r="G2225">
        <v>1.9329890000000001</v>
      </c>
      <c r="H2225">
        <v>0.87272850000000002</v>
      </c>
      <c r="Q2225" s="10">
        <f t="shared" si="88"/>
        <v>1.2393019184938294E-2</v>
      </c>
      <c r="AI2225">
        <v>0.2088844</v>
      </c>
      <c r="AJ2225">
        <f t="shared" si="87"/>
        <v>0.2088844</v>
      </c>
      <c r="AO2225">
        <v>0.2088844</v>
      </c>
      <c r="AR2225" s="8">
        <v>0</v>
      </c>
      <c r="AS2225">
        <v>3.648091</v>
      </c>
    </row>
    <row r="2226" spans="1:45" x14ac:dyDescent="0.25">
      <c r="A2226">
        <v>398</v>
      </c>
      <c r="B2226">
        <v>1999</v>
      </c>
      <c r="C2226" s="8">
        <v>0</v>
      </c>
      <c r="D2226">
        <v>0.21407979999999999</v>
      </c>
      <c r="E2226">
        <v>-0.83389679999999999</v>
      </c>
      <c r="F2226">
        <v>2.6663099999999999E-2</v>
      </c>
      <c r="G2226">
        <v>1.286986</v>
      </c>
      <c r="H2226">
        <v>0.78220959999999995</v>
      </c>
      <c r="Q2226" s="10">
        <f t="shared" si="88"/>
        <v>4.6454161356486078E-2</v>
      </c>
      <c r="AI2226">
        <v>6.4153500000000002E-2</v>
      </c>
      <c r="AJ2226">
        <f t="shared" si="87"/>
        <v>6.4153500000000002E-2</v>
      </c>
      <c r="AO2226">
        <v>6.4153500000000002E-2</v>
      </c>
      <c r="AR2226" s="8">
        <v>0</v>
      </c>
      <c r="AS2226">
        <v>3.432172</v>
      </c>
    </row>
    <row r="2227" spans="1:45" x14ac:dyDescent="0.25">
      <c r="A2227">
        <v>398</v>
      </c>
      <c r="B2227">
        <v>2000</v>
      </c>
      <c r="C2227" s="8">
        <v>0</v>
      </c>
      <c r="D2227">
        <v>0.2088844</v>
      </c>
      <c r="E2227">
        <v>-0.71686709999999998</v>
      </c>
      <c r="F2227">
        <v>3.30301E-2</v>
      </c>
      <c r="G2227">
        <v>0.91646369999999999</v>
      </c>
      <c r="H2227">
        <v>0.74459140000000001</v>
      </c>
      <c r="Q2227" s="10">
        <f t="shared" si="88"/>
        <v>6.429498772986933E-2</v>
      </c>
      <c r="AI2227">
        <v>-3.2030099999999999E-2</v>
      </c>
      <c r="AJ2227">
        <f t="shared" si="87"/>
        <v>-3.2030099999999999E-2</v>
      </c>
      <c r="AO2227">
        <v>-3.2030099999999999E-2</v>
      </c>
      <c r="AR2227" s="8">
        <v>0</v>
      </c>
      <c r="AS2227">
        <v>1.9329890000000001</v>
      </c>
    </row>
    <row r="2228" spans="1:45" x14ac:dyDescent="0.25">
      <c r="A2228">
        <v>398</v>
      </c>
      <c r="B2228">
        <v>2001</v>
      </c>
      <c r="C2228" s="8">
        <v>0</v>
      </c>
      <c r="D2228">
        <v>6.4153500000000002E-2</v>
      </c>
      <c r="E2228">
        <v>-0.50076609999999999</v>
      </c>
      <c r="F2228">
        <v>-9.4511999999999999E-3</v>
      </c>
      <c r="G2228">
        <v>0.87823039999999997</v>
      </c>
      <c r="H2228">
        <v>0.41052650000000002</v>
      </c>
      <c r="Q2228" s="10">
        <f t="shared" si="88"/>
        <v>5.4253980957087784E-2</v>
      </c>
      <c r="AI2228">
        <v>0.11716119999999999</v>
      </c>
      <c r="AJ2228">
        <f t="shared" si="87"/>
        <v>0.11716119999999999</v>
      </c>
      <c r="AO2228">
        <v>0.11716119999999999</v>
      </c>
      <c r="AR2228" s="8">
        <v>0</v>
      </c>
      <c r="AS2228">
        <v>1.286986</v>
      </c>
    </row>
    <row r="2229" spans="1:45" x14ac:dyDescent="0.25">
      <c r="A2229">
        <v>398</v>
      </c>
      <c r="B2229">
        <v>2002</v>
      </c>
      <c r="C2229" s="8">
        <v>0</v>
      </c>
      <c r="D2229">
        <v>-3.2030099999999999E-2</v>
      </c>
      <c r="E2229">
        <v>-0.70974369999999998</v>
      </c>
      <c r="F2229">
        <v>1.52912E-2</v>
      </c>
      <c r="G2229">
        <v>0.71197100000000002</v>
      </c>
      <c r="H2229">
        <v>0.47030309999999997</v>
      </c>
      <c r="Q2229" s="10">
        <f t="shared" si="88"/>
        <v>7.6546717816903004E-2</v>
      </c>
      <c r="AI2229">
        <v>9.8568600000000006E-2</v>
      </c>
      <c r="AJ2229">
        <f t="shared" si="87"/>
        <v>9.8568600000000006E-2</v>
      </c>
      <c r="AO2229">
        <v>9.8568600000000006E-2</v>
      </c>
      <c r="AR2229" s="8">
        <v>0</v>
      </c>
      <c r="AS2229">
        <v>0.91646369999999999</v>
      </c>
    </row>
    <row r="2230" spans="1:45" x14ac:dyDescent="0.25">
      <c r="A2230">
        <v>398</v>
      </c>
      <c r="B2230">
        <v>2003</v>
      </c>
      <c r="C2230" s="8">
        <v>0</v>
      </c>
      <c r="D2230">
        <v>0.11716119999999999</v>
      </c>
      <c r="E2230">
        <v>-0.60893059999999999</v>
      </c>
      <c r="F2230">
        <v>4.05931E-2</v>
      </c>
      <c r="G2230">
        <v>1.542961</v>
      </c>
      <c r="H2230">
        <v>0.49509740000000002</v>
      </c>
      <c r="Q2230" s="10">
        <f t="shared" si="88"/>
        <v>1.652421699124584E-2</v>
      </c>
      <c r="AI2230">
        <v>0.3841753</v>
      </c>
      <c r="AJ2230">
        <f t="shared" si="87"/>
        <v>0.3841753</v>
      </c>
      <c r="AO2230">
        <v>0.3841753</v>
      </c>
      <c r="AR2230" s="8">
        <v>0</v>
      </c>
      <c r="AS2230">
        <v>0.87823039999999997</v>
      </c>
    </row>
    <row r="2231" spans="1:45" x14ac:dyDescent="0.25">
      <c r="A2231">
        <v>398</v>
      </c>
      <c r="B2231">
        <v>2004</v>
      </c>
      <c r="C2231" s="8">
        <v>0</v>
      </c>
      <c r="D2231">
        <v>9.8568600000000006E-2</v>
      </c>
      <c r="E2231">
        <v>-0.82120599999999999</v>
      </c>
      <c r="F2231">
        <v>1.6519699999999998E-2</v>
      </c>
      <c r="G2231">
        <v>0.89013640000000005</v>
      </c>
      <c r="H2231">
        <v>0.51791869999999995</v>
      </c>
      <c r="Q2231" s="10">
        <f t="shared" si="88"/>
        <v>7.321827896255631E-2</v>
      </c>
      <c r="AI2231">
        <v>0.33784229999999998</v>
      </c>
      <c r="AJ2231">
        <f t="shared" si="87"/>
        <v>0.33784229999999998</v>
      </c>
      <c r="AO2231">
        <v>0.33784229999999998</v>
      </c>
      <c r="AR2231" s="8">
        <v>0</v>
      </c>
      <c r="AS2231">
        <v>0.71197100000000002</v>
      </c>
    </row>
    <row r="2232" spans="1:45" x14ac:dyDescent="0.25">
      <c r="A2232">
        <v>399</v>
      </c>
      <c r="B2232">
        <v>1995</v>
      </c>
      <c r="C2232" s="8">
        <v>0</v>
      </c>
      <c r="D2232">
        <v>0.3841753</v>
      </c>
      <c r="E2232">
        <v>0.47218100000000002</v>
      </c>
      <c r="F2232">
        <v>0.104009</v>
      </c>
      <c r="G2232">
        <v>2.0451899999999998</v>
      </c>
      <c r="H2232">
        <v>0.39769169999999998</v>
      </c>
      <c r="Q2232" s="10">
        <f t="shared" si="88"/>
        <v>9.9124543460295624E-4</v>
      </c>
      <c r="AI2232">
        <v>0.32139610000000002</v>
      </c>
      <c r="AJ2232">
        <f t="shared" si="87"/>
        <v>0.32139610000000002</v>
      </c>
      <c r="AO2232">
        <v>0.32139610000000002</v>
      </c>
      <c r="AR2232" s="8">
        <v>0</v>
      </c>
      <c r="AS2232">
        <v>1.542961</v>
      </c>
    </row>
    <row r="2233" spans="1:45" x14ac:dyDescent="0.25">
      <c r="A2233">
        <v>399</v>
      </c>
      <c r="B2233">
        <v>1996</v>
      </c>
      <c r="C2233" s="8">
        <v>0</v>
      </c>
      <c r="D2233">
        <v>0.33784229999999998</v>
      </c>
      <c r="E2233">
        <v>0.3903277</v>
      </c>
      <c r="F2233">
        <v>0.10972609999999999</v>
      </c>
      <c r="G2233">
        <v>1.6796949999999999</v>
      </c>
      <c r="H2233">
        <v>0.4464514</v>
      </c>
      <c r="Q2233" s="10">
        <f t="shared" si="88"/>
        <v>1.9290365536287291E-3</v>
      </c>
      <c r="AI2233">
        <v>0.30431409999999998</v>
      </c>
      <c r="AJ2233">
        <f t="shared" si="87"/>
        <v>0.30431409999999998</v>
      </c>
      <c r="AO2233">
        <v>0.30431409999999998</v>
      </c>
      <c r="AR2233" s="8">
        <v>0</v>
      </c>
      <c r="AS2233">
        <v>0.89013640000000005</v>
      </c>
    </row>
    <row r="2234" spans="1:45" x14ac:dyDescent="0.25">
      <c r="A2234">
        <v>399</v>
      </c>
      <c r="B2234">
        <v>1997</v>
      </c>
      <c r="C2234" s="8">
        <v>0</v>
      </c>
      <c r="D2234">
        <v>0.32139610000000002</v>
      </c>
      <c r="E2234">
        <v>0.39719680000000002</v>
      </c>
      <c r="F2234">
        <v>0.1025842</v>
      </c>
      <c r="G2234">
        <v>2.024432</v>
      </c>
      <c r="H2234">
        <v>0.4657114</v>
      </c>
      <c r="Q2234" s="10">
        <f t="shared" si="88"/>
        <v>1.1742938583429274E-3</v>
      </c>
      <c r="AI2234">
        <v>0.28211730000000002</v>
      </c>
      <c r="AJ2234">
        <f t="shared" si="87"/>
        <v>0.28211730000000002</v>
      </c>
      <c r="AO2234">
        <v>0.28211730000000002</v>
      </c>
      <c r="AR2234" s="8">
        <v>0</v>
      </c>
      <c r="AS2234">
        <v>2.0451899999999998</v>
      </c>
    </row>
    <row r="2235" spans="1:45" x14ac:dyDescent="0.25">
      <c r="A2235">
        <v>399</v>
      </c>
      <c r="B2235">
        <v>1998</v>
      </c>
      <c r="C2235" s="8">
        <v>0</v>
      </c>
      <c r="D2235">
        <v>0.30431409999999998</v>
      </c>
      <c r="E2235">
        <v>0.39310109999999998</v>
      </c>
      <c r="F2235">
        <v>0.1222293</v>
      </c>
      <c r="G2235">
        <v>2.0594510000000001</v>
      </c>
      <c r="H2235">
        <v>0.45703090000000002</v>
      </c>
      <c r="Q2235" s="10">
        <f t="shared" si="88"/>
        <v>9.4312832211683494E-4</v>
      </c>
      <c r="AI2235">
        <v>0.28819830000000002</v>
      </c>
      <c r="AJ2235">
        <f t="shared" si="87"/>
        <v>0.28819830000000002</v>
      </c>
      <c r="AO2235">
        <v>0.28819830000000002</v>
      </c>
      <c r="AR2235" s="8">
        <v>0</v>
      </c>
      <c r="AS2235">
        <v>1.6796949999999999</v>
      </c>
    </row>
    <row r="2236" spans="1:45" x14ac:dyDescent="0.25">
      <c r="A2236">
        <v>399</v>
      </c>
      <c r="B2236">
        <v>1999</v>
      </c>
      <c r="C2236" s="8">
        <v>0</v>
      </c>
      <c r="D2236">
        <v>0.28211730000000002</v>
      </c>
      <c r="E2236">
        <v>0.381602</v>
      </c>
      <c r="F2236">
        <v>0.10931399999999999</v>
      </c>
      <c r="G2236">
        <v>1.5403</v>
      </c>
      <c r="H2236">
        <v>0.45566329999999999</v>
      </c>
      <c r="Q2236" s="10">
        <f t="shared" si="88"/>
        <v>2.404360219222725E-3</v>
      </c>
      <c r="AI2236">
        <v>0.2328141</v>
      </c>
      <c r="AJ2236">
        <f t="shared" si="87"/>
        <v>0.2328141</v>
      </c>
      <c r="AO2236">
        <v>0.2328141</v>
      </c>
      <c r="AR2236" s="8">
        <v>0</v>
      </c>
      <c r="AS2236">
        <v>2.024432</v>
      </c>
    </row>
    <row r="2237" spans="1:45" x14ac:dyDescent="0.25">
      <c r="A2237">
        <v>399</v>
      </c>
      <c r="B2237">
        <v>2000</v>
      </c>
      <c r="C2237" s="8">
        <v>0</v>
      </c>
      <c r="D2237">
        <v>0.28819830000000002</v>
      </c>
      <c r="E2237">
        <v>0.34287339999999999</v>
      </c>
      <c r="F2237">
        <v>0.1169905</v>
      </c>
      <c r="G2237">
        <v>1.5333559999999999</v>
      </c>
      <c r="H2237">
        <v>0.45775579999999999</v>
      </c>
      <c r="Q2237" s="10">
        <f t="shared" si="88"/>
        <v>2.427957117588868E-3</v>
      </c>
      <c r="AI2237">
        <v>0.1892807</v>
      </c>
      <c r="AJ2237">
        <f t="shared" si="87"/>
        <v>0.1892807</v>
      </c>
      <c r="AO2237">
        <v>0.1892807</v>
      </c>
      <c r="AR2237" s="8">
        <v>0</v>
      </c>
      <c r="AS2237">
        <v>2.0594510000000001</v>
      </c>
    </row>
    <row r="2238" spans="1:45" x14ac:dyDescent="0.25">
      <c r="A2238">
        <v>399</v>
      </c>
      <c r="B2238">
        <v>2001</v>
      </c>
      <c r="C2238" s="8">
        <v>0</v>
      </c>
      <c r="D2238">
        <v>0.2328141</v>
      </c>
      <c r="E2238">
        <v>0.34635749999999998</v>
      </c>
      <c r="F2238">
        <v>8.7161799999999998E-2</v>
      </c>
      <c r="G2238">
        <v>1.3890199999999999</v>
      </c>
      <c r="H2238">
        <v>0.4116669</v>
      </c>
      <c r="Q2238" s="10">
        <f t="shared" si="88"/>
        <v>3.6614105270375945E-3</v>
      </c>
      <c r="AI2238">
        <v>0.2251541</v>
      </c>
      <c r="AJ2238">
        <f t="shared" si="87"/>
        <v>0.2251541</v>
      </c>
      <c r="AO2238">
        <v>0.2251541</v>
      </c>
      <c r="AR2238" s="8">
        <v>0</v>
      </c>
      <c r="AS2238">
        <v>1.5403</v>
      </c>
    </row>
    <row r="2239" spans="1:45" x14ac:dyDescent="0.25">
      <c r="A2239">
        <v>399</v>
      </c>
      <c r="B2239">
        <v>2002</v>
      </c>
      <c r="C2239" s="8">
        <v>0</v>
      </c>
      <c r="D2239">
        <v>0.1892807</v>
      </c>
      <c r="E2239">
        <v>0.36727159999999998</v>
      </c>
      <c r="F2239">
        <v>8.1100900000000004E-2</v>
      </c>
      <c r="G2239">
        <v>0.78087200000000001</v>
      </c>
      <c r="H2239">
        <v>0.41996990000000001</v>
      </c>
      <c r="Q2239" s="10">
        <f t="shared" si="88"/>
        <v>9.6421709935477461E-3</v>
      </c>
      <c r="AI2239">
        <v>0.16673859999999999</v>
      </c>
      <c r="AJ2239">
        <f t="shared" si="87"/>
        <v>0.16673859999999999</v>
      </c>
      <c r="AO2239">
        <v>0.16673859999999999</v>
      </c>
      <c r="AR2239" s="8">
        <v>0</v>
      </c>
      <c r="AS2239">
        <v>1.5333559999999999</v>
      </c>
    </row>
    <row r="2240" spans="1:45" x14ac:dyDescent="0.25">
      <c r="A2240">
        <v>399</v>
      </c>
      <c r="B2240">
        <v>2003</v>
      </c>
      <c r="C2240" s="8">
        <v>0</v>
      </c>
      <c r="D2240">
        <v>0.2251541</v>
      </c>
      <c r="E2240">
        <v>0.35467660000000001</v>
      </c>
      <c r="F2240">
        <v>8.1989800000000002E-2</v>
      </c>
      <c r="G2240">
        <v>1.2470870000000001</v>
      </c>
      <c r="H2240">
        <v>0.40357100000000001</v>
      </c>
      <c r="Q2240" s="10">
        <f t="shared" si="88"/>
        <v>4.6837029716664752E-3</v>
      </c>
      <c r="AI2240">
        <v>0.28634579999999998</v>
      </c>
      <c r="AJ2240">
        <f t="shared" si="87"/>
        <v>0.28634579999999998</v>
      </c>
      <c r="AO2240">
        <v>0.28634579999999998</v>
      </c>
      <c r="AR2240" s="8">
        <v>0</v>
      </c>
      <c r="AS2240">
        <v>1.3890199999999999</v>
      </c>
    </row>
    <row r="2241" spans="1:45" x14ac:dyDescent="0.25">
      <c r="A2241">
        <v>399</v>
      </c>
      <c r="B2241">
        <v>2004</v>
      </c>
      <c r="C2241" s="8">
        <v>0</v>
      </c>
      <c r="D2241">
        <v>0.16673859999999999</v>
      </c>
      <c r="E2241">
        <v>0.30414570000000002</v>
      </c>
      <c r="F2241">
        <v>6.1742699999999998E-2</v>
      </c>
      <c r="G2241">
        <v>0.97552349999999999</v>
      </c>
      <c r="H2241">
        <v>0.34732039999999997</v>
      </c>
      <c r="Q2241" s="10">
        <f t="shared" si="88"/>
        <v>8.5787994052154599E-3</v>
      </c>
      <c r="AI2241">
        <v>0.16809299999999999</v>
      </c>
      <c r="AJ2241">
        <f t="shared" si="87"/>
        <v>0.16809299999999999</v>
      </c>
      <c r="AO2241">
        <v>0.16809299999999999</v>
      </c>
      <c r="AR2241" s="8">
        <v>0</v>
      </c>
      <c r="AS2241">
        <v>0.78087200000000001</v>
      </c>
    </row>
    <row r="2242" spans="1:45" x14ac:dyDescent="0.25">
      <c r="A2242">
        <v>400</v>
      </c>
      <c r="B2242">
        <v>1995</v>
      </c>
      <c r="C2242" s="8">
        <v>0</v>
      </c>
      <c r="D2242">
        <v>0.28634579999999998</v>
      </c>
      <c r="E2242">
        <v>0.18842800000000001</v>
      </c>
      <c r="F2242">
        <v>6.5474900000000003E-2</v>
      </c>
      <c r="G2242">
        <v>1.4623550000000001</v>
      </c>
      <c r="H2242">
        <v>0.34873090000000001</v>
      </c>
      <c r="Q2242" s="10">
        <f t="shared" si="88"/>
        <v>4.7881244038383876E-3</v>
      </c>
      <c r="AI2242">
        <v>0.18653169999999999</v>
      </c>
      <c r="AJ2242">
        <f t="shared" si="87"/>
        <v>0.18653169999999999</v>
      </c>
      <c r="AO2242">
        <v>0.18653169999999999</v>
      </c>
      <c r="AR2242" s="8">
        <v>0</v>
      </c>
      <c r="AS2242">
        <v>1.2470870000000001</v>
      </c>
    </row>
    <row r="2243" spans="1:45" x14ac:dyDescent="0.25">
      <c r="A2243">
        <v>400</v>
      </c>
      <c r="B2243">
        <v>1996</v>
      </c>
      <c r="C2243" s="8">
        <v>0</v>
      </c>
      <c r="D2243">
        <v>0.16809299999999999</v>
      </c>
      <c r="E2243">
        <v>0.2090658</v>
      </c>
      <c r="F2243">
        <v>6.0290900000000001E-2</v>
      </c>
      <c r="G2243">
        <v>1.1329050000000001</v>
      </c>
      <c r="H2243">
        <v>0.35489739999999997</v>
      </c>
      <c r="Q2243" s="10">
        <f t="shared" si="88"/>
        <v>7.8020997262845141E-3</v>
      </c>
      <c r="AI2243">
        <v>0.1052698</v>
      </c>
      <c r="AJ2243">
        <f t="shared" si="87"/>
        <v>0.1052698</v>
      </c>
      <c r="AO2243">
        <v>0.1052698</v>
      </c>
      <c r="AR2243" s="8">
        <v>0</v>
      </c>
      <c r="AS2243">
        <v>0.97552349999999999</v>
      </c>
    </row>
    <row r="2244" spans="1:45" x14ac:dyDescent="0.25">
      <c r="A2244">
        <v>400</v>
      </c>
      <c r="B2244">
        <v>1997</v>
      </c>
      <c r="C2244" s="8">
        <v>0</v>
      </c>
      <c r="D2244">
        <v>0.18653169999999999</v>
      </c>
      <c r="E2244">
        <v>0.2568764</v>
      </c>
      <c r="F2244">
        <v>8.3080200000000007E-2</v>
      </c>
      <c r="G2244">
        <v>1.8925639999999999</v>
      </c>
      <c r="H2244">
        <v>0.40532109999999999</v>
      </c>
      <c r="Q2244" s="10">
        <f t="shared" si="88"/>
        <v>1.8904673710494681E-3</v>
      </c>
      <c r="AI2244">
        <v>8.9922600000000005E-2</v>
      </c>
      <c r="AJ2244">
        <f t="shared" si="87"/>
        <v>8.9922600000000005E-2</v>
      </c>
      <c r="AO2244">
        <v>8.9922600000000005E-2</v>
      </c>
      <c r="AR2244" s="8">
        <v>0</v>
      </c>
      <c r="AS2244">
        <v>1.4623550000000001</v>
      </c>
    </row>
    <row r="2245" spans="1:45" x14ac:dyDescent="0.25">
      <c r="A2245">
        <v>400</v>
      </c>
      <c r="B2245">
        <v>1998</v>
      </c>
      <c r="C2245" s="8">
        <v>0</v>
      </c>
      <c r="D2245">
        <v>0.1052698</v>
      </c>
      <c r="E2245">
        <v>0.31745180000000001</v>
      </c>
      <c r="F2245">
        <v>7.5193099999999999E-2</v>
      </c>
      <c r="G2245">
        <v>2.7301449999999998</v>
      </c>
      <c r="H2245">
        <v>0.39950350000000001</v>
      </c>
      <c r="Q2245" s="10">
        <f t="shared" si="88"/>
        <v>4.6823523294547829E-4</v>
      </c>
      <c r="AI2245">
        <v>7.4591699999999997E-2</v>
      </c>
      <c r="AJ2245">
        <f t="shared" ref="AJ2245:AJ2308" si="89">MAX(MIN(AI2245,AM$5),AM$4)</f>
        <v>7.4591699999999997E-2</v>
      </c>
      <c r="AO2245">
        <v>7.4591699999999997E-2</v>
      </c>
      <c r="AR2245" s="8">
        <v>0</v>
      </c>
      <c r="AS2245">
        <v>1.1329050000000001</v>
      </c>
    </row>
    <row r="2246" spans="1:45" x14ac:dyDescent="0.25">
      <c r="A2246">
        <v>400</v>
      </c>
      <c r="B2246">
        <v>1999</v>
      </c>
      <c r="C2246" s="8">
        <v>0</v>
      </c>
      <c r="D2246">
        <v>8.9922600000000005E-2</v>
      </c>
      <c r="E2246">
        <v>0.41250819999999999</v>
      </c>
      <c r="F2246">
        <v>7.9869800000000005E-2</v>
      </c>
      <c r="G2246">
        <v>1.8614599999999999</v>
      </c>
      <c r="H2246">
        <v>0.42321340000000002</v>
      </c>
      <c r="Q2246" s="10">
        <f t="shared" si="88"/>
        <v>1.5795579146477604E-3</v>
      </c>
      <c r="AI2246">
        <v>0.1232636</v>
      </c>
      <c r="AJ2246">
        <f t="shared" si="89"/>
        <v>0.1232636</v>
      </c>
      <c r="AO2246">
        <v>0.1232636</v>
      </c>
      <c r="AR2246" s="8">
        <v>0</v>
      </c>
      <c r="AS2246">
        <v>1.8925639999999999</v>
      </c>
    </row>
    <row r="2247" spans="1:45" x14ac:dyDescent="0.25">
      <c r="A2247">
        <v>400</v>
      </c>
      <c r="B2247">
        <v>2000</v>
      </c>
      <c r="C2247" s="8">
        <v>0</v>
      </c>
      <c r="D2247">
        <v>7.4591699999999997E-2</v>
      </c>
      <c r="E2247">
        <v>0.45812570000000002</v>
      </c>
      <c r="F2247">
        <v>5.7926800000000001E-2</v>
      </c>
      <c r="G2247">
        <v>1.0540160000000001</v>
      </c>
      <c r="H2247">
        <v>0.3793164</v>
      </c>
      <c r="Q2247" s="10">
        <f t="shared" ref="Q2247:Q2310" si="90">1/(1+EXP(-(J$6+SUMPRODUCT(K$6:O$6,D2247:H2247))))</f>
        <v>6.1407194144109094E-3</v>
      </c>
      <c r="AI2247">
        <v>7.9139000000000001E-2</v>
      </c>
      <c r="AJ2247">
        <f t="shared" si="89"/>
        <v>7.9139000000000001E-2</v>
      </c>
      <c r="AO2247">
        <v>7.9139000000000001E-2</v>
      </c>
      <c r="AR2247" s="8">
        <v>0</v>
      </c>
      <c r="AS2247">
        <v>2.7301449999999998</v>
      </c>
    </row>
    <row r="2248" spans="1:45" x14ac:dyDescent="0.25">
      <c r="A2248">
        <v>400</v>
      </c>
      <c r="B2248">
        <v>2001</v>
      </c>
      <c r="C2248" s="8">
        <v>0</v>
      </c>
      <c r="D2248">
        <v>0.1232636</v>
      </c>
      <c r="E2248">
        <v>0.3390417</v>
      </c>
      <c r="F2248">
        <v>4.2733599999999997E-2</v>
      </c>
      <c r="G2248">
        <v>0.78829249999999995</v>
      </c>
      <c r="H2248">
        <v>0.37715539999999997</v>
      </c>
      <c r="Q2248" s="10">
        <f t="shared" si="90"/>
        <v>1.2746296964029126E-2</v>
      </c>
      <c r="AI2248">
        <v>0.1297403</v>
      </c>
      <c r="AJ2248">
        <f t="shared" si="89"/>
        <v>0.1297403</v>
      </c>
      <c r="AO2248">
        <v>0.1297403</v>
      </c>
      <c r="AR2248" s="8">
        <v>0</v>
      </c>
      <c r="AS2248">
        <v>1.8614599999999999</v>
      </c>
    </row>
    <row r="2249" spans="1:45" x14ac:dyDescent="0.25">
      <c r="A2249">
        <v>400</v>
      </c>
      <c r="B2249">
        <v>2002</v>
      </c>
      <c r="C2249" s="8">
        <v>0</v>
      </c>
      <c r="D2249">
        <v>7.9139000000000001E-2</v>
      </c>
      <c r="E2249">
        <v>0.32994269999999998</v>
      </c>
      <c r="F2249">
        <v>6.7829200000000006E-2</v>
      </c>
      <c r="G2249">
        <v>0.75811039999999996</v>
      </c>
      <c r="H2249">
        <v>0.3932406</v>
      </c>
      <c r="Q2249" s="10">
        <f t="shared" si="90"/>
        <v>1.1015057120896911E-2</v>
      </c>
      <c r="AI2249">
        <v>0.1960278</v>
      </c>
      <c r="AJ2249">
        <f t="shared" si="89"/>
        <v>0.1960278</v>
      </c>
      <c r="AO2249">
        <v>0.1960278</v>
      </c>
      <c r="AR2249" s="8">
        <v>0</v>
      </c>
      <c r="AS2249">
        <v>1.0540160000000001</v>
      </c>
    </row>
    <row r="2250" spans="1:45" x14ac:dyDescent="0.25">
      <c r="A2250">
        <v>400</v>
      </c>
      <c r="B2250">
        <v>2003</v>
      </c>
      <c r="C2250" s="8">
        <v>0</v>
      </c>
      <c r="D2250">
        <v>0.1297403</v>
      </c>
      <c r="E2250">
        <v>0.33747270000000001</v>
      </c>
      <c r="F2250">
        <v>5.1472299999999999E-2</v>
      </c>
      <c r="G2250">
        <v>0.76251360000000001</v>
      </c>
      <c r="H2250">
        <v>0.435525</v>
      </c>
      <c r="Q2250" s="10">
        <f t="shared" si="90"/>
        <v>1.2902236547328159E-2</v>
      </c>
      <c r="AI2250">
        <v>2.4473200000000001E-2</v>
      </c>
      <c r="AJ2250">
        <f t="shared" si="89"/>
        <v>2.4473200000000001E-2</v>
      </c>
      <c r="AO2250">
        <v>2.4473200000000001E-2</v>
      </c>
      <c r="AR2250" s="8">
        <v>0</v>
      </c>
      <c r="AS2250">
        <v>0.78829249999999995</v>
      </c>
    </row>
    <row r="2251" spans="1:45" x14ac:dyDescent="0.25">
      <c r="A2251">
        <v>400</v>
      </c>
      <c r="B2251">
        <v>2004</v>
      </c>
      <c r="C2251" s="8">
        <v>0</v>
      </c>
      <c r="D2251">
        <v>0.1960278</v>
      </c>
      <c r="E2251">
        <v>0.285603</v>
      </c>
      <c r="F2251">
        <v>4.6267799999999998E-2</v>
      </c>
      <c r="G2251">
        <v>0.56165010000000004</v>
      </c>
      <c r="H2251">
        <v>0.40917740000000002</v>
      </c>
      <c r="Q2251" s="10">
        <f t="shared" si="90"/>
        <v>2.0053745395921377E-2</v>
      </c>
      <c r="AI2251">
        <v>6.2737500000000002E-2</v>
      </c>
      <c r="AJ2251">
        <f t="shared" si="89"/>
        <v>6.2737500000000002E-2</v>
      </c>
      <c r="AO2251">
        <v>6.2737500000000002E-2</v>
      </c>
      <c r="AR2251" s="8">
        <v>0</v>
      </c>
      <c r="AS2251">
        <v>0.75811039999999996</v>
      </c>
    </row>
    <row r="2252" spans="1:45" x14ac:dyDescent="0.25">
      <c r="A2252">
        <v>401</v>
      </c>
      <c r="B2252">
        <v>1995</v>
      </c>
      <c r="C2252" s="8">
        <v>0</v>
      </c>
      <c r="D2252">
        <v>2.4473200000000001E-2</v>
      </c>
      <c r="E2252">
        <v>0.26054719999999998</v>
      </c>
      <c r="F2252">
        <v>8.3692799999999998E-2</v>
      </c>
      <c r="G2252">
        <v>1.7801940000000001</v>
      </c>
      <c r="H2252">
        <v>0.34647159999999999</v>
      </c>
      <c r="Q2252" s="10">
        <f t="shared" si="90"/>
        <v>2.0175923728572949E-3</v>
      </c>
      <c r="AI2252">
        <v>3.5118700000000003E-2</v>
      </c>
      <c r="AJ2252">
        <f t="shared" si="89"/>
        <v>3.5118700000000003E-2</v>
      </c>
      <c r="AO2252">
        <v>3.5118700000000003E-2</v>
      </c>
      <c r="AR2252" s="8">
        <v>0</v>
      </c>
      <c r="AS2252">
        <v>0.76251360000000001</v>
      </c>
    </row>
    <row r="2253" spans="1:45" x14ac:dyDescent="0.25">
      <c r="A2253">
        <v>401</v>
      </c>
      <c r="B2253">
        <v>1996</v>
      </c>
      <c r="C2253" s="8">
        <v>0</v>
      </c>
      <c r="D2253">
        <v>6.2737500000000002E-2</v>
      </c>
      <c r="E2253">
        <v>0.25331039999999999</v>
      </c>
      <c r="F2253">
        <v>8.5850200000000002E-2</v>
      </c>
      <c r="G2253">
        <v>2.2326739999999998</v>
      </c>
      <c r="H2253">
        <v>0.44005040000000001</v>
      </c>
      <c r="Q2253" s="10">
        <f t="shared" si="90"/>
        <v>1.0501351317240594E-3</v>
      </c>
      <c r="AI2253">
        <v>2.1710199999999999E-2</v>
      </c>
      <c r="AJ2253">
        <f t="shared" si="89"/>
        <v>2.1710199999999999E-2</v>
      </c>
      <c r="AO2253">
        <v>2.1710199999999999E-2</v>
      </c>
      <c r="AR2253" s="8">
        <v>0</v>
      </c>
      <c r="AS2253">
        <v>0.56165010000000004</v>
      </c>
    </row>
    <row r="2254" spans="1:45" x14ac:dyDescent="0.25">
      <c r="A2254">
        <v>401</v>
      </c>
      <c r="B2254">
        <v>1997</v>
      </c>
      <c r="C2254" s="8">
        <v>0</v>
      </c>
      <c r="D2254">
        <v>3.5118700000000003E-2</v>
      </c>
      <c r="E2254">
        <v>0.2219267</v>
      </c>
      <c r="F2254">
        <v>9.4473299999999996E-2</v>
      </c>
      <c r="G2254">
        <v>2.2932410000000001</v>
      </c>
      <c r="H2254">
        <v>0.46599190000000001</v>
      </c>
      <c r="Q2254" s="10">
        <f t="shared" si="90"/>
        <v>9.3594479166755472E-4</v>
      </c>
      <c r="AI2254">
        <v>5.6727899999999998E-2</v>
      </c>
      <c r="AJ2254">
        <f t="shared" si="89"/>
        <v>5.6727899999999998E-2</v>
      </c>
      <c r="AO2254">
        <v>5.6727899999999998E-2</v>
      </c>
      <c r="AR2254" s="8">
        <v>0</v>
      </c>
      <c r="AS2254">
        <v>1.7801940000000001</v>
      </c>
    </row>
    <row r="2255" spans="1:45" x14ac:dyDescent="0.25">
      <c r="A2255">
        <v>401</v>
      </c>
      <c r="B2255">
        <v>1998</v>
      </c>
      <c r="C2255" s="8">
        <v>0</v>
      </c>
      <c r="D2255">
        <v>2.1710199999999999E-2</v>
      </c>
      <c r="E2255">
        <v>0.2081616</v>
      </c>
      <c r="F2255">
        <v>0.1041839</v>
      </c>
      <c r="G2255">
        <v>2.8107760000000002</v>
      </c>
      <c r="H2255">
        <v>0.50998889999999997</v>
      </c>
      <c r="Q2255" s="10">
        <f t="shared" si="90"/>
        <v>3.9599617198564195E-4</v>
      </c>
      <c r="AI2255">
        <v>-0.21470549999999999</v>
      </c>
      <c r="AJ2255">
        <f t="shared" si="89"/>
        <v>-0.113345184</v>
      </c>
      <c r="AO2255">
        <v>-0.113345184</v>
      </c>
      <c r="AR2255" s="8">
        <v>0</v>
      </c>
      <c r="AS2255">
        <v>2.2326739999999998</v>
      </c>
    </row>
    <row r="2256" spans="1:45" x14ac:dyDescent="0.25">
      <c r="A2256">
        <v>401</v>
      </c>
      <c r="B2256">
        <v>1999</v>
      </c>
      <c r="C2256" s="8">
        <v>0</v>
      </c>
      <c r="D2256">
        <v>5.6727899999999998E-2</v>
      </c>
      <c r="E2256">
        <v>0.2144703</v>
      </c>
      <c r="F2256">
        <v>0.11003250000000001</v>
      </c>
      <c r="G2256">
        <v>2.845399</v>
      </c>
      <c r="H2256">
        <v>0.53465410000000002</v>
      </c>
      <c r="Q2256" s="10">
        <f t="shared" si="90"/>
        <v>3.6507428422902731E-4</v>
      </c>
      <c r="AI2256">
        <v>-1.9768399999999998E-2</v>
      </c>
      <c r="AJ2256">
        <f t="shared" si="89"/>
        <v>-1.9768399999999998E-2</v>
      </c>
      <c r="AO2256">
        <v>-1.9768399999999998E-2</v>
      </c>
      <c r="AR2256" s="8">
        <v>0</v>
      </c>
      <c r="AS2256">
        <v>2.2932410000000001</v>
      </c>
    </row>
    <row r="2257" spans="1:45" x14ac:dyDescent="0.25">
      <c r="A2257">
        <v>401</v>
      </c>
      <c r="B2257">
        <v>2000</v>
      </c>
      <c r="C2257" s="8">
        <v>0</v>
      </c>
      <c r="D2257">
        <v>-0.21470549999999999</v>
      </c>
      <c r="E2257">
        <v>0.138069</v>
      </c>
      <c r="F2257">
        <v>9.3712799999999999E-2</v>
      </c>
      <c r="G2257">
        <v>1.98753</v>
      </c>
      <c r="H2257">
        <v>0.42786669999999999</v>
      </c>
      <c r="Q2257" s="10">
        <f t="shared" si="90"/>
        <v>1.5238702285415579E-3</v>
      </c>
      <c r="AI2257">
        <v>5.19465E-2</v>
      </c>
      <c r="AJ2257">
        <f t="shared" si="89"/>
        <v>5.19465E-2</v>
      </c>
      <c r="AO2257">
        <v>5.19465E-2</v>
      </c>
      <c r="AR2257" s="8">
        <v>0</v>
      </c>
      <c r="AS2257">
        <v>2.8107760000000002</v>
      </c>
    </row>
    <row r="2258" spans="1:45" x14ac:dyDescent="0.25">
      <c r="A2258">
        <v>401</v>
      </c>
      <c r="B2258">
        <v>2001</v>
      </c>
      <c r="C2258" s="8">
        <v>0</v>
      </c>
      <c r="D2258">
        <v>-1.9768399999999998E-2</v>
      </c>
      <c r="E2258">
        <v>0.18477399999999999</v>
      </c>
      <c r="F2258">
        <v>9.6540000000000001E-2</v>
      </c>
      <c r="G2258">
        <v>2.299553</v>
      </c>
      <c r="H2258">
        <v>0.39911679999999999</v>
      </c>
      <c r="Q2258" s="10">
        <f t="shared" si="90"/>
        <v>9.021960646466722E-4</v>
      </c>
      <c r="AI2258">
        <v>6.8427199999999994E-2</v>
      </c>
      <c r="AJ2258">
        <f t="shared" si="89"/>
        <v>6.8427199999999994E-2</v>
      </c>
      <c r="AO2258">
        <v>6.8427199999999994E-2</v>
      </c>
      <c r="AR2258" s="8">
        <v>0</v>
      </c>
      <c r="AS2258">
        <v>2.845399</v>
      </c>
    </row>
    <row r="2259" spans="1:45" x14ac:dyDescent="0.25">
      <c r="A2259">
        <v>401</v>
      </c>
      <c r="B2259">
        <v>2002</v>
      </c>
      <c r="C2259" s="8">
        <v>0</v>
      </c>
      <c r="D2259">
        <v>5.19465E-2</v>
      </c>
      <c r="E2259">
        <v>0.2167558</v>
      </c>
      <c r="F2259">
        <v>9.7288399999999997E-2</v>
      </c>
      <c r="G2259">
        <v>2.5097909999999999</v>
      </c>
      <c r="H2259">
        <v>0.35034530000000003</v>
      </c>
      <c r="Q2259" s="10">
        <f t="shared" si="90"/>
        <v>6.1222069205538502E-4</v>
      </c>
      <c r="AI2259">
        <v>7.5504299999999996E-2</v>
      </c>
      <c r="AJ2259">
        <f t="shared" si="89"/>
        <v>7.5504299999999996E-2</v>
      </c>
      <c r="AO2259">
        <v>7.5504299999999996E-2</v>
      </c>
      <c r="AR2259" s="8">
        <v>0</v>
      </c>
      <c r="AS2259">
        <v>1.98753</v>
      </c>
    </row>
    <row r="2260" spans="1:45" x14ac:dyDescent="0.25">
      <c r="A2260">
        <v>401</v>
      </c>
      <c r="B2260">
        <v>2003</v>
      </c>
      <c r="C2260" s="8">
        <v>0</v>
      </c>
      <c r="D2260">
        <v>6.8427199999999994E-2</v>
      </c>
      <c r="E2260">
        <v>0.25989390000000001</v>
      </c>
      <c r="F2260">
        <v>8.3786399999999997E-2</v>
      </c>
      <c r="G2260">
        <v>2.8873869999999999</v>
      </c>
      <c r="H2260">
        <v>0.35354409999999997</v>
      </c>
      <c r="Q2260" s="10">
        <f t="shared" si="90"/>
        <v>3.5414545091359308E-4</v>
      </c>
      <c r="AI2260">
        <v>-1.6565900000000001E-2</v>
      </c>
      <c r="AJ2260">
        <f t="shared" si="89"/>
        <v>-1.6565900000000001E-2</v>
      </c>
      <c r="AO2260">
        <v>-1.6565900000000001E-2</v>
      </c>
      <c r="AR2260" s="8">
        <v>0</v>
      </c>
      <c r="AS2260">
        <v>2.299553</v>
      </c>
    </row>
    <row r="2261" spans="1:45" x14ac:dyDescent="0.25">
      <c r="A2261">
        <v>401</v>
      </c>
      <c r="B2261">
        <v>2004</v>
      </c>
      <c r="C2261" s="8">
        <v>0</v>
      </c>
      <c r="D2261">
        <v>7.5504299999999996E-2</v>
      </c>
      <c r="E2261">
        <v>0.25589099999999998</v>
      </c>
      <c r="F2261">
        <v>8.1775299999999995E-2</v>
      </c>
      <c r="G2261">
        <v>3.4084310000000002</v>
      </c>
      <c r="H2261">
        <v>0.33923779999999998</v>
      </c>
      <c r="Q2261" s="10">
        <f t="shared" si="90"/>
        <v>1.5689021868181227E-4</v>
      </c>
      <c r="AI2261">
        <v>-2.2871800000000001E-2</v>
      </c>
      <c r="AJ2261">
        <f t="shared" si="89"/>
        <v>-2.2871800000000001E-2</v>
      </c>
      <c r="AO2261">
        <v>-2.2871800000000001E-2</v>
      </c>
      <c r="AR2261" s="8">
        <v>0</v>
      </c>
      <c r="AS2261">
        <v>2.5097909999999999</v>
      </c>
    </row>
    <row r="2262" spans="1:45" x14ac:dyDescent="0.25">
      <c r="A2262">
        <v>402</v>
      </c>
      <c r="B2262">
        <v>1995</v>
      </c>
      <c r="C2262" s="8">
        <v>0</v>
      </c>
      <c r="D2262">
        <v>-1.6565900000000001E-2</v>
      </c>
      <c r="E2262">
        <v>0.65799529999999995</v>
      </c>
      <c r="F2262">
        <v>8.7404999999999997E-2</v>
      </c>
      <c r="G2262">
        <v>4.2157960000000001</v>
      </c>
      <c r="H2262">
        <v>0.21024680000000001</v>
      </c>
      <c r="Q2262" s="10">
        <f t="shared" si="90"/>
        <v>2.0517506623510779E-5</v>
      </c>
      <c r="AI2262">
        <v>-8.6348599999999998E-2</v>
      </c>
      <c r="AJ2262">
        <f t="shared" si="89"/>
        <v>-8.6348599999999998E-2</v>
      </c>
      <c r="AO2262">
        <v>-8.6348599999999998E-2</v>
      </c>
      <c r="AR2262" s="8">
        <v>0</v>
      </c>
      <c r="AS2262">
        <v>2.8873869999999999</v>
      </c>
    </row>
    <row r="2263" spans="1:45" x14ac:dyDescent="0.25">
      <c r="A2263">
        <v>402</v>
      </c>
      <c r="B2263">
        <v>1996</v>
      </c>
      <c r="C2263" s="8">
        <v>0</v>
      </c>
      <c r="D2263">
        <v>-2.2871800000000001E-2</v>
      </c>
      <c r="E2263">
        <v>0.66922769999999998</v>
      </c>
      <c r="F2263">
        <v>6.9549399999999997E-2</v>
      </c>
      <c r="G2263">
        <v>3.6708940000000001</v>
      </c>
      <c r="H2263">
        <v>0.1906738</v>
      </c>
      <c r="Q2263" s="10">
        <f t="shared" si="90"/>
        <v>5.4671905246324047E-5</v>
      </c>
      <c r="AI2263">
        <v>-2.9395899999999999E-2</v>
      </c>
      <c r="AJ2263">
        <f t="shared" si="89"/>
        <v>-2.9395899999999999E-2</v>
      </c>
      <c r="AO2263">
        <v>-2.9395899999999999E-2</v>
      </c>
      <c r="AR2263" s="8">
        <v>0</v>
      </c>
      <c r="AS2263">
        <v>3.4084310000000002</v>
      </c>
    </row>
    <row r="2264" spans="1:45" x14ac:dyDescent="0.25">
      <c r="A2264">
        <v>402</v>
      </c>
      <c r="B2264">
        <v>1997</v>
      </c>
      <c r="C2264" s="8">
        <v>0</v>
      </c>
      <c r="D2264">
        <v>-8.6348599999999998E-2</v>
      </c>
      <c r="E2264">
        <v>0.67677710000000002</v>
      </c>
      <c r="F2264">
        <v>6.8683599999999997E-2</v>
      </c>
      <c r="G2264">
        <v>3.5431270000000001</v>
      </c>
      <c r="H2264">
        <v>0.19445270000000001</v>
      </c>
      <c r="Q2264" s="10">
        <f t="shared" si="90"/>
        <v>6.5165766188536679E-5</v>
      </c>
      <c r="AI2264">
        <v>-4.1455499999999999E-2</v>
      </c>
      <c r="AJ2264">
        <f t="shared" si="89"/>
        <v>-4.1455499999999999E-2</v>
      </c>
      <c r="AO2264">
        <v>-4.1455499999999999E-2</v>
      </c>
      <c r="AR2264" s="8">
        <v>0</v>
      </c>
      <c r="AS2264">
        <v>4.2157960000000001</v>
      </c>
    </row>
    <row r="2265" spans="1:45" x14ac:dyDescent="0.25">
      <c r="A2265">
        <v>402</v>
      </c>
      <c r="B2265">
        <v>1998</v>
      </c>
      <c r="C2265" s="8">
        <v>0</v>
      </c>
      <c r="D2265">
        <v>-2.9395899999999999E-2</v>
      </c>
      <c r="E2265">
        <v>0.69797240000000005</v>
      </c>
      <c r="F2265">
        <v>7.9145900000000005E-2</v>
      </c>
      <c r="G2265">
        <v>5.1157659999999998</v>
      </c>
      <c r="H2265">
        <v>0.18853200000000001</v>
      </c>
      <c r="Q2265" s="10">
        <f t="shared" si="90"/>
        <v>4.8368849988959349E-6</v>
      </c>
      <c r="AI2265">
        <v>5.8885999999999999E-3</v>
      </c>
      <c r="AJ2265">
        <f t="shared" si="89"/>
        <v>5.8885999999999999E-3</v>
      </c>
      <c r="AO2265">
        <v>5.8885999999999999E-3</v>
      </c>
      <c r="AR2265" s="8">
        <v>0</v>
      </c>
      <c r="AS2265">
        <v>3.6708940000000001</v>
      </c>
    </row>
    <row r="2266" spans="1:45" x14ac:dyDescent="0.25">
      <c r="A2266">
        <v>402</v>
      </c>
      <c r="B2266">
        <v>1999</v>
      </c>
      <c r="C2266" s="8">
        <v>0</v>
      </c>
      <c r="D2266">
        <v>-4.1455499999999999E-2</v>
      </c>
      <c r="E2266">
        <v>0.72642479999999998</v>
      </c>
      <c r="F2266">
        <v>7.3147799999999999E-2</v>
      </c>
      <c r="G2266">
        <v>5.1669309999999999</v>
      </c>
      <c r="H2266">
        <v>0.202371</v>
      </c>
      <c r="Q2266" s="10">
        <f t="shared" si="90"/>
        <v>4.5038053542140221E-6</v>
      </c>
      <c r="AI2266">
        <v>3.2292500000000002E-2</v>
      </c>
      <c r="AJ2266">
        <f t="shared" si="89"/>
        <v>3.2292500000000002E-2</v>
      </c>
      <c r="AO2266">
        <v>3.2292500000000002E-2</v>
      </c>
      <c r="AR2266" s="8">
        <v>0</v>
      </c>
      <c r="AS2266">
        <v>3.5431270000000001</v>
      </c>
    </row>
    <row r="2267" spans="1:45" x14ac:dyDescent="0.25">
      <c r="A2267">
        <v>402</v>
      </c>
      <c r="B2267">
        <v>2000</v>
      </c>
      <c r="C2267" s="8">
        <v>0</v>
      </c>
      <c r="D2267">
        <v>5.8885999999999999E-3</v>
      </c>
      <c r="E2267">
        <v>0.77892189999999994</v>
      </c>
      <c r="F2267">
        <v>5.2122399999999999E-2</v>
      </c>
      <c r="G2267">
        <v>3.8209070000000001</v>
      </c>
      <c r="H2267">
        <v>0.2005574</v>
      </c>
      <c r="Q2267" s="10">
        <f t="shared" si="90"/>
        <v>4.2959036300434352E-5</v>
      </c>
      <c r="AI2267">
        <v>-3.8211999999999999E-3</v>
      </c>
      <c r="AJ2267">
        <f t="shared" si="89"/>
        <v>-3.8211999999999999E-3</v>
      </c>
      <c r="AO2267">
        <v>-3.8211999999999999E-3</v>
      </c>
      <c r="AR2267" s="8">
        <v>0</v>
      </c>
      <c r="AS2267">
        <v>5.1157659999999998</v>
      </c>
    </row>
    <row r="2268" spans="1:45" x14ac:dyDescent="0.25">
      <c r="A2268">
        <v>402</v>
      </c>
      <c r="B2268">
        <v>2001</v>
      </c>
      <c r="C2268" s="8">
        <v>0</v>
      </c>
      <c r="D2268">
        <v>3.2292500000000002E-2</v>
      </c>
      <c r="E2268">
        <v>0.77831779999999995</v>
      </c>
      <c r="F2268">
        <v>5.3209100000000002E-2</v>
      </c>
      <c r="G2268">
        <v>2.7401710000000001</v>
      </c>
      <c r="H2268">
        <v>0.21075630000000001</v>
      </c>
      <c r="Q2268" s="10">
        <f t="shared" si="90"/>
        <v>2.4268147577099131E-4</v>
      </c>
      <c r="AI2268">
        <v>2.8444E-3</v>
      </c>
      <c r="AJ2268">
        <f t="shared" si="89"/>
        <v>2.8444E-3</v>
      </c>
      <c r="AO2268">
        <v>2.8444E-3</v>
      </c>
      <c r="AR2268" s="8">
        <v>0</v>
      </c>
      <c r="AS2268">
        <v>5.1669309999999999</v>
      </c>
    </row>
    <row r="2269" spans="1:45" x14ac:dyDescent="0.25">
      <c r="A2269">
        <v>402</v>
      </c>
      <c r="B2269">
        <v>2002</v>
      </c>
      <c r="C2269" s="8">
        <v>0</v>
      </c>
      <c r="D2269">
        <v>-3.8211999999999999E-3</v>
      </c>
      <c r="E2269">
        <v>0.7507549</v>
      </c>
      <c r="F2269">
        <v>7.2363700000000003E-2</v>
      </c>
      <c r="G2269">
        <v>1.533069</v>
      </c>
      <c r="H2269">
        <v>0.20288610000000001</v>
      </c>
      <c r="Q2269" s="10">
        <f t="shared" si="90"/>
        <v>1.4527086071399714E-3</v>
      </c>
      <c r="AI2269">
        <v>1.7836500000000002E-2</v>
      </c>
      <c r="AJ2269">
        <f t="shared" si="89"/>
        <v>1.7836500000000002E-2</v>
      </c>
      <c r="AO2269">
        <v>1.7836500000000002E-2</v>
      </c>
      <c r="AR2269" s="8">
        <v>0</v>
      </c>
      <c r="AS2269">
        <v>3.8209070000000001</v>
      </c>
    </row>
    <row r="2270" spans="1:45" x14ac:dyDescent="0.25">
      <c r="A2270">
        <v>402</v>
      </c>
      <c r="B2270">
        <v>2003</v>
      </c>
      <c r="C2270" s="8">
        <v>0</v>
      </c>
      <c r="D2270">
        <v>2.8444E-3</v>
      </c>
      <c r="E2270">
        <v>0.81758520000000001</v>
      </c>
      <c r="F2270">
        <v>6.84332E-2</v>
      </c>
      <c r="G2270">
        <v>2.3639329999999998</v>
      </c>
      <c r="H2270">
        <v>0.20600640000000001</v>
      </c>
      <c r="Q2270" s="10">
        <f t="shared" si="90"/>
        <v>3.6400889183649737E-4</v>
      </c>
      <c r="AI2270">
        <v>0.1028693</v>
      </c>
      <c r="AJ2270">
        <f t="shared" si="89"/>
        <v>0.1028693</v>
      </c>
      <c r="AO2270">
        <v>0.1028693</v>
      </c>
      <c r="AR2270" s="8">
        <v>0</v>
      </c>
      <c r="AS2270">
        <v>2.7401710000000001</v>
      </c>
    </row>
    <row r="2271" spans="1:45" x14ac:dyDescent="0.25">
      <c r="A2271">
        <v>402</v>
      </c>
      <c r="B2271">
        <v>2004</v>
      </c>
      <c r="C2271" s="8">
        <v>0</v>
      </c>
      <c r="D2271">
        <v>1.7836500000000002E-2</v>
      </c>
      <c r="E2271">
        <v>0.80493769999999998</v>
      </c>
      <c r="F2271">
        <v>6.9767599999999999E-2</v>
      </c>
      <c r="G2271">
        <v>2.9936799999999999</v>
      </c>
      <c r="H2271">
        <v>0.2141797</v>
      </c>
      <c r="Q2271" s="10">
        <f t="shared" si="90"/>
        <v>1.3602500737515391E-4</v>
      </c>
      <c r="AI2271">
        <v>6.9612300000000002E-2</v>
      </c>
      <c r="AJ2271">
        <f t="shared" si="89"/>
        <v>6.9612300000000002E-2</v>
      </c>
      <c r="AO2271">
        <v>6.9612300000000002E-2</v>
      </c>
      <c r="AR2271" s="8">
        <v>0</v>
      </c>
      <c r="AS2271">
        <v>1.533069</v>
      </c>
    </row>
    <row r="2272" spans="1:45" x14ac:dyDescent="0.25">
      <c r="A2272">
        <v>403</v>
      </c>
      <c r="B2272">
        <v>1995</v>
      </c>
      <c r="C2272" s="8">
        <v>0</v>
      </c>
      <c r="D2272">
        <v>0.1028693</v>
      </c>
      <c r="E2272">
        <v>0.33337749999999999</v>
      </c>
      <c r="F2272">
        <v>6.4655099999999993E-2</v>
      </c>
      <c r="G2272">
        <v>2.132174</v>
      </c>
      <c r="H2272">
        <v>0.25852799999999998</v>
      </c>
      <c r="Q2272" s="10">
        <f t="shared" si="90"/>
        <v>1.1808128736847691E-3</v>
      </c>
      <c r="AI2272">
        <v>9.4063900000000006E-2</v>
      </c>
      <c r="AJ2272">
        <f t="shared" si="89"/>
        <v>9.4063900000000006E-2</v>
      </c>
      <c r="AO2272">
        <v>9.4063900000000006E-2</v>
      </c>
      <c r="AR2272" s="8">
        <v>0</v>
      </c>
      <c r="AS2272">
        <v>2.3639329999999998</v>
      </c>
    </row>
    <row r="2273" spans="1:45" x14ac:dyDescent="0.25">
      <c r="A2273">
        <v>403</v>
      </c>
      <c r="B2273">
        <v>1996</v>
      </c>
      <c r="C2273" s="8">
        <v>0</v>
      </c>
      <c r="D2273">
        <v>6.9612300000000002E-2</v>
      </c>
      <c r="E2273">
        <v>0.3913373</v>
      </c>
      <c r="F2273">
        <v>5.6060400000000003E-2</v>
      </c>
      <c r="G2273">
        <v>2.0317289999999999</v>
      </c>
      <c r="H2273">
        <v>0.25202219999999997</v>
      </c>
      <c r="Q2273" s="10">
        <f t="shared" si="90"/>
        <v>1.3401393574135692E-3</v>
      </c>
      <c r="AI2273">
        <v>7.8993599999999997E-2</v>
      </c>
      <c r="AJ2273">
        <f t="shared" si="89"/>
        <v>7.8993599999999997E-2</v>
      </c>
      <c r="AO2273">
        <v>7.8993599999999997E-2</v>
      </c>
      <c r="AR2273" s="8">
        <v>0</v>
      </c>
      <c r="AS2273">
        <v>2.9936799999999999</v>
      </c>
    </row>
    <row r="2274" spans="1:45" x14ac:dyDescent="0.25">
      <c r="A2274">
        <v>403</v>
      </c>
      <c r="B2274">
        <v>1997</v>
      </c>
      <c r="C2274" s="8">
        <v>0</v>
      </c>
      <c r="D2274">
        <v>9.4063900000000006E-2</v>
      </c>
      <c r="E2274">
        <v>0.41620390000000002</v>
      </c>
      <c r="F2274">
        <v>5.3179799999999999E-2</v>
      </c>
      <c r="G2274">
        <v>3.2342080000000002</v>
      </c>
      <c r="H2274">
        <v>0.26014470000000001</v>
      </c>
      <c r="Q2274" s="10">
        <f t="shared" si="90"/>
        <v>1.9784033456395056E-4</v>
      </c>
      <c r="AI2274">
        <v>3.36884E-2</v>
      </c>
      <c r="AJ2274">
        <f t="shared" si="89"/>
        <v>3.36884E-2</v>
      </c>
      <c r="AO2274">
        <v>3.36884E-2</v>
      </c>
      <c r="AR2274" s="8">
        <v>0</v>
      </c>
      <c r="AS2274">
        <v>2.132174</v>
      </c>
    </row>
    <row r="2275" spans="1:45" x14ac:dyDescent="0.25">
      <c r="A2275">
        <v>403</v>
      </c>
      <c r="B2275">
        <v>1998</v>
      </c>
      <c r="C2275" s="8">
        <v>0</v>
      </c>
      <c r="D2275">
        <v>7.8993599999999997E-2</v>
      </c>
      <c r="E2275">
        <v>0.46129239999999999</v>
      </c>
      <c r="F2275">
        <v>6.7658599999999999E-2</v>
      </c>
      <c r="G2275">
        <v>4.5183600000000004</v>
      </c>
      <c r="H2275">
        <v>0.27724949999999998</v>
      </c>
      <c r="Q2275" s="10">
        <f t="shared" si="90"/>
        <v>2.1417285495294721E-5</v>
      </c>
      <c r="AI2275">
        <v>3.0076499999999999E-2</v>
      </c>
      <c r="AJ2275">
        <f t="shared" si="89"/>
        <v>3.0076499999999999E-2</v>
      </c>
      <c r="AO2275">
        <v>3.0076499999999999E-2</v>
      </c>
      <c r="AR2275" s="8">
        <v>0</v>
      </c>
      <c r="AS2275">
        <v>2.0317289999999999</v>
      </c>
    </row>
    <row r="2276" spans="1:45" x14ac:dyDescent="0.25">
      <c r="A2276">
        <v>403</v>
      </c>
      <c r="B2276">
        <v>1999</v>
      </c>
      <c r="C2276" s="8">
        <v>0</v>
      </c>
      <c r="D2276">
        <v>3.36884E-2</v>
      </c>
      <c r="E2276">
        <v>0.4846625</v>
      </c>
      <c r="F2276">
        <v>7.6140399999999997E-2</v>
      </c>
      <c r="G2276">
        <v>5.0630559999999996</v>
      </c>
      <c r="H2276">
        <v>0.2738138</v>
      </c>
      <c r="Q2276" s="10">
        <f t="shared" si="90"/>
        <v>7.9522665625474286E-6</v>
      </c>
      <c r="AI2276">
        <v>1.34889E-2</v>
      </c>
      <c r="AJ2276">
        <f t="shared" si="89"/>
        <v>1.34889E-2</v>
      </c>
      <c r="AO2276">
        <v>1.34889E-2</v>
      </c>
      <c r="AR2276" s="8">
        <v>0</v>
      </c>
      <c r="AS2276">
        <v>3.2342080000000002</v>
      </c>
    </row>
    <row r="2277" spans="1:45" x14ac:dyDescent="0.25">
      <c r="A2277">
        <v>403</v>
      </c>
      <c r="B2277">
        <v>2000</v>
      </c>
      <c r="C2277" s="8">
        <v>0</v>
      </c>
      <c r="D2277">
        <v>3.0076499999999999E-2</v>
      </c>
      <c r="E2277">
        <v>0.44341760000000002</v>
      </c>
      <c r="F2277">
        <v>7.1954799999999999E-2</v>
      </c>
      <c r="G2277">
        <v>3.6290740000000001</v>
      </c>
      <c r="H2277">
        <v>0.25314969999999998</v>
      </c>
      <c r="Q2277" s="10">
        <f t="shared" si="90"/>
        <v>8.4581439111882647E-5</v>
      </c>
      <c r="AI2277">
        <v>7.0891300000000004E-2</v>
      </c>
      <c r="AJ2277">
        <f t="shared" si="89"/>
        <v>7.0891300000000004E-2</v>
      </c>
      <c r="AO2277">
        <v>7.0891300000000004E-2</v>
      </c>
      <c r="AR2277" s="8">
        <v>0</v>
      </c>
      <c r="AS2277">
        <v>4.5183600000000004</v>
      </c>
    </row>
    <row r="2278" spans="1:45" x14ac:dyDescent="0.25">
      <c r="A2278">
        <v>403</v>
      </c>
      <c r="B2278">
        <v>2001</v>
      </c>
      <c r="C2278" s="8">
        <v>0</v>
      </c>
      <c r="D2278">
        <v>1.34889E-2</v>
      </c>
      <c r="E2278">
        <v>0.45316020000000001</v>
      </c>
      <c r="F2278">
        <v>7.2820099999999999E-2</v>
      </c>
      <c r="G2278">
        <v>3.5856889999999999</v>
      </c>
      <c r="H2278">
        <v>0.24914339999999999</v>
      </c>
      <c r="Q2278" s="10">
        <f t="shared" si="90"/>
        <v>8.7918080358254184E-5</v>
      </c>
      <c r="AI2278">
        <v>0.30261569999999999</v>
      </c>
      <c r="AJ2278">
        <f t="shared" si="89"/>
        <v>0.30261569999999999</v>
      </c>
      <c r="AO2278">
        <v>0.30261569999999999</v>
      </c>
      <c r="AR2278" s="8">
        <v>0</v>
      </c>
      <c r="AS2278">
        <v>5.0630559999999996</v>
      </c>
    </row>
    <row r="2279" spans="1:45" x14ac:dyDescent="0.25">
      <c r="A2279">
        <v>403</v>
      </c>
      <c r="B2279">
        <v>2003</v>
      </c>
      <c r="C2279" s="8">
        <v>0</v>
      </c>
      <c r="D2279">
        <v>7.0891300000000004E-2</v>
      </c>
      <c r="E2279">
        <v>0.59980230000000001</v>
      </c>
      <c r="F2279">
        <v>7.3285100000000006E-2</v>
      </c>
      <c r="G2279">
        <v>4.7536389999999997</v>
      </c>
      <c r="H2279">
        <v>0.27084039999999998</v>
      </c>
      <c r="Q2279" s="10">
        <f t="shared" si="90"/>
        <v>1.142194736755496E-5</v>
      </c>
      <c r="AI2279">
        <v>0.26279469999999999</v>
      </c>
      <c r="AJ2279">
        <f t="shared" si="89"/>
        <v>0.26279469999999999</v>
      </c>
      <c r="AO2279">
        <v>0.26279469999999999</v>
      </c>
      <c r="AR2279" s="8">
        <v>0</v>
      </c>
      <c r="AS2279">
        <v>3.6290740000000001</v>
      </c>
    </row>
    <row r="2280" spans="1:45" x14ac:dyDescent="0.25">
      <c r="A2280">
        <v>404</v>
      </c>
      <c r="B2280">
        <v>1999</v>
      </c>
      <c r="C2280" s="8">
        <v>0</v>
      </c>
      <c r="D2280">
        <v>0.30261569999999999</v>
      </c>
      <c r="E2280">
        <v>0.2135273</v>
      </c>
      <c r="F2280">
        <v>1.3252999999999999E-2</v>
      </c>
      <c r="G2280">
        <v>0.89355989999999996</v>
      </c>
      <c r="H2280">
        <v>0.93853169999999997</v>
      </c>
      <c r="Q2280" s="10">
        <f t="shared" si="90"/>
        <v>2.4676852956799666E-2</v>
      </c>
      <c r="AI2280">
        <v>0.26394790000000001</v>
      </c>
      <c r="AJ2280">
        <f t="shared" si="89"/>
        <v>0.26394790000000001</v>
      </c>
      <c r="AO2280">
        <v>0.26394790000000001</v>
      </c>
      <c r="AR2280" s="8">
        <v>0</v>
      </c>
      <c r="AS2280">
        <v>3.5856889999999999</v>
      </c>
    </row>
    <row r="2281" spans="1:45" x14ac:dyDescent="0.25">
      <c r="A2281">
        <v>404</v>
      </c>
      <c r="B2281">
        <v>2000</v>
      </c>
      <c r="C2281" s="8">
        <v>0</v>
      </c>
      <c r="D2281">
        <v>0.26279469999999999</v>
      </c>
      <c r="E2281">
        <v>0.1743719</v>
      </c>
      <c r="F2281">
        <v>2.3696700000000001E-2</v>
      </c>
      <c r="G2281">
        <v>0.98973860000000002</v>
      </c>
      <c r="H2281">
        <v>1.0181249999999999</v>
      </c>
      <c r="Q2281" s="10">
        <f t="shared" si="90"/>
        <v>2.1374383649411861E-2</v>
      </c>
      <c r="AI2281">
        <v>0.25984970000000002</v>
      </c>
      <c r="AJ2281">
        <f t="shared" si="89"/>
        <v>0.25984970000000002</v>
      </c>
      <c r="AO2281">
        <v>0.25984970000000002</v>
      </c>
      <c r="AR2281" s="8">
        <v>0</v>
      </c>
      <c r="AS2281">
        <v>4.7536389999999997</v>
      </c>
    </row>
    <row r="2282" spans="1:45" x14ac:dyDescent="0.25">
      <c r="A2282">
        <v>404</v>
      </c>
      <c r="B2282">
        <v>2001</v>
      </c>
      <c r="C2282" s="8">
        <v>0</v>
      </c>
      <c r="D2282">
        <v>0.26394790000000001</v>
      </c>
      <c r="E2282">
        <v>0.19691069999999999</v>
      </c>
      <c r="F2282">
        <v>4.80919E-2</v>
      </c>
      <c r="G2282">
        <v>1.179748</v>
      </c>
      <c r="H2282">
        <v>1.012475</v>
      </c>
      <c r="Q2282" s="10">
        <f t="shared" si="90"/>
        <v>1.2645996793334117E-2</v>
      </c>
      <c r="AI2282">
        <v>0.24718609999999999</v>
      </c>
      <c r="AJ2282">
        <f t="shared" si="89"/>
        <v>0.24718609999999999</v>
      </c>
      <c r="AO2282">
        <v>0.24718609999999999</v>
      </c>
      <c r="AR2282" s="8">
        <v>0</v>
      </c>
      <c r="AS2282">
        <v>0.89355989999999996</v>
      </c>
    </row>
    <row r="2283" spans="1:45" x14ac:dyDescent="0.25">
      <c r="A2283">
        <v>404</v>
      </c>
      <c r="B2283">
        <v>2002</v>
      </c>
      <c r="C2283" s="8">
        <v>0</v>
      </c>
      <c r="D2283">
        <v>0.25984970000000002</v>
      </c>
      <c r="E2283">
        <v>0.21498249999999999</v>
      </c>
      <c r="F2283">
        <v>4.6349399999999999E-2</v>
      </c>
      <c r="G2283">
        <v>0.77115469999999997</v>
      </c>
      <c r="H2283">
        <v>1.0704800000000001</v>
      </c>
      <c r="Q2283" s="10">
        <f t="shared" si="90"/>
        <v>2.4491188464752602E-2</v>
      </c>
      <c r="AI2283">
        <v>0.21042179999999999</v>
      </c>
      <c r="AJ2283">
        <f t="shared" si="89"/>
        <v>0.21042179999999999</v>
      </c>
      <c r="AO2283">
        <v>0.21042179999999999</v>
      </c>
      <c r="AR2283" s="8">
        <v>0</v>
      </c>
      <c r="AS2283">
        <v>0.98973860000000002</v>
      </c>
    </row>
    <row r="2284" spans="1:45" x14ac:dyDescent="0.25">
      <c r="A2284">
        <v>404</v>
      </c>
      <c r="B2284">
        <v>2003</v>
      </c>
      <c r="C2284" s="8">
        <v>0</v>
      </c>
      <c r="D2284">
        <v>0.24718609999999999</v>
      </c>
      <c r="E2284">
        <v>0.2430871</v>
      </c>
      <c r="F2284">
        <v>4.9695200000000002E-2</v>
      </c>
      <c r="G2284">
        <v>0.83023910000000001</v>
      </c>
      <c r="H2284">
        <v>1.13646</v>
      </c>
      <c r="Q2284" s="10">
        <f t="shared" si="90"/>
        <v>2.1651550635447082E-2</v>
      </c>
      <c r="AI2284">
        <v>0.15397469999999999</v>
      </c>
      <c r="AJ2284">
        <f t="shared" si="89"/>
        <v>0.15397469999999999</v>
      </c>
      <c r="AO2284">
        <v>0.15397469999999999</v>
      </c>
      <c r="AR2284" s="8">
        <v>0</v>
      </c>
      <c r="AS2284">
        <v>1.179748</v>
      </c>
    </row>
    <row r="2285" spans="1:45" x14ac:dyDescent="0.25">
      <c r="A2285">
        <v>404</v>
      </c>
      <c r="B2285">
        <v>2004</v>
      </c>
      <c r="C2285" s="8">
        <v>0</v>
      </c>
      <c r="D2285">
        <v>0.21042179999999999</v>
      </c>
      <c r="E2285">
        <v>0.19191739999999999</v>
      </c>
      <c r="F2285">
        <v>4.4833100000000001E-2</v>
      </c>
      <c r="G2285">
        <v>0.86124800000000001</v>
      </c>
      <c r="H2285">
        <v>1.1209750000000001</v>
      </c>
      <c r="Q2285" s="10">
        <f t="shared" si="90"/>
        <v>2.2494310968479331E-2</v>
      </c>
      <c r="AI2285">
        <v>0.12675549999999999</v>
      </c>
      <c r="AJ2285">
        <f t="shared" si="89"/>
        <v>0.12675549999999999</v>
      </c>
      <c r="AO2285">
        <v>0.12675549999999999</v>
      </c>
      <c r="AR2285" s="8">
        <v>0</v>
      </c>
      <c r="AS2285">
        <v>0.77115469999999997</v>
      </c>
    </row>
    <row r="2286" spans="1:45" x14ac:dyDescent="0.25">
      <c r="A2286">
        <v>405</v>
      </c>
      <c r="B2286">
        <v>1995</v>
      </c>
      <c r="C2286" s="8">
        <v>0</v>
      </c>
      <c r="D2286">
        <v>0.15397469999999999</v>
      </c>
      <c r="E2286">
        <v>0.50319000000000003</v>
      </c>
      <c r="F2286">
        <v>6.30796E-2</v>
      </c>
      <c r="G2286">
        <v>1.2922370000000001</v>
      </c>
      <c r="H2286">
        <v>0.2808214</v>
      </c>
      <c r="Q2286" s="10">
        <f t="shared" si="90"/>
        <v>3.6799592396205825E-3</v>
      </c>
      <c r="AI2286">
        <v>0.1293792</v>
      </c>
      <c r="AJ2286">
        <f t="shared" si="89"/>
        <v>0.1293792</v>
      </c>
      <c r="AO2286">
        <v>0.1293792</v>
      </c>
      <c r="AR2286" s="8">
        <v>0</v>
      </c>
      <c r="AS2286">
        <v>0.83023910000000001</v>
      </c>
    </row>
    <row r="2287" spans="1:45" x14ac:dyDescent="0.25">
      <c r="A2287">
        <v>405</v>
      </c>
      <c r="B2287">
        <v>1996</v>
      </c>
      <c r="C2287" s="8">
        <v>0</v>
      </c>
      <c r="D2287">
        <v>0.12675549999999999</v>
      </c>
      <c r="E2287">
        <v>0.45312350000000001</v>
      </c>
      <c r="F2287">
        <v>3.36505E-2</v>
      </c>
      <c r="G2287">
        <v>1.1228340000000001</v>
      </c>
      <c r="H2287">
        <v>0.25752000000000003</v>
      </c>
      <c r="Q2287" s="10">
        <f t="shared" si="90"/>
        <v>6.3765937562501769E-3</v>
      </c>
      <c r="AI2287">
        <v>0.107845</v>
      </c>
      <c r="AJ2287">
        <f t="shared" si="89"/>
        <v>0.107845</v>
      </c>
      <c r="AO2287">
        <v>0.107845</v>
      </c>
      <c r="AR2287" s="8">
        <v>0</v>
      </c>
      <c r="AS2287">
        <v>0.86124800000000001</v>
      </c>
    </row>
    <row r="2288" spans="1:45" x14ac:dyDescent="0.25">
      <c r="A2288">
        <v>405</v>
      </c>
      <c r="B2288">
        <v>1997</v>
      </c>
      <c r="C2288" s="8">
        <v>0</v>
      </c>
      <c r="D2288">
        <v>0.1293792</v>
      </c>
      <c r="E2288">
        <v>0.4217265</v>
      </c>
      <c r="F2288">
        <v>4.8887300000000002E-2</v>
      </c>
      <c r="G2288">
        <v>1.0218210000000001</v>
      </c>
      <c r="H2288">
        <v>0.1977815</v>
      </c>
      <c r="Q2288" s="10">
        <f t="shared" si="90"/>
        <v>6.6934319801851471E-3</v>
      </c>
      <c r="AI2288">
        <v>8.0615199999999998E-2</v>
      </c>
      <c r="AJ2288">
        <f t="shared" si="89"/>
        <v>8.0615199999999998E-2</v>
      </c>
      <c r="AO2288">
        <v>8.0615199999999998E-2</v>
      </c>
      <c r="AR2288" s="8">
        <v>0</v>
      </c>
      <c r="AS2288">
        <v>1.2922370000000001</v>
      </c>
    </row>
    <row r="2289" spans="1:45" x14ac:dyDescent="0.25">
      <c r="A2289">
        <v>405</v>
      </c>
      <c r="B2289">
        <v>1998</v>
      </c>
      <c r="C2289" s="8">
        <v>0</v>
      </c>
      <c r="D2289">
        <v>0.107845</v>
      </c>
      <c r="E2289">
        <v>0.42735970000000001</v>
      </c>
      <c r="F2289">
        <v>3.3694200000000001E-2</v>
      </c>
      <c r="G2289">
        <v>1.076247</v>
      </c>
      <c r="H2289">
        <v>0.19815089999999999</v>
      </c>
      <c r="Q2289" s="10">
        <f t="shared" si="90"/>
        <v>6.8135809619599835E-3</v>
      </c>
      <c r="AI2289">
        <v>7.6561799999999999E-2</v>
      </c>
      <c r="AJ2289">
        <f t="shared" si="89"/>
        <v>7.6561799999999999E-2</v>
      </c>
      <c r="AO2289">
        <v>7.6561799999999999E-2</v>
      </c>
      <c r="AR2289" s="8">
        <v>0</v>
      </c>
      <c r="AS2289">
        <v>1.1228340000000001</v>
      </c>
    </row>
    <row r="2290" spans="1:45" x14ac:dyDescent="0.25">
      <c r="A2290">
        <v>405</v>
      </c>
      <c r="B2290">
        <v>1999</v>
      </c>
      <c r="C2290" s="8">
        <v>0</v>
      </c>
      <c r="D2290">
        <v>8.0615199999999998E-2</v>
      </c>
      <c r="E2290">
        <v>0.39931359999999999</v>
      </c>
      <c r="F2290">
        <v>5.39257E-2</v>
      </c>
      <c r="G2290">
        <v>1.402371</v>
      </c>
      <c r="H2290">
        <v>0.20392550000000001</v>
      </c>
      <c r="Q2290" s="10">
        <f t="shared" si="90"/>
        <v>3.5740747546651264E-3</v>
      </c>
      <c r="AI2290">
        <v>0.13863829999999999</v>
      </c>
      <c r="AJ2290">
        <f t="shared" si="89"/>
        <v>0.13863829999999999</v>
      </c>
      <c r="AO2290">
        <v>0.13863829999999999</v>
      </c>
      <c r="AR2290" s="8">
        <v>0</v>
      </c>
      <c r="AS2290">
        <v>1.0218210000000001</v>
      </c>
    </row>
    <row r="2291" spans="1:45" x14ac:dyDescent="0.25">
      <c r="A2291">
        <v>405</v>
      </c>
      <c r="B2291">
        <v>2000</v>
      </c>
      <c r="C2291" s="8">
        <v>0</v>
      </c>
      <c r="D2291">
        <v>7.6561799999999999E-2</v>
      </c>
      <c r="E2291">
        <v>0.40393630000000003</v>
      </c>
      <c r="F2291">
        <v>4.0139099999999997E-2</v>
      </c>
      <c r="G2291">
        <v>1.015479</v>
      </c>
      <c r="H2291">
        <v>0.2032419</v>
      </c>
      <c r="Q2291" s="10">
        <f t="shared" si="90"/>
        <v>7.3006487767666908E-3</v>
      </c>
      <c r="AI2291">
        <v>0.19807669999999999</v>
      </c>
      <c r="AJ2291">
        <f t="shared" si="89"/>
        <v>0.19807669999999999</v>
      </c>
      <c r="AO2291">
        <v>0.19807669999999999</v>
      </c>
      <c r="AR2291" s="8">
        <v>0</v>
      </c>
      <c r="AS2291">
        <v>1.076247</v>
      </c>
    </row>
    <row r="2292" spans="1:45" x14ac:dyDescent="0.25">
      <c r="A2292">
        <v>406</v>
      </c>
      <c r="B2292">
        <v>2003</v>
      </c>
      <c r="C2292" s="8">
        <v>0</v>
      </c>
      <c r="D2292">
        <v>0.13863829999999999</v>
      </c>
      <c r="E2292">
        <v>4.1501200000000002E-2</v>
      </c>
      <c r="F2292">
        <v>7.4447299999999994E-2</v>
      </c>
      <c r="G2292">
        <v>1.8074190000000001</v>
      </c>
      <c r="H2292">
        <v>0.92004839999999999</v>
      </c>
      <c r="Q2292" s="10">
        <f t="shared" si="90"/>
        <v>4.2694280534506142E-3</v>
      </c>
      <c r="AI2292">
        <v>4.8062899999999999E-2</v>
      </c>
      <c r="AJ2292">
        <f t="shared" si="89"/>
        <v>4.8062899999999999E-2</v>
      </c>
      <c r="AO2292">
        <v>4.8062899999999999E-2</v>
      </c>
      <c r="AR2292" s="8">
        <v>0</v>
      </c>
      <c r="AS2292">
        <v>1.402371</v>
      </c>
    </row>
    <row r="2293" spans="1:45" x14ac:dyDescent="0.25">
      <c r="A2293">
        <v>406</v>
      </c>
      <c r="B2293">
        <v>2004</v>
      </c>
      <c r="C2293" s="8">
        <v>0</v>
      </c>
      <c r="D2293">
        <v>0.19807669999999999</v>
      </c>
      <c r="E2293">
        <v>9.9766199999999999E-2</v>
      </c>
      <c r="F2293">
        <v>4.6242199999999997E-2</v>
      </c>
      <c r="G2293">
        <v>2.3833630000000001</v>
      </c>
      <c r="H2293">
        <v>0.89460119999999999</v>
      </c>
      <c r="Q2293" s="10">
        <f t="shared" si="90"/>
        <v>1.9851744492062969E-3</v>
      </c>
      <c r="AI2293">
        <v>5.3579300000000003E-2</v>
      </c>
      <c r="AJ2293">
        <f t="shared" si="89"/>
        <v>5.3579300000000003E-2</v>
      </c>
      <c r="AO2293">
        <v>5.3579300000000003E-2</v>
      </c>
      <c r="AR2293" s="8">
        <v>0</v>
      </c>
      <c r="AS2293">
        <v>1.015479</v>
      </c>
    </row>
    <row r="2294" spans="1:45" x14ac:dyDescent="0.25">
      <c r="A2294">
        <v>407</v>
      </c>
      <c r="B2294">
        <v>2001</v>
      </c>
      <c r="C2294" s="8">
        <v>0</v>
      </c>
      <c r="D2294">
        <v>4.8062899999999999E-2</v>
      </c>
      <c r="E2294">
        <v>0.42620340000000001</v>
      </c>
      <c r="F2294">
        <v>2.6773700000000001E-2</v>
      </c>
      <c r="G2294">
        <v>0.84300920000000001</v>
      </c>
      <c r="H2294">
        <v>0.1069852</v>
      </c>
      <c r="Q2294" s="10">
        <f t="shared" si="90"/>
        <v>9.6171273291587433E-3</v>
      </c>
      <c r="AI2294">
        <v>5.2604699999999997E-2</v>
      </c>
      <c r="AJ2294">
        <f t="shared" si="89"/>
        <v>5.2604699999999997E-2</v>
      </c>
      <c r="AO2294">
        <v>5.2604699999999997E-2</v>
      </c>
      <c r="AR2294" s="8">
        <v>0</v>
      </c>
      <c r="AS2294">
        <v>1.8074190000000001</v>
      </c>
    </row>
    <row r="2295" spans="1:45" x14ac:dyDescent="0.25">
      <c r="A2295">
        <v>407</v>
      </c>
      <c r="B2295">
        <v>2002</v>
      </c>
      <c r="C2295" s="8">
        <v>0</v>
      </c>
      <c r="D2295">
        <v>5.3579300000000003E-2</v>
      </c>
      <c r="E2295">
        <v>0.42715779999999998</v>
      </c>
      <c r="F2295">
        <v>5.5781699999999997E-2</v>
      </c>
      <c r="G2295">
        <v>1.0809299999999999</v>
      </c>
      <c r="H2295">
        <v>0.12347909999999999</v>
      </c>
      <c r="Q2295" s="10">
        <f t="shared" si="90"/>
        <v>5.3006447549822878E-3</v>
      </c>
      <c r="AI2295">
        <v>4.88911E-2</v>
      </c>
      <c r="AJ2295">
        <f t="shared" si="89"/>
        <v>4.88911E-2</v>
      </c>
      <c r="AO2295">
        <v>4.88911E-2</v>
      </c>
      <c r="AR2295" s="8">
        <v>0</v>
      </c>
      <c r="AS2295">
        <v>2.3833630000000001</v>
      </c>
    </row>
    <row r="2296" spans="1:45" x14ac:dyDescent="0.25">
      <c r="A2296">
        <v>407</v>
      </c>
      <c r="B2296">
        <v>2003</v>
      </c>
      <c r="C2296" s="8">
        <v>0</v>
      </c>
      <c r="D2296">
        <v>5.2604699999999997E-2</v>
      </c>
      <c r="E2296">
        <v>0.43740830000000003</v>
      </c>
      <c r="F2296">
        <v>5.44597E-2</v>
      </c>
      <c r="G2296">
        <v>1.207662</v>
      </c>
      <c r="H2296">
        <v>0.1173676</v>
      </c>
      <c r="Q2296" s="10">
        <f t="shared" si="90"/>
        <v>4.2988807806128267E-3</v>
      </c>
      <c r="AI2296">
        <v>6.5362500000000004E-2</v>
      </c>
      <c r="AJ2296">
        <f t="shared" si="89"/>
        <v>6.5362500000000004E-2</v>
      </c>
      <c r="AO2296">
        <v>6.5362500000000004E-2</v>
      </c>
      <c r="AR2296" s="8">
        <v>0</v>
      </c>
      <c r="AS2296">
        <v>0.84300920000000001</v>
      </c>
    </row>
    <row r="2297" spans="1:45" x14ac:dyDescent="0.25">
      <c r="A2297">
        <v>407</v>
      </c>
      <c r="B2297">
        <v>2004</v>
      </c>
      <c r="C2297" s="8">
        <v>0</v>
      </c>
      <c r="D2297">
        <v>4.88911E-2</v>
      </c>
      <c r="E2297">
        <v>0.46246169999999998</v>
      </c>
      <c r="F2297">
        <v>5.4482700000000002E-2</v>
      </c>
      <c r="G2297">
        <v>1.297121</v>
      </c>
      <c r="H2297">
        <v>0.14487439999999999</v>
      </c>
      <c r="Q2297" s="10">
        <f t="shared" si="90"/>
        <v>3.6522305624866469E-3</v>
      </c>
      <c r="AI2297">
        <v>0.162521</v>
      </c>
      <c r="AJ2297">
        <f t="shared" si="89"/>
        <v>0.162521</v>
      </c>
      <c r="AO2297">
        <v>0.162521</v>
      </c>
      <c r="AR2297" s="8">
        <v>0</v>
      </c>
      <c r="AS2297">
        <v>1.0809299999999999</v>
      </c>
    </row>
    <row r="2298" spans="1:45" x14ac:dyDescent="0.25">
      <c r="A2298">
        <v>408</v>
      </c>
      <c r="B2298">
        <v>1996</v>
      </c>
      <c r="C2298" s="8">
        <v>0</v>
      </c>
      <c r="D2298">
        <v>6.5362500000000004E-2</v>
      </c>
      <c r="E2298">
        <v>-4.34405E-2</v>
      </c>
      <c r="F2298">
        <v>5.5489200000000002E-2</v>
      </c>
      <c r="G2298">
        <v>0.42190830000000001</v>
      </c>
      <c r="H2298">
        <v>0.13823730000000001</v>
      </c>
      <c r="Q2298" s="10">
        <f t="shared" si="90"/>
        <v>2.977754820096069E-2</v>
      </c>
      <c r="AI2298">
        <v>-2.2072700000000001E-2</v>
      </c>
      <c r="AJ2298">
        <f t="shared" si="89"/>
        <v>-2.2072700000000001E-2</v>
      </c>
      <c r="AO2298">
        <v>-2.2072700000000001E-2</v>
      </c>
      <c r="AR2298" s="8">
        <v>0</v>
      </c>
      <c r="AS2298">
        <v>1.207662</v>
      </c>
    </row>
    <row r="2299" spans="1:45" x14ac:dyDescent="0.25">
      <c r="A2299">
        <v>408</v>
      </c>
      <c r="B2299">
        <v>1997</v>
      </c>
      <c r="C2299" s="8">
        <v>0</v>
      </c>
      <c r="D2299">
        <v>0.162521</v>
      </c>
      <c r="E2299">
        <v>2.18893E-2</v>
      </c>
      <c r="F2299">
        <v>3.8035199999999998E-2</v>
      </c>
      <c r="G2299">
        <v>0.81255869999999997</v>
      </c>
      <c r="H2299">
        <v>0.17224700000000001</v>
      </c>
      <c r="Q2299" s="10">
        <f t="shared" si="90"/>
        <v>1.7980103811615258E-2</v>
      </c>
      <c r="AI2299">
        <v>0.25700669999999998</v>
      </c>
      <c r="AJ2299">
        <f t="shared" si="89"/>
        <v>0.25700669999999998</v>
      </c>
      <c r="AO2299">
        <v>0.25700669999999998</v>
      </c>
      <c r="AR2299" s="8">
        <v>0</v>
      </c>
      <c r="AS2299">
        <v>1.297121</v>
      </c>
    </row>
    <row r="2300" spans="1:45" x14ac:dyDescent="0.25">
      <c r="A2300">
        <v>409</v>
      </c>
      <c r="B2300">
        <v>2001</v>
      </c>
      <c r="C2300" s="8">
        <v>0</v>
      </c>
      <c r="D2300">
        <v>-2.2072700000000001E-2</v>
      </c>
      <c r="E2300">
        <v>0.61235819999999996</v>
      </c>
      <c r="F2300">
        <v>8.2020899999999994E-2</v>
      </c>
      <c r="G2300">
        <v>12.147069999999999</v>
      </c>
      <c r="H2300">
        <v>0.18774469999999999</v>
      </c>
      <c r="Q2300" s="10">
        <f t="shared" si="90"/>
        <v>7.3023059797482384E-11</v>
      </c>
      <c r="AI2300">
        <v>0.1066597</v>
      </c>
      <c r="AJ2300">
        <f t="shared" si="89"/>
        <v>0.1066597</v>
      </c>
      <c r="AO2300">
        <v>0.1066597</v>
      </c>
      <c r="AR2300" s="8">
        <v>0</v>
      </c>
      <c r="AS2300">
        <v>0.42190830000000001</v>
      </c>
    </row>
    <row r="2301" spans="1:45" x14ac:dyDescent="0.25">
      <c r="A2301">
        <v>409</v>
      </c>
      <c r="B2301">
        <v>2002</v>
      </c>
      <c r="C2301" s="8">
        <v>0</v>
      </c>
      <c r="D2301">
        <v>0.25700669999999998</v>
      </c>
      <c r="E2301">
        <v>0.66241360000000005</v>
      </c>
      <c r="F2301">
        <v>8.7400800000000001E-2</v>
      </c>
      <c r="G2301">
        <v>13.20561</v>
      </c>
      <c r="H2301">
        <v>0.2138176</v>
      </c>
      <c r="Q2301" s="10">
        <f t="shared" si="90"/>
        <v>1.3734118164339093E-11</v>
      </c>
      <c r="AI2301">
        <v>0.26643109999999998</v>
      </c>
      <c r="AJ2301">
        <f t="shared" si="89"/>
        <v>0.26643109999999998</v>
      </c>
      <c r="AO2301">
        <v>0.26643109999999998</v>
      </c>
      <c r="AR2301" s="8">
        <v>0</v>
      </c>
      <c r="AS2301">
        <v>0.81255869999999997</v>
      </c>
    </row>
    <row r="2302" spans="1:45" x14ac:dyDescent="0.25">
      <c r="A2302">
        <v>409</v>
      </c>
      <c r="B2302">
        <v>2003</v>
      </c>
      <c r="C2302" s="8">
        <v>0</v>
      </c>
      <c r="D2302">
        <v>0.1066597</v>
      </c>
      <c r="E2302">
        <v>0.66428620000000005</v>
      </c>
      <c r="F2302">
        <v>9.4856300000000005E-2</v>
      </c>
      <c r="G2302">
        <v>12.17525</v>
      </c>
      <c r="H2302">
        <v>0.21648300000000001</v>
      </c>
      <c r="Q2302" s="10">
        <f t="shared" si="90"/>
        <v>6.2730511119115511E-11</v>
      </c>
      <c r="AI2302">
        <v>0.29312870000000002</v>
      </c>
      <c r="AJ2302">
        <f t="shared" si="89"/>
        <v>0.29312870000000002</v>
      </c>
      <c r="AO2302">
        <v>0.29312870000000002</v>
      </c>
      <c r="AR2302" s="8">
        <v>0</v>
      </c>
      <c r="AS2302">
        <v>12.147069999999999</v>
      </c>
    </row>
    <row r="2303" spans="1:45" x14ac:dyDescent="0.25">
      <c r="A2303">
        <v>409</v>
      </c>
      <c r="B2303">
        <v>2004</v>
      </c>
      <c r="C2303" s="8">
        <v>0</v>
      </c>
      <c r="D2303">
        <v>0.26643109999999998</v>
      </c>
      <c r="E2303">
        <v>0.65763369999999999</v>
      </c>
      <c r="F2303">
        <v>9.0188400000000002E-2</v>
      </c>
      <c r="G2303">
        <v>10.365489999999999</v>
      </c>
      <c r="H2303">
        <v>0.193439</v>
      </c>
      <c r="Q2303" s="10">
        <f t="shared" si="90"/>
        <v>1.2386906428544846E-9</v>
      </c>
      <c r="AI2303">
        <v>0.2161883</v>
      </c>
      <c r="AJ2303">
        <f t="shared" si="89"/>
        <v>0.2161883</v>
      </c>
      <c r="AO2303">
        <v>0.2161883</v>
      </c>
      <c r="AR2303" s="8">
        <v>0</v>
      </c>
      <c r="AS2303">
        <v>13.20561</v>
      </c>
    </row>
    <row r="2304" spans="1:45" x14ac:dyDescent="0.25">
      <c r="A2304">
        <v>410</v>
      </c>
      <c r="B2304">
        <v>1995</v>
      </c>
      <c r="C2304" s="8">
        <v>0</v>
      </c>
      <c r="D2304">
        <v>0.29312870000000002</v>
      </c>
      <c r="E2304">
        <v>0.46908539999999999</v>
      </c>
      <c r="F2304">
        <v>0.12439600000000001</v>
      </c>
      <c r="G2304">
        <v>3.5358610000000001</v>
      </c>
      <c r="H2304">
        <v>0.36857269999999998</v>
      </c>
      <c r="Q2304" s="10">
        <f t="shared" si="90"/>
        <v>7.4440801964388695E-5</v>
      </c>
      <c r="AI2304">
        <v>0.31248379999999998</v>
      </c>
      <c r="AJ2304">
        <f t="shared" si="89"/>
        <v>0.31248379999999998</v>
      </c>
      <c r="AO2304">
        <v>0.31248379999999998</v>
      </c>
      <c r="AR2304" s="8">
        <v>0</v>
      </c>
      <c r="AS2304">
        <v>12.17525</v>
      </c>
    </row>
    <row r="2305" spans="1:45" x14ac:dyDescent="0.25">
      <c r="A2305">
        <v>411</v>
      </c>
      <c r="B2305">
        <v>1995</v>
      </c>
      <c r="C2305" s="8">
        <v>0</v>
      </c>
      <c r="D2305">
        <v>0.2161883</v>
      </c>
      <c r="E2305">
        <v>0.43141030000000002</v>
      </c>
      <c r="F2305">
        <v>2.9359900000000001E-2</v>
      </c>
      <c r="G2305">
        <v>1.380711</v>
      </c>
      <c r="H2305">
        <v>0.37611260000000002</v>
      </c>
      <c r="Q2305" s="10">
        <f t="shared" si="90"/>
        <v>5.0503802043267371E-3</v>
      </c>
      <c r="AI2305">
        <v>0.1961183</v>
      </c>
      <c r="AJ2305">
        <f t="shared" si="89"/>
        <v>0.1961183</v>
      </c>
      <c r="AO2305">
        <v>0.1961183</v>
      </c>
      <c r="AR2305" s="8">
        <v>0</v>
      </c>
      <c r="AS2305">
        <v>10.365489999999999</v>
      </c>
    </row>
    <row r="2306" spans="1:45" x14ac:dyDescent="0.25">
      <c r="A2306">
        <v>411</v>
      </c>
      <c r="B2306">
        <v>1996</v>
      </c>
      <c r="C2306" s="8">
        <v>0</v>
      </c>
      <c r="D2306">
        <v>0.31248379999999998</v>
      </c>
      <c r="E2306">
        <v>0.39182220000000001</v>
      </c>
      <c r="F2306">
        <v>9.3370599999999998E-2</v>
      </c>
      <c r="G2306">
        <v>2.8169580000000001</v>
      </c>
      <c r="H2306">
        <v>1.1266050000000001</v>
      </c>
      <c r="Q2306" s="10">
        <f t="shared" si="90"/>
        <v>5.4103416455584131E-4</v>
      </c>
      <c r="AI2306">
        <v>0.2070217</v>
      </c>
      <c r="AJ2306">
        <f t="shared" si="89"/>
        <v>0.2070217</v>
      </c>
      <c r="AO2306">
        <v>0.2070217</v>
      </c>
      <c r="AR2306" s="8">
        <v>0</v>
      </c>
      <c r="AS2306">
        <v>3.5358610000000001</v>
      </c>
    </row>
    <row r="2307" spans="1:45" x14ac:dyDescent="0.25">
      <c r="A2307">
        <v>411</v>
      </c>
      <c r="B2307">
        <v>1997</v>
      </c>
      <c r="C2307" s="8">
        <v>0</v>
      </c>
      <c r="D2307">
        <v>0.1961183</v>
      </c>
      <c r="E2307">
        <v>0.25324439999999998</v>
      </c>
      <c r="F2307">
        <v>8.6202500000000001E-2</v>
      </c>
      <c r="G2307">
        <v>3.4102579999999998</v>
      </c>
      <c r="H2307">
        <v>0.66793449999999999</v>
      </c>
      <c r="Q2307" s="10">
        <f t="shared" si="90"/>
        <v>1.9533441594872926E-4</v>
      </c>
      <c r="AI2307">
        <v>0.26477200000000001</v>
      </c>
      <c r="AJ2307">
        <f t="shared" si="89"/>
        <v>0.26477200000000001</v>
      </c>
      <c r="AO2307">
        <v>0.26477200000000001</v>
      </c>
      <c r="AR2307" s="8">
        <v>0</v>
      </c>
      <c r="AS2307">
        <v>1.380711</v>
      </c>
    </row>
    <row r="2308" spans="1:45" x14ac:dyDescent="0.25">
      <c r="A2308">
        <v>411</v>
      </c>
      <c r="B2308">
        <v>1998</v>
      </c>
      <c r="C2308" s="8">
        <v>0</v>
      </c>
      <c r="D2308">
        <v>0.2070217</v>
      </c>
      <c r="E2308">
        <v>0.29995460000000002</v>
      </c>
      <c r="F2308">
        <v>6.52948E-2</v>
      </c>
      <c r="G2308">
        <v>6.0242740000000001</v>
      </c>
      <c r="H2308">
        <v>0.65415279999999998</v>
      </c>
      <c r="Q2308" s="10">
        <f t="shared" si="90"/>
        <v>3.3351782989707253E-6</v>
      </c>
      <c r="AI2308">
        <v>0.281976</v>
      </c>
      <c r="AJ2308">
        <f t="shared" si="89"/>
        <v>0.281976</v>
      </c>
      <c r="AO2308">
        <v>0.281976</v>
      </c>
      <c r="AR2308" s="8">
        <v>0</v>
      </c>
      <c r="AS2308">
        <v>2.8169580000000001</v>
      </c>
    </row>
    <row r="2309" spans="1:45" x14ac:dyDescent="0.25">
      <c r="A2309">
        <v>411</v>
      </c>
      <c r="B2309">
        <v>1999</v>
      </c>
      <c r="C2309" s="8">
        <v>0</v>
      </c>
      <c r="D2309">
        <v>0.26477200000000001</v>
      </c>
      <c r="E2309">
        <v>0.33481509999999998</v>
      </c>
      <c r="F2309">
        <v>7.8568499999999999E-2</v>
      </c>
      <c r="G2309">
        <v>4.3677960000000002</v>
      </c>
      <c r="H2309">
        <v>0.74830730000000001</v>
      </c>
      <c r="Q2309" s="10">
        <f t="shared" si="90"/>
        <v>4.3365133289474316E-5</v>
      </c>
      <c r="AI2309">
        <v>0.31687900000000002</v>
      </c>
      <c r="AJ2309">
        <f t="shared" ref="AJ2309:AJ2372" si="91">MAX(MIN(AI2309,AM$5),AM$4)</f>
        <v>0.31687900000000002</v>
      </c>
      <c r="AO2309">
        <v>0.31687900000000002</v>
      </c>
      <c r="AR2309" s="8">
        <v>0</v>
      </c>
      <c r="AS2309">
        <v>3.4102579999999998</v>
      </c>
    </row>
    <row r="2310" spans="1:45" x14ac:dyDescent="0.25">
      <c r="A2310">
        <v>411</v>
      </c>
      <c r="B2310">
        <v>2000</v>
      </c>
      <c r="C2310" s="8">
        <v>0</v>
      </c>
      <c r="D2310">
        <v>0.281976</v>
      </c>
      <c r="E2310">
        <v>0.40076970000000001</v>
      </c>
      <c r="F2310">
        <v>7.6322399999999999E-2</v>
      </c>
      <c r="G2310">
        <v>6.4512539999999996</v>
      </c>
      <c r="H2310">
        <v>0.73204729999999996</v>
      </c>
      <c r="Q2310" s="10">
        <f t="shared" si="90"/>
        <v>1.4457539755265176E-6</v>
      </c>
      <c r="AI2310">
        <v>0.33084960000000002</v>
      </c>
      <c r="AJ2310">
        <f t="shared" si="91"/>
        <v>0.33084960000000002</v>
      </c>
      <c r="AO2310">
        <v>0.33084960000000002</v>
      </c>
      <c r="AR2310" s="8">
        <v>0</v>
      </c>
      <c r="AS2310">
        <v>6.0242740000000001</v>
      </c>
    </row>
    <row r="2311" spans="1:45" x14ac:dyDescent="0.25">
      <c r="A2311">
        <v>411</v>
      </c>
      <c r="B2311">
        <v>2001</v>
      </c>
      <c r="C2311" s="8">
        <v>0</v>
      </c>
      <c r="D2311">
        <v>0.31687900000000002</v>
      </c>
      <c r="E2311">
        <v>0.42134949999999999</v>
      </c>
      <c r="F2311">
        <v>4.5473800000000002E-2</v>
      </c>
      <c r="G2311">
        <v>2.8789929999999999</v>
      </c>
      <c r="H2311">
        <v>0.72095609999999999</v>
      </c>
      <c r="Q2311" s="10">
        <f t="shared" ref="Q2311:Q2374" si="92">1/(1+EXP(-(J$6+SUMPRODUCT(K$6:O$6,D2311:H2311))))</f>
        <v>5.366019616705952E-4</v>
      </c>
      <c r="AI2311">
        <v>0.3133861</v>
      </c>
      <c r="AJ2311">
        <f t="shared" si="91"/>
        <v>0.3133861</v>
      </c>
      <c r="AO2311">
        <v>0.3133861</v>
      </c>
      <c r="AR2311" s="8">
        <v>0</v>
      </c>
      <c r="AS2311">
        <v>4.3677960000000002</v>
      </c>
    </row>
    <row r="2312" spans="1:45" x14ac:dyDescent="0.25">
      <c r="A2312">
        <v>411</v>
      </c>
      <c r="B2312">
        <v>2002</v>
      </c>
      <c r="C2312" s="8">
        <v>0</v>
      </c>
      <c r="D2312">
        <v>0.33084960000000002</v>
      </c>
      <c r="E2312">
        <v>0.4521096</v>
      </c>
      <c r="F2312">
        <v>6.0241099999999999E-2</v>
      </c>
      <c r="G2312">
        <v>2.2443569999999999</v>
      </c>
      <c r="H2312">
        <v>0.69117589999999995</v>
      </c>
      <c r="Q2312" s="10">
        <f t="shared" si="92"/>
        <v>1.236934584112964E-3</v>
      </c>
      <c r="AI2312">
        <v>0.2286714</v>
      </c>
      <c r="AJ2312">
        <f t="shared" si="91"/>
        <v>0.2286714</v>
      </c>
      <c r="AO2312">
        <v>0.2286714</v>
      </c>
      <c r="AR2312" s="8">
        <v>0</v>
      </c>
      <c r="AS2312">
        <v>6.4512539999999996</v>
      </c>
    </row>
    <row r="2313" spans="1:45" x14ac:dyDescent="0.25">
      <c r="A2313">
        <v>411</v>
      </c>
      <c r="B2313">
        <v>2003</v>
      </c>
      <c r="C2313" s="8">
        <v>0</v>
      </c>
      <c r="D2313">
        <v>0.3133861</v>
      </c>
      <c r="E2313">
        <v>0.50031939999999997</v>
      </c>
      <c r="F2313">
        <v>6.3680100000000003E-2</v>
      </c>
      <c r="G2313">
        <v>3.1842890000000001</v>
      </c>
      <c r="H2313">
        <v>0.72783920000000002</v>
      </c>
      <c r="Q2313" s="10">
        <f t="shared" si="92"/>
        <v>2.5503004460096919E-4</v>
      </c>
      <c r="AI2313">
        <v>0.52018319999999996</v>
      </c>
      <c r="AJ2313">
        <f t="shared" si="91"/>
        <v>0.52018319999999996</v>
      </c>
      <c r="AO2313">
        <v>0.52018319999999996</v>
      </c>
      <c r="AR2313" s="8">
        <v>0</v>
      </c>
      <c r="AS2313">
        <v>2.8789929999999999</v>
      </c>
    </row>
    <row r="2314" spans="1:45" x14ac:dyDescent="0.25">
      <c r="A2314">
        <v>411</v>
      </c>
      <c r="B2314">
        <v>2004</v>
      </c>
      <c r="C2314" s="8">
        <v>0</v>
      </c>
      <c r="D2314">
        <v>0.2286714</v>
      </c>
      <c r="E2314">
        <v>0.40349760000000001</v>
      </c>
      <c r="F2314">
        <v>4.6937199999999998E-2</v>
      </c>
      <c r="G2314">
        <v>2.4364129999999999</v>
      </c>
      <c r="H2314">
        <v>0.63163939999999996</v>
      </c>
      <c r="Q2314" s="10">
        <f t="shared" si="92"/>
        <v>1.0046838170748472E-3</v>
      </c>
      <c r="AI2314">
        <v>0.49609579999999998</v>
      </c>
      <c r="AJ2314">
        <f t="shared" si="91"/>
        <v>0.49609579999999998</v>
      </c>
      <c r="AO2314">
        <v>0.49609579999999998</v>
      </c>
      <c r="AR2314" s="8">
        <v>0</v>
      </c>
      <c r="AS2314">
        <v>2.2443569999999999</v>
      </c>
    </row>
    <row r="2315" spans="1:45" x14ac:dyDescent="0.25">
      <c r="A2315">
        <v>412</v>
      </c>
      <c r="B2315">
        <v>1995</v>
      </c>
      <c r="C2315" s="8">
        <v>0</v>
      </c>
      <c r="D2315">
        <v>0.52018319999999996</v>
      </c>
      <c r="E2315">
        <v>0.73729489999999998</v>
      </c>
      <c r="F2315">
        <v>8.4962700000000002E-2</v>
      </c>
      <c r="G2315">
        <v>2.973986</v>
      </c>
      <c r="H2315">
        <v>0.521733</v>
      </c>
      <c r="Q2315" s="10">
        <f t="shared" si="92"/>
        <v>2.0432847481742752E-4</v>
      </c>
      <c r="AI2315">
        <v>0.49613760000000001</v>
      </c>
      <c r="AJ2315">
        <f t="shared" si="91"/>
        <v>0.49613760000000001</v>
      </c>
      <c r="AO2315">
        <v>0.49613760000000001</v>
      </c>
      <c r="AR2315" s="8">
        <v>0</v>
      </c>
      <c r="AS2315">
        <v>3.1842890000000001</v>
      </c>
    </row>
    <row r="2316" spans="1:45" x14ac:dyDescent="0.25">
      <c r="A2316">
        <v>412</v>
      </c>
      <c r="B2316">
        <v>1996</v>
      </c>
      <c r="C2316" s="8">
        <v>0</v>
      </c>
      <c r="D2316">
        <v>0.49609579999999998</v>
      </c>
      <c r="E2316">
        <v>0.74701019999999996</v>
      </c>
      <c r="F2316">
        <v>9.2119699999999999E-2</v>
      </c>
      <c r="G2316">
        <v>3.1543570000000001</v>
      </c>
      <c r="H2316">
        <v>0.48510999999999999</v>
      </c>
      <c r="Q2316" s="10">
        <f t="shared" si="92"/>
        <v>1.381449723234946E-4</v>
      </c>
      <c r="AI2316">
        <v>0.14715739999999999</v>
      </c>
      <c r="AJ2316">
        <f t="shared" si="91"/>
        <v>0.14715739999999999</v>
      </c>
      <c r="AO2316">
        <v>0.14715739999999999</v>
      </c>
      <c r="AR2316" s="8">
        <v>0</v>
      </c>
      <c r="AS2316">
        <v>2.4364129999999999</v>
      </c>
    </row>
    <row r="2317" spans="1:45" x14ac:dyDescent="0.25">
      <c r="A2317">
        <v>412</v>
      </c>
      <c r="B2317">
        <v>1997</v>
      </c>
      <c r="C2317" s="8">
        <v>0</v>
      </c>
      <c r="D2317">
        <v>0.49613760000000001</v>
      </c>
      <c r="E2317">
        <v>0.78374060000000001</v>
      </c>
      <c r="F2317">
        <v>8.3183099999999996E-2</v>
      </c>
      <c r="G2317">
        <v>4.153295</v>
      </c>
      <c r="H2317">
        <v>0.49921270000000001</v>
      </c>
      <c r="Q2317" s="10">
        <f t="shared" si="92"/>
        <v>2.888567526479684E-5</v>
      </c>
      <c r="AI2317">
        <v>0.15126290000000001</v>
      </c>
      <c r="AJ2317">
        <f t="shared" si="91"/>
        <v>0.15126290000000001</v>
      </c>
      <c r="AO2317">
        <v>0.15126290000000001</v>
      </c>
      <c r="AR2317" s="8">
        <v>0</v>
      </c>
      <c r="AS2317">
        <v>2.973986</v>
      </c>
    </row>
    <row r="2318" spans="1:45" x14ac:dyDescent="0.25">
      <c r="A2318">
        <v>413</v>
      </c>
      <c r="B2318">
        <v>1995</v>
      </c>
      <c r="C2318" s="8">
        <v>0</v>
      </c>
      <c r="D2318">
        <v>0.14715739999999999</v>
      </c>
      <c r="E2318">
        <v>0.55138779999999998</v>
      </c>
      <c r="F2318">
        <v>7.2174199999999994E-2</v>
      </c>
      <c r="G2318">
        <v>6.6948869999999996</v>
      </c>
      <c r="H2318">
        <v>0.21290870000000001</v>
      </c>
      <c r="Q2318" s="10">
        <f t="shared" si="92"/>
        <v>5.5820476994189116E-7</v>
      </c>
      <c r="AI2318">
        <v>0.14123920000000001</v>
      </c>
      <c r="AJ2318">
        <f t="shared" si="91"/>
        <v>0.14123920000000001</v>
      </c>
      <c r="AO2318">
        <v>0.14123920000000001</v>
      </c>
      <c r="AR2318" s="8">
        <v>0</v>
      </c>
      <c r="AS2318">
        <v>3.1543570000000001</v>
      </c>
    </row>
    <row r="2319" spans="1:45" x14ac:dyDescent="0.25">
      <c r="A2319">
        <v>413</v>
      </c>
      <c r="B2319">
        <v>1996</v>
      </c>
      <c r="C2319" s="8">
        <v>0</v>
      </c>
      <c r="D2319">
        <v>0.15126290000000001</v>
      </c>
      <c r="E2319">
        <v>0.65078659999999999</v>
      </c>
      <c r="F2319">
        <v>7.5151399999999993E-2</v>
      </c>
      <c r="G2319">
        <v>7.8257729999999999</v>
      </c>
      <c r="H2319">
        <v>0.26072139999999999</v>
      </c>
      <c r="Q2319" s="10">
        <f t="shared" si="92"/>
        <v>8.0281730013848953E-8</v>
      </c>
      <c r="AI2319">
        <v>0.16530800000000001</v>
      </c>
      <c r="AJ2319">
        <f t="shared" si="91"/>
        <v>0.16530800000000001</v>
      </c>
      <c r="AO2319">
        <v>0.16530800000000001</v>
      </c>
      <c r="AR2319" s="8">
        <v>0</v>
      </c>
      <c r="AS2319">
        <v>4.153295</v>
      </c>
    </row>
    <row r="2320" spans="1:45" x14ac:dyDescent="0.25">
      <c r="A2320">
        <v>413</v>
      </c>
      <c r="B2320">
        <v>1997</v>
      </c>
      <c r="C2320" s="8">
        <v>0</v>
      </c>
      <c r="D2320">
        <v>0.14123920000000001</v>
      </c>
      <c r="E2320">
        <v>0.70688519999999999</v>
      </c>
      <c r="F2320">
        <v>7.9731200000000002E-2</v>
      </c>
      <c r="G2320">
        <v>9.6248419999999992</v>
      </c>
      <c r="H2320">
        <v>0.28487760000000001</v>
      </c>
      <c r="Q2320" s="10">
        <f t="shared" si="92"/>
        <v>4.1007501905158726E-9</v>
      </c>
      <c r="AI2320">
        <v>0.1130039</v>
      </c>
      <c r="AJ2320">
        <f t="shared" si="91"/>
        <v>0.1130039</v>
      </c>
      <c r="AO2320">
        <v>0.1130039</v>
      </c>
      <c r="AR2320" s="8">
        <v>0</v>
      </c>
      <c r="AS2320">
        <v>6.6948869999999996</v>
      </c>
    </row>
    <row r="2321" spans="1:45" x14ac:dyDescent="0.25">
      <c r="A2321">
        <v>413</v>
      </c>
      <c r="B2321">
        <v>1998</v>
      </c>
      <c r="C2321" s="8">
        <v>0</v>
      </c>
      <c r="D2321">
        <v>0.16530800000000001</v>
      </c>
      <c r="E2321">
        <v>0.66592689999999999</v>
      </c>
      <c r="F2321">
        <v>7.7961100000000005E-2</v>
      </c>
      <c r="G2321">
        <v>9.2584400000000002</v>
      </c>
      <c r="H2321">
        <v>0.27869840000000001</v>
      </c>
      <c r="Q2321" s="10">
        <f t="shared" si="92"/>
        <v>7.9639409476378199E-9</v>
      </c>
      <c r="AI2321">
        <v>0.1175964</v>
      </c>
      <c r="AJ2321">
        <f t="shared" si="91"/>
        <v>0.1175964</v>
      </c>
      <c r="AO2321">
        <v>0.1175964</v>
      </c>
      <c r="AR2321" s="8">
        <v>0</v>
      </c>
      <c r="AS2321">
        <v>7.8257729999999999</v>
      </c>
    </row>
    <row r="2322" spans="1:45" x14ac:dyDescent="0.25">
      <c r="A2322">
        <v>413</v>
      </c>
      <c r="B2322">
        <v>1999</v>
      </c>
      <c r="C2322" s="8">
        <v>0</v>
      </c>
      <c r="D2322">
        <v>0.1130039</v>
      </c>
      <c r="E2322">
        <v>0.68495309999999998</v>
      </c>
      <c r="F2322">
        <v>8.9638200000000001E-2</v>
      </c>
      <c r="G2322">
        <v>7.0249009999999998</v>
      </c>
      <c r="H2322">
        <v>0.29488959999999997</v>
      </c>
      <c r="Q2322" s="10">
        <f t="shared" si="92"/>
        <v>2.4507585077963549E-7</v>
      </c>
      <c r="AI2322">
        <v>5.0489300000000001E-2</v>
      </c>
      <c r="AJ2322">
        <f t="shared" si="91"/>
        <v>5.0489300000000001E-2</v>
      </c>
      <c r="AO2322">
        <v>5.0489300000000001E-2</v>
      </c>
      <c r="AR2322" s="8">
        <v>0</v>
      </c>
      <c r="AS2322">
        <v>9.6248419999999992</v>
      </c>
    </row>
    <row r="2323" spans="1:45" x14ac:dyDescent="0.25">
      <c r="A2323">
        <v>413</v>
      </c>
      <c r="B2323">
        <v>2000</v>
      </c>
      <c r="C2323" s="8">
        <v>0</v>
      </c>
      <c r="D2323">
        <v>0.1175964</v>
      </c>
      <c r="E2323">
        <v>0.72319049999999996</v>
      </c>
      <c r="F2323">
        <v>9.1867900000000002E-2</v>
      </c>
      <c r="G2323">
        <v>8.6263509999999997</v>
      </c>
      <c r="H2323">
        <v>0.33089619999999997</v>
      </c>
      <c r="Q2323" s="10">
        <f t="shared" si="92"/>
        <v>1.81794204268343E-8</v>
      </c>
      <c r="AI2323">
        <v>8.9470900000000006E-2</v>
      </c>
      <c r="AJ2323">
        <f t="shared" si="91"/>
        <v>8.9470900000000006E-2</v>
      </c>
      <c r="AO2323">
        <v>8.9470900000000006E-2</v>
      </c>
      <c r="AR2323" s="8">
        <v>0</v>
      </c>
      <c r="AS2323">
        <v>9.2584400000000002</v>
      </c>
    </row>
    <row r="2324" spans="1:45" x14ac:dyDescent="0.25">
      <c r="A2324">
        <v>413</v>
      </c>
      <c r="B2324">
        <v>2001</v>
      </c>
      <c r="C2324" s="8">
        <v>0</v>
      </c>
      <c r="D2324">
        <v>5.0489300000000001E-2</v>
      </c>
      <c r="E2324">
        <v>0.75269839999999999</v>
      </c>
      <c r="F2324">
        <v>9.0657100000000004E-2</v>
      </c>
      <c r="G2324">
        <v>4.8189399999999996</v>
      </c>
      <c r="H2324">
        <v>0.32331280000000001</v>
      </c>
      <c r="Q2324" s="10">
        <f t="shared" si="92"/>
        <v>7.3468195921840802E-6</v>
      </c>
      <c r="AI2324">
        <v>6.7893300000000004E-2</v>
      </c>
      <c r="AJ2324">
        <f t="shared" si="91"/>
        <v>6.7893300000000004E-2</v>
      </c>
      <c r="AO2324">
        <v>6.7893300000000004E-2</v>
      </c>
      <c r="AR2324" s="8">
        <v>0</v>
      </c>
      <c r="AS2324">
        <v>7.0249009999999998</v>
      </c>
    </row>
    <row r="2325" spans="1:45" x14ac:dyDescent="0.25">
      <c r="A2325">
        <v>413</v>
      </c>
      <c r="B2325">
        <v>2002</v>
      </c>
      <c r="C2325" s="8">
        <v>0</v>
      </c>
      <c r="D2325">
        <v>8.9470900000000006E-2</v>
      </c>
      <c r="E2325">
        <v>0.77353300000000003</v>
      </c>
      <c r="F2325">
        <v>8.3608000000000002E-2</v>
      </c>
      <c r="G2325">
        <v>4.3690090000000001</v>
      </c>
      <c r="H2325">
        <v>0.1577556</v>
      </c>
      <c r="Q2325" s="10">
        <f t="shared" si="92"/>
        <v>1.4166993670153324E-5</v>
      </c>
      <c r="AI2325">
        <v>7.7546500000000004E-2</v>
      </c>
      <c r="AJ2325">
        <f t="shared" si="91"/>
        <v>7.7546500000000004E-2</v>
      </c>
      <c r="AO2325">
        <v>7.7546500000000004E-2</v>
      </c>
      <c r="AR2325" s="8">
        <v>0</v>
      </c>
      <c r="AS2325">
        <v>8.6263509999999997</v>
      </c>
    </row>
    <row r="2326" spans="1:45" x14ac:dyDescent="0.25">
      <c r="A2326">
        <v>413</v>
      </c>
      <c r="B2326">
        <v>2003</v>
      </c>
      <c r="C2326" s="8">
        <v>0</v>
      </c>
      <c r="D2326">
        <v>6.7893300000000004E-2</v>
      </c>
      <c r="E2326">
        <v>0.87856259999999997</v>
      </c>
      <c r="F2326">
        <v>9.3546199999999996E-2</v>
      </c>
      <c r="G2326">
        <v>4.1444470000000004</v>
      </c>
      <c r="H2326">
        <v>0.17106850000000001</v>
      </c>
      <c r="Q2326" s="10">
        <f t="shared" si="92"/>
        <v>1.6052600748533047E-5</v>
      </c>
      <c r="AI2326">
        <v>4.0332300000000001E-2</v>
      </c>
      <c r="AJ2326">
        <f t="shared" si="91"/>
        <v>4.0332300000000001E-2</v>
      </c>
      <c r="AO2326">
        <v>4.0332300000000001E-2</v>
      </c>
      <c r="AR2326" s="8">
        <v>0</v>
      </c>
      <c r="AS2326">
        <v>4.8189399999999996</v>
      </c>
    </row>
    <row r="2327" spans="1:45" x14ac:dyDescent="0.25">
      <c r="A2327">
        <v>413</v>
      </c>
      <c r="B2327">
        <v>2004</v>
      </c>
      <c r="C2327" s="8">
        <v>0</v>
      </c>
      <c r="D2327">
        <v>7.7546500000000004E-2</v>
      </c>
      <c r="E2327">
        <v>0.89712080000000005</v>
      </c>
      <c r="F2327">
        <v>7.7442300000000006E-2</v>
      </c>
      <c r="G2327">
        <v>2.8492440000000001</v>
      </c>
      <c r="H2327">
        <v>0.17775150000000001</v>
      </c>
      <c r="Q2327" s="10">
        <f t="shared" si="92"/>
        <v>1.4113934317580817E-4</v>
      </c>
      <c r="AI2327">
        <v>0.34051500000000001</v>
      </c>
      <c r="AJ2327">
        <f t="shared" si="91"/>
        <v>0.34051500000000001</v>
      </c>
      <c r="AO2327">
        <v>0.34051500000000001</v>
      </c>
      <c r="AR2327" s="8">
        <v>0</v>
      </c>
      <c r="AS2327">
        <v>4.3690090000000001</v>
      </c>
    </row>
    <row r="2328" spans="1:45" x14ac:dyDescent="0.25">
      <c r="A2328">
        <v>414</v>
      </c>
      <c r="B2328">
        <v>1995</v>
      </c>
      <c r="C2328" s="8">
        <v>1</v>
      </c>
      <c r="D2328">
        <v>4.0332300000000001E-2</v>
      </c>
      <c r="E2328">
        <v>-0.19844149999999999</v>
      </c>
      <c r="F2328">
        <v>3.4754100000000003E-2</v>
      </c>
      <c r="G2328">
        <v>0.2141342</v>
      </c>
      <c r="H2328">
        <v>6.6475900000000004E-2</v>
      </c>
      <c r="Q2328" s="10">
        <f t="shared" si="92"/>
        <v>5.6451200706221331E-2</v>
      </c>
      <c r="AI2328">
        <v>0.33793069999999997</v>
      </c>
      <c r="AJ2328">
        <f t="shared" si="91"/>
        <v>0.33793069999999997</v>
      </c>
      <c r="AO2328">
        <v>0.33793069999999997</v>
      </c>
      <c r="AR2328" s="8">
        <v>0</v>
      </c>
      <c r="AS2328">
        <v>4.1444470000000004</v>
      </c>
    </row>
    <row r="2329" spans="1:45" x14ac:dyDescent="0.25">
      <c r="A2329">
        <v>415</v>
      </c>
      <c r="B2329">
        <v>1995</v>
      </c>
      <c r="C2329" s="8">
        <v>0</v>
      </c>
      <c r="D2329">
        <v>0.34051500000000001</v>
      </c>
      <c r="E2329">
        <v>0.1418838</v>
      </c>
      <c r="F2329">
        <v>6.1974099999999997E-2</v>
      </c>
      <c r="G2329">
        <v>0.71697100000000002</v>
      </c>
      <c r="H2329">
        <v>0.65601390000000004</v>
      </c>
      <c r="Q2329" s="10">
        <f t="shared" si="92"/>
        <v>2.1032679391687174E-2</v>
      </c>
      <c r="AI2329">
        <v>0.41005049999999998</v>
      </c>
      <c r="AJ2329">
        <f t="shared" si="91"/>
        <v>0.41005049999999998</v>
      </c>
      <c r="AO2329">
        <v>0.41005049999999998</v>
      </c>
      <c r="AR2329" s="8">
        <v>0</v>
      </c>
      <c r="AS2329">
        <v>2.8492440000000001</v>
      </c>
    </row>
    <row r="2330" spans="1:45" x14ac:dyDescent="0.25">
      <c r="A2330">
        <v>415</v>
      </c>
      <c r="B2330">
        <v>1996</v>
      </c>
      <c r="C2330" s="8">
        <v>0</v>
      </c>
      <c r="D2330">
        <v>0.33793069999999997</v>
      </c>
      <c r="E2330">
        <v>0.1036189</v>
      </c>
      <c r="F2330">
        <v>4.0571299999999998E-2</v>
      </c>
      <c r="G2330">
        <v>0.71656580000000003</v>
      </c>
      <c r="H2330">
        <v>0.65698699999999999</v>
      </c>
      <c r="Q2330" s="10">
        <f t="shared" si="92"/>
        <v>2.625219366110124E-2</v>
      </c>
      <c r="AI2330">
        <v>0.4484901</v>
      </c>
      <c r="AJ2330">
        <f t="shared" si="91"/>
        <v>0.4484901</v>
      </c>
      <c r="AO2330">
        <v>0.4484901</v>
      </c>
      <c r="AR2330" s="8">
        <v>1</v>
      </c>
      <c r="AS2330">
        <v>0.2141342</v>
      </c>
    </row>
    <row r="2331" spans="1:45" x14ac:dyDescent="0.25">
      <c r="A2331">
        <v>415</v>
      </c>
      <c r="B2331">
        <v>1997</v>
      </c>
      <c r="C2331" s="8">
        <v>0</v>
      </c>
      <c r="D2331">
        <v>0.41005049999999998</v>
      </c>
      <c r="E2331">
        <v>0.12875320000000001</v>
      </c>
      <c r="F2331">
        <v>7.12034E-2</v>
      </c>
      <c r="G2331">
        <v>1.9411480000000001</v>
      </c>
      <c r="H2331">
        <v>0.58719270000000001</v>
      </c>
      <c r="Q2331" s="10">
        <f t="shared" si="92"/>
        <v>2.8436174141507624E-3</v>
      </c>
      <c r="AI2331">
        <v>0.43197419999999997</v>
      </c>
      <c r="AJ2331">
        <f t="shared" si="91"/>
        <v>0.43197419999999997</v>
      </c>
      <c r="AO2331">
        <v>0.43197419999999997</v>
      </c>
      <c r="AR2331" s="8">
        <v>0</v>
      </c>
      <c r="AS2331">
        <v>0.71697100000000002</v>
      </c>
    </row>
    <row r="2332" spans="1:45" x14ac:dyDescent="0.25">
      <c r="A2332">
        <v>415</v>
      </c>
      <c r="B2332">
        <v>1998</v>
      </c>
      <c r="C2332" s="8">
        <v>0</v>
      </c>
      <c r="D2332">
        <v>0.4484901</v>
      </c>
      <c r="E2332">
        <v>0.17193140000000001</v>
      </c>
      <c r="F2332">
        <v>8.8483699999999998E-2</v>
      </c>
      <c r="G2332">
        <v>1.131175</v>
      </c>
      <c r="H2332">
        <v>0.58739079999999999</v>
      </c>
      <c r="Q2332" s="10">
        <f t="shared" si="92"/>
        <v>8.5433791513365685E-3</v>
      </c>
      <c r="AI2332">
        <v>0.40655570000000002</v>
      </c>
      <c r="AJ2332">
        <f t="shared" si="91"/>
        <v>0.40655570000000002</v>
      </c>
      <c r="AO2332">
        <v>0.40655570000000002</v>
      </c>
      <c r="AR2332" s="8">
        <v>0</v>
      </c>
      <c r="AS2332">
        <v>0.71656580000000003</v>
      </c>
    </row>
    <row r="2333" spans="1:45" x14ac:dyDescent="0.25">
      <c r="A2333">
        <v>415</v>
      </c>
      <c r="B2333">
        <v>1999</v>
      </c>
      <c r="C2333" s="8">
        <v>0</v>
      </c>
      <c r="D2333">
        <v>0.43197419999999997</v>
      </c>
      <c r="E2333">
        <v>0.22220419999999999</v>
      </c>
      <c r="F2333">
        <v>9.8017099999999996E-2</v>
      </c>
      <c r="G2333">
        <v>1.5929960000000001</v>
      </c>
      <c r="H2333">
        <v>0.6405554</v>
      </c>
      <c r="Q2333" s="10">
        <f t="shared" si="92"/>
        <v>3.636006577495232E-3</v>
      </c>
      <c r="AI2333">
        <v>0.44828200000000001</v>
      </c>
      <c r="AJ2333">
        <f t="shared" si="91"/>
        <v>0.44828200000000001</v>
      </c>
      <c r="AO2333">
        <v>0.44828200000000001</v>
      </c>
      <c r="AR2333" s="8">
        <v>0</v>
      </c>
      <c r="AS2333">
        <v>1.9411480000000001</v>
      </c>
    </row>
    <row r="2334" spans="1:45" x14ac:dyDescent="0.25">
      <c r="A2334">
        <v>415</v>
      </c>
      <c r="B2334">
        <v>2000</v>
      </c>
      <c r="C2334" s="8">
        <v>0</v>
      </c>
      <c r="D2334">
        <v>0.40655570000000002</v>
      </c>
      <c r="E2334">
        <v>0.2449897</v>
      </c>
      <c r="F2334">
        <v>9.9010399999999998E-2</v>
      </c>
      <c r="G2334">
        <v>2.9023059999999998</v>
      </c>
      <c r="H2334">
        <v>0.74017849999999996</v>
      </c>
      <c r="Q2334" s="10">
        <f t="shared" si="92"/>
        <v>4.573490034431311E-4</v>
      </c>
      <c r="AI2334">
        <v>0.51431490000000002</v>
      </c>
      <c r="AJ2334">
        <f t="shared" si="91"/>
        <v>0.51431490000000002</v>
      </c>
      <c r="AO2334">
        <v>0.51431490000000002</v>
      </c>
      <c r="AR2334" s="8">
        <v>0</v>
      </c>
      <c r="AS2334">
        <v>1.131175</v>
      </c>
    </row>
    <row r="2335" spans="1:45" x14ac:dyDescent="0.25">
      <c r="A2335">
        <v>415</v>
      </c>
      <c r="B2335">
        <v>2001</v>
      </c>
      <c r="C2335" s="8">
        <v>0</v>
      </c>
      <c r="D2335">
        <v>0.44828200000000001</v>
      </c>
      <c r="E2335">
        <v>0.28871340000000001</v>
      </c>
      <c r="F2335">
        <v>0.1111301</v>
      </c>
      <c r="G2335">
        <v>3.9279419999999998</v>
      </c>
      <c r="H2335">
        <v>0.67083000000000004</v>
      </c>
      <c r="Q2335" s="10">
        <f t="shared" si="92"/>
        <v>7.4082224987901478E-5</v>
      </c>
      <c r="AI2335">
        <v>0.52718419999999999</v>
      </c>
      <c r="AJ2335">
        <f t="shared" si="91"/>
        <v>0.52051970800000003</v>
      </c>
      <c r="AO2335">
        <v>0.52051970800000003</v>
      </c>
      <c r="AR2335" s="8">
        <v>0</v>
      </c>
      <c r="AS2335">
        <v>1.5929960000000001</v>
      </c>
    </row>
    <row r="2336" spans="1:45" x14ac:dyDescent="0.25">
      <c r="A2336">
        <v>415</v>
      </c>
      <c r="B2336">
        <v>2002</v>
      </c>
      <c r="C2336" s="8">
        <v>0</v>
      </c>
      <c r="D2336">
        <v>0.51431490000000002</v>
      </c>
      <c r="E2336">
        <v>0.34846519999999997</v>
      </c>
      <c r="F2336">
        <v>9.8206600000000005E-2</v>
      </c>
      <c r="G2336">
        <v>4.1770339999999999</v>
      </c>
      <c r="H2336">
        <v>0.65079640000000005</v>
      </c>
      <c r="Q2336" s="10">
        <f t="shared" si="92"/>
        <v>5.1402696779094092E-5</v>
      </c>
      <c r="AI2336">
        <v>0.53091909999999998</v>
      </c>
      <c r="AJ2336">
        <f t="shared" si="91"/>
        <v>0.52051970800000003</v>
      </c>
      <c r="AO2336">
        <v>0.52051970800000003</v>
      </c>
      <c r="AR2336" s="8">
        <v>0</v>
      </c>
      <c r="AS2336">
        <v>2.9023059999999998</v>
      </c>
    </row>
    <row r="2337" spans="1:45" x14ac:dyDescent="0.25">
      <c r="A2337">
        <v>415</v>
      </c>
      <c r="B2337">
        <v>2003</v>
      </c>
      <c r="C2337" s="8">
        <v>0</v>
      </c>
      <c r="D2337">
        <v>0.52718419999999999</v>
      </c>
      <c r="E2337">
        <v>0.40423819999999999</v>
      </c>
      <c r="F2337">
        <v>0.1165651</v>
      </c>
      <c r="G2337">
        <v>4.8299370000000001</v>
      </c>
      <c r="H2337">
        <v>0.61661189999999999</v>
      </c>
      <c r="Q2337" s="10">
        <f t="shared" si="92"/>
        <v>1.4231640075480587E-5</v>
      </c>
      <c r="AI2337">
        <v>-2.23742E-2</v>
      </c>
      <c r="AJ2337">
        <f t="shared" si="91"/>
        <v>-2.23742E-2</v>
      </c>
      <c r="AO2337">
        <v>-2.23742E-2</v>
      </c>
      <c r="AR2337" s="8">
        <v>0</v>
      </c>
      <c r="AS2337">
        <v>3.9279419999999998</v>
      </c>
    </row>
    <row r="2338" spans="1:45" x14ac:dyDescent="0.25">
      <c r="A2338">
        <v>415</v>
      </c>
      <c r="B2338">
        <v>2004</v>
      </c>
      <c r="C2338" s="8">
        <v>0</v>
      </c>
      <c r="D2338">
        <v>0.53091909999999998</v>
      </c>
      <c r="E2338">
        <v>0.41170899999999999</v>
      </c>
      <c r="F2338">
        <v>0.10367899999999999</v>
      </c>
      <c r="G2338">
        <v>5.1089370000000001</v>
      </c>
      <c r="H2338">
        <v>0.59047749999999999</v>
      </c>
      <c r="Q2338" s="10">
        <f t="shared" si="92"/>
        <v>9.8593961210101727E-6</v>
      </c>
      <c r="AI2338">
        <v>-5.2770699999999997E-2</v>
      </c>
      <c r="AJ2338">
        <f t="shared" si="91"/>
        <v>-5.2770699999999997E-2</v>
      </c>
      <c r="AO2338">
        <v>-5.2770699999999997E-2</v>
      </c>
      <c r="AR2338" s="8">
        <v>0</v>
      </c>
      <c r="AS2338">
        <v>4.1770339999999999</v>
      </c>
    </row>
    <row r="2339" spans="1:45" x14ac:dyDescent="0.25">
      <c r="A2339">
        <v>416</v>
      </c>
      <c r="B2339">
        <v>1999</v>
      </c>
      <c r="C2339" s="8">
        <v>0</v>
      </c>
      <c r="D2339">
        <v>-2.23742E-2</v>
      </c>
      <c r="E2339">
        <v>-6.0583E-3</v>
      </c>
      <c r="F2339">
        <v>3.5452200000000003E-2</v>
      </c>
      <c r="G2339">
        <v>0.62833159999999999</v>
      </c>
      <c r="H2339">
        <v>0.19132779999999999</v>
      </c>
      <c r="Q2339" s="10">
        <f t="shared" si="92"/>
        <v>2.3886643257003948E-2</v>
      </c>
      <c r="AI2339">
        <v>0.40390999999999999</v>
      </c>
      <c r="AJ2339">
        <f t="shared" si="91"/>
        <v>0.40390999999999999</v>
      </c>
      <c r="AO2339">
        <v>0.40390999999999999</v>
      </c>
      <c r="AR2339" s="8">
        <v>0</v>
      </c>
      <c r="AS2339">
        <v>4.8299370000000001</v>
      </c>
    </row>
    <row r="2340" spans="1:45" x14ac:dyDescent="0.25">
      <c r="A2340">
        <v>416</v>
      </c>
      <c r="B2340">
        <v>2000</v>
      </c>
      <c r="C2340" s="8">
        <v>0</v>
      </c>
      <c r="D2340">
        <v>-5.2770699999999997E-2</v>
      </c>
      <c r="E2340">
        <v>-8.4940000000000005E-4</v>
      </c>
      <c r="F2340">
        <v>4.0454900000000002E-2</v>
      </c>
      <c r="G2340">
        <v>0.66069160000000005</v>
      </c>
      <c r="H2340">
        <v>0.2270788</v>
      </c>
      <c r="Q2340" s="10">
        <f t="shared" si="92"/>
        <v>2.188428405763455E-2</v>
      </c>
      <c r="AI2340">
        <v>0.2843482</v>
      </c>
      <c r="AJ2340">
        <f t="shared" si="91"/>
        <v>0.2843482</v>
      </c>
      <c r="AO2340">
        <v>0.2843482</v>
      </c>
      <c r="AR2340" s="8">
        <v>0</v>
      </c>
      <c r="AS2340">
        <v>5.1089370000000001</v>
      </c>
    </row>
    <row r="2341" spans="1:45" x14ac:dyDescent="0.25">
      <c r="A2341">
        <v>417</v>
      </c>
      <c r="B2341">
        <v>1995</v>
      </c>
      <c r="C2341" s="8">
        <v>0</v>
      </c>
      <c r="D2341">
        <v>0.40390999999999999</v>
      </c>
      <c r="E2341">
        <v>-0.62836270000000005</v>
      </c>
      <c r="F2341">
        <v>-9.5758899999999994E-2</v>
      </c>
      <c r="G2341">
        <v>0.37424249999999998</v>
      </c>
      <c r="H2341">
        <v>0.2516099</v>
      </c>
      <c r="Q2341" s="10">
        <f t="shared" si="92"/>
        <v>0.24288486835837231</v>
      </c>
      <c r="AI2341">
        <v>0.1893273</v>
      </c>
      <c r="AJ2341">
        <f t="shared" si="91"/>
        <v>0.1893273</v>
      </c>
      <c r="AO2341">
        <v>0.1893273</v>
      </c>
      <c r="AR2341" s="8">
        <v>0</v>
      </c>
      <c r="AS2341">
        <v>0.62833159999999999</v>
      </c>
    </row>
    <row r="2342" spans="1:45" x14ac:dyDescent="0.25">
      <c r="A2342">
        <v>418</v>
      </c>
      <c r="B2342">
        <v>1997</v>
      </c>
      <c r="C2342" s="8">
        <v>0</v>
      </c>
      <c r="D2342">
        <v>0.2843482</v>
      </c>
      <c r="E2342">
        <v>0.53047639999999996</v>
      </c>
      <c r="F2342">
        <v>6.21868E-2</v>
      </c>
      <c r="G2342">
        <v>4.8164189999999998</v>
      </c>
      <c r="H2342">
        <v>0.23422470000000001</v>
      </c>
      <c r="Q2342" s="10">
        <f t="shared" si="92"/>
        <v>1.3340839529170623E-5</v>
      </c>
      <c r="AI2342">
        <v>0.30901220000000001</v>
      </c>
      <c r="AJ2342">
        <f t="shared" si="91"/>
        <v>0.30901220000000001</v>
      </c>
      <c r="AO2342">
        <v>0.30901220000000001</v>
      </c>
      <c r="AR2342" s="8">
        <v>0</v>
      </c>
      <c r="AS2342">
        <v>0.66069160000000005</v>
      </c>
    </row>
    <row r="2343" spans="1:45" x14ac:dyDescent="0.25">
      <c r="A2343">
        <v>418</v>
      </c>
      <c r="B2343">
        <v>1998</v>
      </c>
      <c r="C2343" s="8">
        <v>0</v>
      </c>
      <c r="D2343">
        <v>0.1893273</v>
      </c>
      <c r="E2343">
        <v>0.4825796</v>
      </c>
      <c r="F2343">
        <v>-3.3828999999999999E-3</v>
      </c>
      <c r="G2343">
        <v>2.4646080000000001</v>
      </c>
      <c r="H2343">
        <v>0.18180450000000001</v>
      </c>
      <c r="Q2343" s="10">
        <f t="shared" si="92"/>
        <v>9.5336588834090048E-4</v>
      </c>
      <c r="AI2343">
        <v>0.37306299999999998</v>
      </c>
      <c r="AJ2343">
        <f t="shared" si="91"/>
        <v>0.37306299999999998</v>
      </c>
      <c r="AO2343">
        <v>0.37306299999999998</v>
      </c>
      <c r="AR2343" s="8">
        <v>0</v>
      </c>
      <c r="AS2343">
        <v>0.37424249999999998</v>
      </c>
    </row>
    <row r="2344" spans="1:45" x14ac:dyDescent="0.25">
      <c r="A2344">
        <v>418</v>
      </c>
      <c r="B2344">
        <v>1999</v>
      </c>
      <c r="C2344" s="8">
        <v>0</v>
      </c>
      <c r="D2344">
        <v>0.30901220000000001</v>
      </c>
      <c r="E2344">
        <v>0.30733250000000001</v>
      </c>
      <c r="F2344">
        <v>1.8616600000000001E-2</v>
      </c>
      <c r="G2344">
        <v>6.294556</v>
      </c>
      <c r="H2344">
        <v>0.1939843</v>
      </c>
      <c r="Q2344" s="10">
        <f t="shared" si="92"/>
        <v>2.4437886738712413E-6</v>
      </c>
      <c r="AI2344">
        <v>0.32489889999999999</v>
      </c>
      <c r="AJ2344">
        <f t="shared" si="91"/>
        <v>0.32489889999999999</v>
      </c>
      <c r="AO2344">
        <v>0.32489889999999999</v>
      </c>
      <c r="AR2344" s="8">
        <v>0</v>
      </c>
      <c r="AS2344">
        <v>4.8164189999999998</v>
      </c>
    </row>
    <row r="2345" spans="1:45" x14ac:dyDescent="0.25">
      <c r="A2345">
        <v>418</v>
      </c>
      <c r="B2345">
        <v>2000</v>
      </c>
      <c r="C2345" s="8">
        <v>0</v>
      </c>
      <c r="D2345">
        <v>0.37306299999999998</v>
      </c>
      <c r="E2345">
        <v>0.3834497</v>
      </c>
      <c r="F2345">
        <v>0.1486152</v>
      </c>
      <c r="G2345">
        <v>13.407550000000001</v>
      </c>
      <c r="H2345">
        <v>0.25639640000000002</v>
      </c>
      <c r="Q2345" s="10">
        <f t="shared" si="92"/>
        <v>9.8602779321634811E-12</v>
      </c>
      <c r="AI2345">
        <v>0.21017169999999999</v>
      </c>
      <c r="AJ2345">
        <f t="shared" si="91"/>
        <v>0.21017169999999999</v>
      </c>
      <c r="AO2345">
        <v>0.21017169999999999</v>
      </c>
      <c r="AR2345" s="8">
        <v>0</v>
      </c>
      <c r="AS2345">
        <v>2.4646080000000001</v>
      </c>
    </row>
    <row r="2346" spans="1:45" x14ac:dyDescent="0.25">
      <c r="A2346">
        <v>418</v>
      </c>
      <c r="B2346">
        <v>2001</v>
      </c>
      <c r="C2346" s="8">
        <v>0</v>
      </c>
      <c r="D2346">
        <v>0.32489889999999999</v>
      </c>
      <c r="E2346">
        <v>0.38491059999999999</v>
      </c>
      <c r="F2346">
        <v>1.5346E-2</v>
      </c>
      <c r="G2346">
        <v>18.324850000000001</v>
      </c>
      <c r="H2346">
        <v>8.5635500000000003E-2</v>
      </c>
      <c r="Q2346" s="10">
        <f t="shared" si="92"/>
        <v>9.9563438012800054E-15</v>
      </c>
      <c r="AI2346">
        <v>0.1870329</v>
      </c>
      <c r="AJ2346">
        <f t="shared" si="91"/>
        <v>0.1870329</v>
      </c>
      <c r="AO2346">
        <v>0.1870329</v>
      </c>
      <c r="AR2346" s="8">
        <v>0</v>
      </c>
      <c r="AS2346">
        <v>6.294556</v>
      </c>
    </row>
    <row r="2347" spans="1:45" x14ac:dyDescent="0.25">
      <c r="A2347">
        <v>418</v>
      </c>
      <c r="B2347">
        <v>2002</v>
      </c>
      <c r="C2347" s="8">
        <v>0</v>
      </c>
      <c r="D2347">
        <v>0.21017169999999999</v>
      </c>
      <c r="E2347">
        <v>0.29645739999999998</v>
      </c>
      <c r="F2347">
        <v>-3.6620199999999999E-2</v>
      </c>
      <c r="G2347">
        <v>8.7915500000000009</v>
      </c>
      <c r="H2347">
        <v>0.1240029</v>
      </c>
      <c r="Q2347" s="10">
        <f t="shared" si="92"/>
        <v>6.6382885195275928E-8</v>
      </c>
      <c r="AI2347">
        <v>0.24041170000000001</v>
      </c>
      <c r="AJ2347">
        <f t="shared" si="91"/>
        <v>0.24041170000000001</v>
      </c>
      <c r="AO2347">
        <v>0.24041170000000001</v>
      </c>
      <c r="AR2347" s="8">
        <v>0</v>
      </c>
      <c r="AS2347">
        <v>13.407550000000001</v>
      </c>
    </row>
    <row r="2348" spans="1:45" x14ac:dyDescent="0.25">
      <c r="A2348">
        <v>418</v>
      </c>
      <c r="B2348">
        <v>2003</v>
      </c>
      <c r="C2348" s="8">
        <v>0</v>
      </c>
      <c r="D2348">
        <v>0.1870329</v>
      </c>
      <c r="E2348">
        <v>0.1249764</v>
      </c>
      <c r="F2348">
        <v>6.5348000000000003E-3</v>
      </c>
      <c r="G2348">
        <v>4.1579100000000002</v>
      </c>
      <c r="H2348">
        <v>0.15376380000000001</v>
      </c>
      <c r="Q2348" s="10">
        <f t="shared" si="92"/>
        <v>9.7975781141515861E-5</v>
      </c>
      <c r="AI2348">
        <v>0.47412900000000002</v>
      </c>
      <c r="AJ2348">
        <f t="shared" si="91"/>
        <v>0.47412900000000002</v>
      </c>
      <c r="AO2348">
        <v>0.47412900000000002</v>
      </c>
      <c r="AR2348" s="8">
        <v>0</v>
      </c>
      <c r="AS2348">
        <v>18.324850000000001</v>
      </c>
    </row>
    <row r="2349" spans="1:45" x14ac:dyDescent="0.25">
      <c r="A2349">
        <v>418</v>
      </c>
      <c r="B2349">
        <v>2004</v>
      </c>
      <c r="C2349" s="8">
        <v>0</v>
      </c>
      <c r="D2349">
        <v>0.24041170000000001</v>
      </c>
      <c r="E2349">
        <v>0.1515811</v>
      </c>
      <c r="F2349">
        <v>5.2308899999999998E-2</v>
      </c>
      <c r="G2349">
        <v>3.3054549999999998</v>
      </c>
      <c r="H2349">
        <v>0.1819045</v>
      </c>
      <c r="Q2349" s="10">
        <f t="shared" si="92"/>
        <v>2.6447503017001901E-4</v>
      </c>
      <c r="AI2349">
        <v>0.47232730000000001</v>
      </c>
      <c r="AJ2349">
        <f t="shared" si="91"/>
        <v>0.47232730000000001</v>
      </c>
      <c r="AO2349">
        <v>0.47232730000000001</v>
      </c>
      <c r="AR2349" s="8">
        <v>0</v>
      </c>
      <c r="AS2349">
        <v>8.7915500000000009</v>
      </c>
    </row>
    <row r="2350" spans="1:45" x14ac:dyDescent="0.25">
      <c r="A2350">
        <v>419</v>
      </c>
      <c r="B2350">
        <v>1995</v>
      </c>
      <c r="C2350" s="8">
        <v>0</v>
      </c>
      <c r="D2350">
        <v>0.47412900000000002</v>
      </c>
      <c r="E2350">
        <v>7.4717199999999998E-2</v>
      </c>
      <c r="F2350">
        <v>8.4991399999999995E-2</v>
      </c>
      <c r="G2350">
        <v>1.118212</v>
      </c>
      <c r="H2350">
        <v>0.38382060000000001</v>
      </c>
      <c r="Q2350" s="10">
        <f t="shared" si="92"/>
        <v>9.1972921610500979E-3</v>
      </c>
      <c r="AI2350">
        <v>0.4308863</v>
      </c>
      <c r="AJ2350">
        <f t="shared" si="91"/>
        <v>0.4308863</v>
      </c>
      <c r="AO2350">
        <v>0.4308863</v>
      </c>
      <c r="AR2350" s="8">
        <v>0</v>
      </c>
      <c r="AS2350">
        <v>4.1579100000000002</v>
      </c>
    </row>
    <row r="2351" spans="1:45" x14ac:dyDescent="0.25">
      <c r="A2351">
        <v>419</v>
      </c>
      <c r="B2351">
        <v>1996</v>
      </c>
      <c r="C2351" s="8">
        <v>0</v>
      </c>
      <c r="D2351">
        <v>0.47232730000000001</v>
      </c>
      <c r="E2351">
        <v>0.1422281</v>
      </c>
      <c r="F2351">
        <v>7.8341999999999995E-2</v>
      </c>
      <c r="G2351">
        <v>0.93847590000000003</v>
      </c>
      <c r="H2351">
        <v>0.3780599</v>
      </c>
      <c r="Q2351" s="10">
        <f t="shared" si="92"/>
        <v>1.1629992036376822E-2</v>
      </c>
      <c r="AI2351">
        <v>0.26601649999999999</v>
      </c>
      <c r="AJ2351">
        <f t="shared" si="91"/>
        <v>0.26601649999999999</v>
      </c>
      <c r="AO2351">
        <v>0.26601649999999999</v>
      </c>
      <c r="AR2351" s="8">
        <v>0</v>
      </c>
      <c r="AS2351">
        <v>3.3054549999999998</v>
      </c>
    </row>
    <row r="2352" spans="1:45" x14ac:dyDescent="0.25">
      <c r="A2352">
        <v>419</v>
      </c>
      <c r="B2352">
        <v>1997</v>
      </c>
      <c r="C2352" s="8">
        <v>0</v>
      </c>
      <c r="D2352">
        <v>0.4308863</v>
      </c>
      <c r="E2352">
        <v>0.21995719999999999</v>
      </c>
      <c r="F2352">
        <v>6.4696600000000007E-2</v>
      </c>
      <c r="G2352">
        <v>1.6509290000000001</v>
      </c>
      <c r="H2352">
        <v>0.34817029999999999</v>
      </c>
      <c r="Q2352" s="10">
        <f t="shared" si="92"/>
        <v>3.6209315674632877E-3</v>
      </c>
      <c r="AI2352">
        <v>0.27343149999999999</v>
      </c>
      <c r="AJ2352">
        <f t="shared" si="91"/>
        <v>0.27343149999999999</v>
      </c>
      <c r="AO2352">
        <v>0.27343149999999999</v>
      </c>
      <c r="AR2352" s="8">
        <v>0</v>
      </c>
      <c r="AS2352">
        <v>1.118212</v>
      </c>
    </row>
    <row r="2353" spans="1:45" x14ac:dyDescent="0.25">
      <c r="A2353">
        <v>420</v>
      </c>
      <c r="B2353">
        <v>2001</v>
      </c>
      <c r="C2353" s="8">
        <v>0</v>
      </c>
      <c r="D2353">
        <v>0.26601649999999999</v>
      </c>
      <c r="E2353">
        <v>0.35102810000000001</v>
      </c>
      <c r="F2353">
        <v>2.9793099999999999E-2</v>
      </c>
      <c r="G2353">
        <v>3.4300199999999998</v>
      </c>
      <c r="H2353">
        <v>0.43842520000000001</v>
      </c>
      <c r="Q2353" s="10">
        <f t="shared" si="92"/>
        <v>2.3020308768091424E-4</v>
      </c>
      <c r="AI2353">
        <v>0.28929470000000002</v>
      </c>
      <c r="AJ2353">
        <f t="shared" si="91"/>
        <v>0.28929470000000002</v>
      </c>
      <c r="AO2353">
        <v>0.28929470000000002</v>
      </c>
      <c r="AR2353" s="8">
        <v>0</v>
      </c>
      <c r="AS2353">
        <v>0.93847590000000003</v>
      </c>
    </row>
    <row r="2354" spans="1:45" x14ac:dyDescent="0.25">
      <c r="A2354">
        <v>420</v>
      </c>
      <c r="B2354">
        <v>2002</v>
      </c>
      <c r="C2354" s="8">
        <v>0</v>
      </c>
      <c r="D2354">
        <v>0.27343149999999999</v>
      </c>
      <c r="E2354">
        <v>0.26872940000000001</v>
      </c>
      <c r="F2354">
        <v>5.4041800000000001E-2</v>
      </c>
      <c r="G2354">
        <v>2.4654579999999999</v>
      </c>
      <c r="H2354">
        <v>0.4635533</v>
      </c>
      <c r="Q2354" s="10">
        <f t="shared" si="92"/>
        <v>1.0119580931084557E-3</v>
      </c>
      <c r="AI2354">
        <v>0.2002565</v>
      </c>
      <c r="AJ2354">
        <f t="shared" si="91"/>
        <v>0.2002565</v>
      </c>
      <c r="AO2354">
        <v>0.2002565</v>
      </c>
      <c r="AR2354" s="8">
        <v>0</v>
      </c>
      <c r="AS2354">
        <v>1.6509290000000001</v>
      </c>
    </row>
    <row r="2355" spans="1:45" x14ac:dyDescent="0.25">
      <c r="A2355">
        <v>420</v>
      </c>
      <c r="B2355">
        <v>2003</v>
      </c>
      <c r="C2355" s="8">
        <v>0</v>
      </c>
      <c r="D2355">
        <v>0.28929470000000002</v>
      </c>
      <c r="E2355">
        <v>0.29546509999999998</v>
      </c>
      <c r="F2355">
        <v>6.2670199999999995E-2</v>
      </c>
      <c r="G2355">
        <v>3.3695050000000002</v>
      </c>
      <c r="H2355">
        <v>0.52416819999999997</v>
      </c>
      <c r="Q2355" s="10">
        <f t="shared" si="92"/>
        <v>2.2497525729332622E-4</v>
      </c>
      <c r="AI2355">
        <v>0.17903079999999999</v>
      </c>
      <c r="AJ2355">
        <f t="shared" si="91"/>
        <v>0.17903079999999999</v>
      </c>
      <c r="AO2355">
        <v>0.17903079999999999</v>
      </c>
      <c r="AR2355" s="8">
        <v>0</v>
      </c>
      <c r="AS2355">
        <v>3.4300199999999998</v>
      </c>
    </row>
    <row r="2356" spans="1:45" x14ac:dyDescent="0.25">
      <c r="A2356">
        <v>421</v>
      </c>
      <c r="B2356">
        <v>1995</v>
      </c>
      <c r="C2356" s="8">
        <v>0</v>
      </c>
      <c r="D2356">
        <v>0.2002565</v>
      </c>
      <c r="E2356">
        <v>1.0096879999999999</v>
      </c>
      <c r="F2356">
        <v>9.0636599999999998E-2</v>
      </c>
      <c r="G2356">
        <v>6.0107920000000004</v>
      </c>
      <c r="H2356">
        <v>0.30742370000000002</v>
      </c>
      <c r="Q2356" s="10">
        <f t="shared" si="92"/>
        <v>7.9744473025402257E-7</v>
      </c>
      <c r="AI2356">
        <v>9.7176399999999996E-2</v>
      </c>
      <c r="AJ2356">
        <f t="shared" si="91"/>
        <v>9.7176399999999996E-2</v>
      </c>
      <c r="AO2356">
        <v>9.7176399999999996E-2</v>
      </c>
      <c r="AR2356" s="8">
        <v>0</v>
      </c>
      <c r="AS2356">
        <v>2.4654579999999999</v>
      </c>
    </row>
    <row r="2357" spans="1:45" x14ac:dyDescent="0.25">
      <c r="A2357">
        <v>421</v>
      </c>
      <c r="B2357">
        <v>1996</v>
      </c>
      <c r="C2357" s="8">
        <v>0</v>
      </c>
      <c r="D2357">
        <v>0.17903079999999999</v>
      </c>
      <c r="E2357">
        <v>0.84423479999999995</v>
      </c>
      <c r="F2357">
        <v>7.5421799999999997E-2</v>
      </c>
      <c r="G2357">
        <v>3.890018</v>
      </c>
      <c r="H2357">
        <v>0.25645200000000001</v>
      </c>
      <c r="Q2357" s="10">
        <f t="shared" si="92"/>
        <v>3.2303363006102044E-5</v>
      </c>
      <c r="AI2357">
        <v>4.2705399999999998E-2</v>
      </c>
      <c r="AJ2357">
        <f t="shared" si="91"/>
        <v>4.2705399999999998E-2</v>
      </c>
      <c r="AO2357">
        <v>4.2705399999999998E-2</v>
      </c>
      <c r="AR2357" s="8">
        <v>0</v>
      </c>
      <c r="AS2357">
        <v>3.3695050000000002</v>
      </c>
    </row>
    <row r="2358" spans="1:45" x14ac:dyDescent="0.25">
      <c r="A2358">
        <v>421</v>
      </c>
      <c r="B2358">
        <v>1997</v>
      </c>
      <c r="C2358" s="8">
        <v>0</v>
      </c>
      <c r="D2358">
        <v>9.7176399999999996E-2</v>
      </c>
      <c r="E2358">
        <v>0.64523240000000004</v>
      </c>
      <c r="F2358">
        <v>7.0515300000000003E-2</v>
      </c>
      <c r="G2358">
        <v>2.4380850000000001</v>
      </c>
      <c r="H2358">
        <v>0.30135859999999998</v>
      </c>
      <c r="Q2358" s="10">
        <f t="shared" si="92"/>
        <v>4.5081421200946555E-4</v>
      </c>
      <c r="AI2358">
        <v>0.13159019999999999</v>
      </c>
      <c r="AJ2358">
        <f t="shared" si="91"/>
        <v>0.13159019999999999</v>
      </c>
      <c r="AO2358">
        <v>0.13159019999999999</v>
      </c>
      <c r="AR2358" s="8">
        <v>0</v>
      </c>
      <c r="AS2358">
        <v>6.0107920000000004</v>
      </c>
    </row>
    <row r="2359" spans="1:45" x14ac:dyDescent="0.25">
      <c r="A2359">
        <v>421</v>
      </c>
      <c r="B2359">
        <v>1998</v>
      </c>
      <c r="C2359" s="8">
        <v>0</v>
      </c>
      <c r="D2359">
        <v>4.2705399999999998E-2</v>
      </c>
      <c r="E2359">
        <v>0.60836239999999997</v>
      </c>
      <c r="F2359">
        <v>5.6221699999999999E-2</v>
      </c>
      <c r="G2359">
        <v>2.0106999999999999</v>
      </c>
      <c r="H2359">
        <v>0.26873989999999998</v>
      </c>
      <c r="Q2359" s="10">
        <f t="shared" si="92"/>
        <v>1.0090182511447387E-3</v>
      </c>
      <c r="AI2359">
        <v>0.30120390000000002</v>
      </c>
      <c r="AJ2359">
        <f t="shared" si="91"/>
        <v>0.30120390000000002</v>
      </c>
      <c r="AO2359">
        <v>0.30120390000000002</v>
      </c>
      <c r="AR2359" s="8">
        <v>0</v>
      </c>
      <c r="AS2359">
        <v>3.890018</v>
      </c>
    </row>
    <row r="2360" spans="1:45" x14ac:dyDescent="0.25">
      <c r="A2360">
        <v>421</v>
      </c>
      <c r="B2360">
        <v>1999</v>
      </c>
      <c r="C2360" s="8">
        <v>0</v>
      </c>
      <c r="D2360">
        <v>0.13159019999999999</v>
      </c>
      <c r="E2360">
        <v>0.58750979999999997</v>
      </c>
      <c r="F2360">
        <v>7.6432899999999998E-2</v>
      </c>
      <c r="G2360">
        <v>2.848808</v>
      </c>
      <c r="H2360">
        <v>0.30135060000000002</v>
      </c>
      <c r="Q2360" s="10">
        <f t="shared" si="92"/>
        <v>2.4655482438104158E-4</v>
      </c>
      <c r="AI2360">
        <v>0.21394940000000001</v>
      </c>
      <c r="AJ2360">
        <f t="shared" si="91"/>
        <v>0.21394940000000001</v>
      </c>
      <c r="AO2360">
        <v>0.21394940000000001</v>
      </c>
      <c r="AR2360" s="8">
        <v>0</v>
      </c>
      <c r="AS2360">
        <v>2.4380850000000001</v>
      </c>
    </row>
    <row r="2361" spans="1:45" x14ac:dyDescent="0.25">
      <c r="A2361">
        <v>421</v>
      </c>
      <c r="B2361">
        <v>2000</v>
      </c>
      <c r="C2361" s="8">
        <v>0</v>
      </c>
      <c r="D2361">
        <v>0.30120390000000002</v>
      </c>
      <c r="E2361">
        <v>0.63103529999999997</v>
      </c>
      <c r="F2361">
        <v>6.8018499999999996E-2</v>
      </c>
      <c r="G2361">
        <v>5.1546459999999996</v>
      </c>
      <c r="H2361">
        <v>0.2068683</v>
      </c>
      <c r="Q2361" s="10">
        <f t="shared" si="92"/>
        <v>6.3535207734413813E-6</v>
      </c>
      <c r="AI2361">
        <v>0.36071360000000002</v>
      </c>
      <c r="AJ2361">
        <f t="shared" si="91"/>
        <v>0.36071360000000002</v>
      </c>
      <c r="AO2361">
        <v>0.36071360000000002</v>
      </c>
      <c r="AR2361" s="8">
        <v>0</v>
      </c>
      <c r="AS2361">
        <v>2.0106999999999999</v>
      </c>
    </row>
    <row r="2362" spans="1:45" x14ac:dyDescent="0.25">
      <c r="A2362">
        <v>421</v>
      </c>
      <c r="B2362">
        <v>2001</v>
      </c>
      <c r="C2362" s="8">
        <v>0</v>
      </c>
      <c r="D2362">
        <v>0.21394940000000001</v>
      </c>
      <c r="E2362">
        <v>0.58016880000000004</v>
      </c>
      <c r="F2362">
        <v>5.5480700000000001E-2</v>
      </c>
      <c r="G2362">
        <v>5.5902880000000001</v>
      </c>
      <c r="H2362">
        <v>0.2092493</v>
      </c>
      <c r="Q2362" s="10">
        <f t="shared" si="92"/>
        <v>3.6486039050629381E-6</v>
      </c>
      <c r="AI2362">
        <v>0.33904830000000002</v>
      </c>
      <c r="AJ2362">
        <f t="shared" si="91"/>
        <v>0.33904830000000002</v>
      </c>
      <c r="AO2362">
        <v>0.33904830000000002</v>
      </c>
      <c r="AR2362" s="8">
        <v>0</v>
      </c>
      <c r="AS2362">
        <v>2.848808</v>
      </c>
    </row>
    <row r="2363" spans="1:45" x14ac:dyDescent="0.25">
      <c r="A2363">
        <v>421</v>
      </c>
      <c r="B2363">
        <v>2002</v>
      </c>
      <c r="C2363" s="8">
        <v>0</v>
      </c>
      <c r="D2363">
        <v>0.36071360000000002</v>
      </c>
      <c r="E2363">
        <v>0.53091999999999995</v>
      </c>
      <c r="F2363">
        <v>6.8433099999999997E-2</v>
      </c>
      <c r="G2363">
        <v>3.3132480000000002</v>
      </c>
      <c r="H2363">
        <v>0.2493253</v>
      </c>
      <c r="Q2363" s="10">
        <f t="shared" si="92"/>
        <v>1.4497146493984366E-4</v>
      </c>
      <c r="AI2363">
        <v>0.40185949999999998</v>
      </c>
      <c r="AJ2363">
        <f t="shared" si="91"/>
        <v>0.40185949999999998</v>
      </c>
      <c r="AO2363">
        <v>0.40185949999999998</v>
      </c>
      <c r="AR2363" s="8">
        <v>0</v>
      </c>
      <c r="AS2363">
        <v>5.1546459999999996</v>
      </c>
    </row>
    <row r="2364" spans="1:45" x14ac:dyDescent="0.25">
      <c r="A2364">
        <v>421</v>
      </c>
      <c r="B2364">
        <v>2003</v>
      </c>
      <c r="C2364" s="8">
        <v>0</v>
      </c>
      <c r="D2364">
        <v>0.33904830000000002</v>
      </c>
      <c r="E2364">
        <v>0.60565789999999997</v>
      </c>
      <c r="F2364">
        <v>6.6499600000000006E-2</v>
      </c>
      <c r="G2364">
        <v>4.3221850000000002</v>
      </c>
      <c r="H2364">
        <v>0.25754709999999997</v>
      </c>
      <c r="Q2364" s="10">
        <f t="shared" si="92"/>
        <v>2.6356959894746279E-5</v>
      </c>
      <c r="AI2364">
        <v>0.2233453</v>
      </c>
      <c r="AJ2364">
        <f t="shared" si="91"/>
        <v>0.2233453</v>
      </c>
      <c r="AO2364">
        <v>0.2233453</v>
      </c>
      <c r="AR2364" s="8">
        <v>0</v>
      </c>
      <c r="AS2364">
        <v>5.5902880000000001</v>
      </c>
    </row>
    <row r="2365" spans="1:45" x14ac:dyDescent="0.25">
      <c r="A2365">
        <v>421</v>
      </c>
      <c r="B2365">
        <v>2004</v>
      </c>
      <c r="C2365" s="8">
        <v>0</v>
      </c>
      <c r="D2365">
        <v>0.40185949999999998</v>
      </c>
      <c r="E2365">
        <v>0.5940782</v>
      </c>
      <c r="F2365">
        <v>5.79287E-2</v>
      </c>
      <c r="G2365">
        <v>6.6362880000000004</v>
      </c>
      <c r="H2365">
        <v>0.24385229999999999</v>
      </c>
      <c r="Q2365" s="10">
        <f t="shared" si="92"/>
        <v>7.31216831044493E-7</v>
      </c>
      <c r="AI2365">
        <v>0.23068089999999999</v>
      </c>
      <c r="AJ2365">
        <f t="shared" si="91"/>
        <v>0.23068089999999999</v>
      </c>
      <c r="AO2365">
        <v>0.23068089999999999</v>
      </c>
      <c r="AR2365" s="8">
        <v>0</v>
      </c>
      <c r="AS2365">
        <v>3.3132480000000002</v>
      </c>
    </row>
    <row r="2366" spans="1:45" x14ac:dyDescent="0.25">
      <c r="A2366">
        <v>422</v>
      </c>
      <c r="B2366">
        <v>1995</v>
      </c>
      <c r="C2366" s="8">
        <v>0</v>
      </c>
      <c r="D2366">
        <v>0.2233453</v>
      </c>
      <c r="E2366">
        <v>0.63732</v>
      </c>
      <c r="F2366">
        <v>7.7727000000000004E-2</v>
      </c>
      <c r="G2366">
        <v>3.8391489999999999</v>
      </c>
      <c r="H2366">
        <v>0.26844630000000003</v>
      </c>
      <c r="Q2366" s="10">
        <f t="shared" si="92"/>
        <v>4.7676387629051391E-5</v>
      </c>
      <c r="AI2366">
        <v>0.21014840000000001</v>
      </c>
      <c r="AJ2366">
        <f t="shared" si="91"/>
        <v>0.21014840000000001</v>
      </c>
      <c r="AO2366">
        <v>0.21014840000000001</v>
      </c>
      <c r="AR2366" s="8">
        <v>0</v>
      </c>
      <c r="AS2366">
        <v>4.3221850000000002</v>
      </c>
    </row>
    <row r="2367" spans="1:45" x14ac:dyDescent="0.25">
      <c r="A2367">
        <v>422</v>
      </c>
      <c r="B2367">
        <v>1996</v>
      </c>
      <c r="C2367" s="8">
        <v>0</v>
      </c>
      <c r="D2367">
        <v>0.23068089999999999</v>
      </c>
      <c r="E2367">
        <v>0.6370304</v>
      </c>
      <c r="F2367">
        <v>9.4221700000000005E-2</v>
      </c>
      <c r="G2367">
        <v>4.9335760000000004</v>
      </c>
      <c r="H2367">
        <v>0.31453720000000002</v>
      </c>
      <c r="Q2367" s="10">
        <f t="shared" si="92"/>
        <v>7.5419907913069361E-6</v>
      </c>
      <c r="AI2367">
        <v>0.16398489999999999</v>
      </c>
      <c r="AJ2367">
        <f t="shared" si="91"/>
        <v>0.16398489999999999</v>
      </c>
      <c r="AO2367">
        <v>0.16398489999999999</v>
      </c>
      <c r="AR2367" s="8">
        <v>0</v>
      </c>
      <c r="AS2367">
        <v>6.6362880000000004</v>
      </c>
    </row>
    <row r="2368" spans="1:45" x14ac:dyDescent="0.25">
      <c r="A2368">
        <v>422</v>
      </c>
      <c r="B2368">
        <v>1997</v>
      </c>
      <c r="C2368" s="8">
        <v>0</v>
      </c>
      <c r="D2368">
        <v>0.21014840000000001</v>
      </c>
      <c r="E2368">
        <v>0.69890750000000001</v>
      </c>
      <c r="F2368">
        <v>8.1871899999999997E-2</v>
      </c>
      <c r="G2368">
        <v>4.5734260000000004</v>
      </c>
      <c r="H2368">
        <v>0.31378080000000003</v>
      </c>
      <c r="Q2368" s="10">
        <f t="shared" si="92"/>
        <v>1.3386572972882004E-5</v>
      </c>
      <c r="AI2368">
        <v>0.1870761</v>
      </c>
      <c r="AJ2368">
        <f t="shared" si="91"/>
        <v>0.1870761</v>
      </c>
      <c r="AO2368">
        <v>0.1870761</v>
      </c>
      <c r="AR2368" s="8">
        <v>0</v>
      </c>
      <c r="AS2368">
        <v>3.8391489999999999</v>
      </c>
    </row>
    <row r="2369" spans="1:45" x14ac:dyDescent="0.25">
      <c r="A2369">
        <v>422</v>
      </c>
      <c r="B2369">
        <v>1998</v>
      </c>
      <c r="C2369" s="8">
        <v>0</v>
      </c>
      <c r="D2369">
        <v>0.16398489999999999</v>
      </c>
      <c r="E2369">
        <v>0.66964009999999996</v>
      </c>
      <c r="F2369">
        <v>6.3568799999999995E-2</v>
      </c>
      <c r="G2369">
        <v>3.5005829999999998</v>
      </c>
      <c r="H2369">
        <v>0.30522050000000001</v>
      </c>
      <c r="Q2369" s="10">
        <f t="shared" si="92"/>
        <v>8.7215569045338422E-5</v>
      </c>
      <c r="AI2369">
        <v>0.14177870000000001</v>
      </c>
      <c r="AJ2369">
        <f t="shared" si="91"/>
        <v>0.14177870000000001</v>
      </c>
      <c r="AO2369">
        <v>0.14177870000000001</v>
      </c>
      <c r="AR2369" s="8">
        <v>0</v>
      </c>
      <c r="AS2369">
        <v>4.9335760000000004</v>
      </c>
    </row>
    <row r="2370" spans="1:45" x14ac:dyDescent="0.25">
      <c r="A2370">
        <v>422</v>
      </c>
      <c r="B2370">
        <v>1999</v>
      </c>
      <c r="C2370" s="8">
        <v>0</v>
      </c>
      <c r="D2370">
        <v>0.1870761</v>
      </c>
      <c r="E2370">
        <v>0.73657709999999998</v>
      </c>
      <c r="F2370">
        <v>8.4925E-2</v>
      </c>
      <c r="G2370">
        <v>5.1909710000000002</v>
      </c>
      <c r="H2370">
        <v>0.32998939999999999</v>
      </c>
      <c r="Q2370" s="10">
        <f t="shared" si="92"/>
        <v>4.624805378136623E-6</v>
      </c>
      <c r="AI2370">
        <v>0.15523490000000001</v>
      </c>
      <c r="AJ2370">
        <f t="shared" si="91"/>
        <v>0.15523490000000001</v>
      </c>
      <c r="AO2370">
        <v>0.15523490000000001</v>
      </c>
      <c r="AR2370" s="8">
        <v>0</v>
      </c>
      <c r="AS2370">
        <v>4.5734260000000004</v>
      </c>
    </row>
    <row r="2371" spans="1:45" x14ac:dyDescent="0.25">
      <c r="A2371">
        <v>422</v>
      </c>
      <c r="B2371">
        <v>2000</v>
      </c>
      <c r="C2371" s="8">
        <v>0</v>
      </c>
      <c r="D2371">
        <v>0.14177870000000001</v>
      </c>
      <c r="E2371">
        <v>0.74050240000000001</v>
      </c>
      <c r="F2371">
        <v>7.2068499999999994E-2</v>
      </c>
      <c r="G2371">
        <v>5.987552</v>
      </c>
      <c r="H2371">
        <v>0.32088220000000001</v>
      </c>
      <c r="Q2371" s="10">
        <f t="shared" si="92"/>
        <v>1.3975604667528388E-6</v>
      </c>
      <c r="AI2371">
        <v>0.12903229999999999</v>
      </c>
      <c r="AJ2371">
        <f t="shared" si="91"/>
        <v>0.12903229999999999</v>
      </c>
      <c r="AO2371">
        <v>0.12903229999999999</v>
      </c>
      <c r="AR2371" s="8">
        <v>0</v>
      </c>
      <c r="AS2371">
        <v>3.5005829999999998</v>
      </c>
    </row>
    <row r="2372" spans="1:45" x14ac:dyDescent="0.25">
      <c r="A2372">
        <v>422</v>
      </c>
      <c r="B2372">
        <v>2001</v>
      </c>
      <c r="C2372" s="8">
        <v>0</v>
      </c>
      <c r="D2372">
        <v>0.15523490000000001</v>
      </c>
      <c r="E2372">
        <v>0.75948789999999999</v>
      </c>
      <c r="F2372">
        <v>7.4248800000000004E-2</v>
      </c>
      <c r="G2372">
        <v>5.475454</v>
      </c>
      <c r="H2372">
        <v>0.29355530000000002</v>
      </c>
      <c r="Q2372" s="10">
        <f t="shared" si="92"/>
        <v>2.9873851548086261E-6</v>
      </c>
      <c r="AI2372">
        <v>0.17736940000000001</v>
      </c>
      <c r="AJ2372">
        <f t="shared" si="91"/>
        <v>0.17736940000000001</v>
      </c>
      <c r="AO2372">
        <v>0.17736940000000001</v>
      </c>
      <c r="AR2372" s="8">
        <v>0</v>
      </c>
      <c r="AS2372">
        <v>5.1909710000000002</v>
      </c>
    </row>
    <row r="2373" spans="1:45" x14ac:dyDescent="0.25">
      <c r="A2373">
        <v>422</v>
      </c>
      <c r="B2373">
        <v>2002</v>
      </c>
      <c r="C2373" s="8">
        <v>0</v>
      </c>
      <c r="D2373">
        <v>0.12903229999999999</v>
      </c>
      <c r="E2373">
        <v>0.71852300000000002</v>
      </c>
      <c r="F2373">
        <v>7.7149999999999996E-2</v>
      </c>
      <c r="G2373">
        <v>5.1771320000000003</v>
      </c>
      <c r="H2373">
        <v>0.29716730000000002</v>
      </c>
      <c r="Q2373" s="10">
        <f t="shared" si="92"/>
        <v>4.9408525658191497E-6</v>
      </c>
      <c r="AI2373">
        <v>0.15861159999999999</v>
      </c>
      <c r="AJ2373">
        <f t="shared" ref="AJ2373:AJ2436" si="93">MAX(MIN(AI2373,AM$5),AM$4)</f>
        <v>0.15861159999999999</v>
      </c>
      <c r="AO2373">
        <v>0.15861159999999999</v>
      </c>
      <c r="AR2373" s="8">
        <v>0</v>
      </c>
      <c r="AS2373">
        <v>5.987552</v>
      </c>
    </row>
    <row r="2374" spans="1:45" x14ac:dyDescent="0.25">
      <c r="A2374">
        <v>422</v>
      </c>
      <c r="B2374">
        <v>2003</v>
      </c>
      <c r="C2374" s="8">
        <v>0</v>
      </c>
      <c r="D2374">
        <v>0.17736940000000001</v>
      </c>
      <c r="E2374">
        <v>0.73545000000000005</v>
      </c>
      <c r="F2374">
        <v>7.64658E-2</v>
      </c>
      <c r="G2374">
        <v>6.8805449999999997</v>
      </c>
      <c r="H2374">
        <v>0.3010372</v>
      </c>
      <c r="Q2374" s="10">
        <f t="shared" si="92"/>
        <v>3.2833627594719864E-7</v>
      </c>
      <c r="AI2374">
        <v>3.7317099999999999E-2</v>
      </c>
      <c r="AJ2374">
        <f t="shared" si="93"/>
        <v>3.7317099999999999E-2</v>
      </c>
      <c r="AO2374">
        <v>3.7317099999999999E-2</v>
      </c>
      <c r="AR2374" s="8">
        <v>0</v>
      </c>
      <c r="AS2374">
        <v>5.475454</v>
      </c>
    </row>
    <row r="2375" spans="1:45" x14ac:dyDescent="0.25">
      <c r="A2375">
        <v>422</v>
      </c>
      <c r="B2375">
        <v>2004</v>
      </c>
      <c r="C2375" s="8">
        <v>0</v>
      </c>
      <c r="D2375">
        <v>0.15861159999999999</v>
      </c>
      <c r="E2375">
        <v>0.79749729999999996</v>
      </c>
      <c r="F2375">
        <v>8.0491199999999999E-2</v>
      </c>
      <c r="G2375">
        <v>6.2227189999999997</v>
      </c>
      <c r="H2375">
        <v>0.2688161</v>
      </c>
      <c r="Q2375" s="10">
        <f t="shared" ref="Q2375:Q2438" si="94">1/(1+EXP(-(J$6+SUMPRODUCT(K$6:O$6,D2375:H2375))))</f>
        <v>8.0608312135214047E-7</v>
      </c>
      <c r="AI2375">
        <v>3.4534799999999997E-2</v>
      </c>
      <c r="AJ2375">
        <f t="shared" si="93"/>
        <v>3.4534799999999997E-2</v>
      </c>
      <c r="AO2375">
        <v>3.4534799999999997E-2</v>
      </c>
      <c r="AR2375" s="8">
        <v>0</v>
      </c>
      <c r="AS2375">
        <v>5.1771320000000003</v>
      </c>
    </row>
    <row r="2376" spans="1:45" x14ac:dyDescent="0.25">
      <c r="A2376">
        <v>423</v>
      </c>
      <c r="B2376">
        <v>1995</v>
      </c>
      <c r="C2376" s="8">
        <v>0</v>
      </c>
      <c r="D2376">
        <v>3.7317099999999999E-2</v>
      </c>
      <c r="E2376">
        <v>0.17535000000000001</v>
      </c>
      <c r="F2376">
        <v>3.3680599999999998E-2</v>
      </c>
      <c r="G2376">
        <v>0.74864520000000001</v>
      </c>
      <c r="H2376">
        <v>0.1399291</v>
      </c>
      <c r="Q2376" s="10">
        <f t="shared" si="94"/>
        <v>1.5387271754268917E-2</v>
      </c>
      <c r="AI2376">
        <v>4.7671499999999999E-2</v>
      </c>
      <c r="AJ2376">
        <f t="shared" si="93"/>
        <v>4.7671499999999999E-2</v>
      </c>
      <c r="AO2376">
        <v>4.7671499999999999E-2</v>
      </c>
      <c r="AR2376" s="8">
        <v>0</v>
      </c>
      <c r="AS2376">
        <v>6.8805449999999997</v>
      </c>
    </row>
    <row r="2377" spans="1:45" x14ac:dyDescent="0.25">
      <c r="A2377">
        <v>423</v>
      </c>
      <c r="B2377">
        <v>1996</v>
      </c>
      <c r="C2377" s="8">
        <v>0</v>
      </c>
      <c r="D2377">
        <v>3.4534799999999997E-2</v>
      </c>
      <c r="E2377">
        <v>0.18174760000000001</v>
      </c>
      <c r="F2377">
        <v>3.8617699999999998E-2</v>
      </c>
      <c r="G2377">
        <v>0.66036490000000003</v>
      </c>
      <c r="H2377">
        <v>0.13739209999999999</v>
      </c>
      <c r="Q2377" s="10">
        <f t="shared" si="94"/>
        <v>1.6798171762949076E-2</v>
      </c>
      <c r="AI2377">
        <v>9.0232599999999996E-2</v>
      </c>
      <c r="AJ2377">
        <f t="shared" si="93"/>
        <v>9.0232599999999996E-2</v>
      </c>
      <c r="AO2377">
        <v>9.0232599999999996E-2</v>
      </c>
      <c r="AR2377" s="8">
        <v>0</v>
      </c>
      <c r="AS2377">
        <v>6.2227189999999997</v>
      </c>
    </row>
    <row r="2378" spans="1:45" x14ac:dyDescent="0.25">
      <c r="A2378">
        <v>423</v>
      </c>
      <c r="B2378">
        <v>1997</v>
      </c>
      <c r="C2378" s="8">
        <v>0</v>
      </c>
      <c r="D2378">
        <v>4.7671499999999999E-2</v>
      </c>
      <c r="E2378">
        <v>0.19270029999999999</v>
      </c>
      <c r="F2378">
        <v>2.7302E-2</v>
      </c>
      <c r="G2378">
        <v>1.087615</v>
      </c>
      <c r="H2378">
        <v>0.1369824</v>
      </c>
      <c r="Q2378" s="10">
        <f t="shared" si="94"/>
        <v>9.2794680153393642E-3</v>
      </c>
      <c r="AI2378">
        <v>9.3032000000000004E-2</v>
      </c>
      <c r="AJ2378">
        <f t="shared" si="93"/>
        <v>9.3032000000000004E-2</v>
      </c>
      <c r="AO2378">
        <v>9.3032000000000004E-2</v>
      </c>
      <c r="AR2378" s="8">
        <v>0</v>
      </c>
      <c r="AS2378">
        <v>0.74864520000000001</v>
      </c>
    </row>
    <row r="2379" spans="1:45" x14ac:dyDescent="0.25">
      <c r="A2379">
        <v>423</v>
      </c>
      <c r="B2379">
        <v>1998</v>
      </c>
      <c r="C2379" s="8">
        <v>0</v>
      </c>
      <c r="D2379">
        <v>9.0232599999999996E-2</v>
      </c>
      <c r="E2379">
        <v>0.16998179999999999</v>
      </c>
      <c r="F2379">
        <v>3.4688799999999999E-2</v>
      </c>
      <c r="G2379">
        <v>1.1643049999999999</v>
      </c>
      <c r="H2379">
        <v>0.12736939999999999</v>
      </c>
      <c r="Q2379" s="10">
        <f t="shared" si="94"/>
        <v>8.1043608933557918E-3</v>
      </c>
      <c r="AI2379">
        <v>5.6477800000000002E-2</v>
      </c>
      <c r="AJ2379">
        <f t="shared" si="93"/>
        <v>5.6477800000000002E-2</v>
      </c>
      <c r="AO2379">
        <v>5.6477800000000002E-2</v>
      </c>
      <c r="AR2379" s="8">
        <v>0</v>
      </c>
      <c r="AS2379">
        <v>0.66036490000000003</v>
      </c>
    </row>
    <row r="2380" spans="1:45" x14ac:dyDescent="0.25">
      <c r="A2380">
        <v>423</v>
      </c>
      <c r="B2380">
        <v>1999</v>
      </c>
      <c r="C2380" s="8">
        <v>0</v>
      </c>
      <c r="D2380">
        <v>9.3032000000000004E-2</v>
      </c>
      <c r="E2380">
        <v>0.1672265</v>
      </c>
      <c r="F2380">
        <v>3.5234500000000002E-2</v>
      </c>
      <c r="G2380">
        <v>0.87986969999999998</v>
      </c>
      <c r="H2380">
        <v>0.13650770000000001</v>
      </c>
      <c r="Q2380" s="10">
        <f t="shared" si="94"/>
        <v>1.2774131236885769E-2</v>
      </c>
      <c r="AI2380">
        <v>9.6775799999999995E-2</v>
      </c>
      <c r="AJ2380">
        <f t="shared" si="93"/>
        <v>9.6775799999999995E-2</v>
      </c>
      <c r="AO2380">
        <v>9.6775799999999995E-2</v>
      </c>
      <c r="AR2380" s="8">
        <v>0</v>
      </c>
      <c r="AS2380">
        <v>1.087615</v>
      </c>
    </row>
    <row r="2381" spans="1:45" x14ac:dyDescent="0.25">
      <c r="A2381">
        <v>423</v>
      </c>
      <c r="B2381">
        <v>2000</v>
      </c>
      <c r="C2381" s="8">
        <v>0</v>
      </c>
      <c r="D2381">
        <v>5.6477800000000002E-2</v>
      </c>
      <c r="E2381">
        <v>0.15887080000000001</v>
      </c>
      <c r="F2381">
        <v>4.4975000000000001E-2</v>
      </c>
      <c r="G2381">
        <v>0.94685160000000002</v>
      </c>
      <c r="H2381">
        <v>0.1440862</v>
      </c>
      <c r="Q2381" s="10">
        <f t="shared" si="94"/>
        <v>1.066109866703235E-2</v>
      </c>
      <c r="AI2381">
        <v>9.1956999999999994E-3</v>
      </c>
      <c r="AJ2381">
        <f t="shared" si="93"/>
        <v>9.1956999999999994E-3</v>
      </c>
      <c r="AO2381">
        <v>9.1956999999999994E-3</v>
      </c>
      <c r="AR2381" s="8">
        <v>0</v>
      </c>
      <c r="AS2381">
        <v>1.1643049999999999</v>
      </c>
    </row>
    <row r="2382" spans="1:45" x14ac:dyDescent="0.25">
      <c r="A2382">
        <v>423</v>
      </c>
      <c r="B2382">
        <v>2001</v>
      </c>
      <c r="C2382" s="8">
        <v>0</v>
      </c>
      <c r="D2382">
        <v>9.6775799999999995E-2</v>
      </c>
      <c r="E2382">
        <v>0.15878900000000001</v>
      </c>
      <c r="F2382">
        <v>4.4021299999999999E-2</v>
      </c>
      <c r="G2382">
        <v>1.005725</v>
      </c>
      <c r="H2382">
        <v>0.1545311</v>
      </c>
      <c r="Q2382" s="10">
        <f t="shared" si="94"/>
        <v>1.0017675975359783E-2</v>
      </c>
      <c r="AI2382">
        <v>7.8475900000000001E-2</v>
      </c>
      <c r="AJ2382">
        <f t="shared" si="93"/>
        <v>7.8475900000000001E-2</v>
      </c>
      <c r="AO2382">
        <v>7.8475900000000001E-2</v>
      </c>
      <c r="AR2382" s="8">
        <v>0</v>
      </c>
      <c r="AS2382">
        <v>0.87986969999999998</v>
      </c>
    </row>
    <row r="2383" spans="1:45" x14ac:dyDescent="0.25">
      <c r="A2383">
        <v>423</v>
      </c>
      <c r="B2383">
        <v>2002</v>
      </c>
      <c r="C2383" s="8">
        <v>0</v>
      </c>
      <c r="D2383">
        <v>9.1956999999999994E-3</v>
      </c>
      <c r="E2383">
        <v>0.1739185</v>
      </c>
      <c r="F2383">
        <v>5.0494799999999999E-2</v>
      </c>
      <c r="G2383">
        <v>1.035185</v>
      </c>
      <c r="H2383">
        <v>0.1460235</v>
      </c>
      <c r="Q2383" s="10">
        <f t="shared" si="94"/>
        <v>8.5297509796546794E-3</v>
      </c>
      <c r="AI2383">
        <v>0.1996444</v>
      </c>
      <c r="AJ2383">
        <f t="shared" si="93"/>
        <v>0.1996444</v>
      </c>
      <c r="AO2383">
        <v>0.1996444</v>
      </c>
      <c r="AR2383" s="8">
        <v>0</v>
      </c>
      <c r="AS2383">
        <v>0.94685160000000002</v>
      </c>
    </row>
    <row r="2384" spans="1:45" x14ac:dyDescent="0.25">
      <c r="A2384">
        <v>423</v>
      </c>
      <c r="B2384">
        <v>2003</v>
      </c>
      <c r="C2384" s="8">
        <v>0</v>
      </c>
      <c r="D2384">
        <v>7.8475900000000001E-2</v>
      </c>
      <c r="E2384">
        <v>0.24684449999999999</v>
      </c>
      <c r="F2384">
        <v>3.5034099999999999E-2</v>
      </c>
      <c r="G2384">
        <v>1.656603</v>
      </c>
      <c r="H2384">
        <v>7.4721300000000004E-2</v>
      </c>
      <c r="Q2384" s="10">
        <f t="shared" si="94"/>
        <v>3.1924792023984624E-3</v>
      </c>
      <c r="AI2384">
        <v>9.1997800000000005E-2</v>
      </c>
      <c r="AJ2384">
        <f t="shared" si="93"/>
        <v>9.1997800000000005E-2</v>
      </c>
      <c r="AO2384">
        <v>9.1997800000000005E-2</v>
      </c>
      <c r="AR2384" s="8">
        <v>0</v>
      </c>
      <c r="AS2384">
        <v>1.005725</v>
      </c>
    </row>
    <row r="2385" spans="1:45" x14ac:dyDescent="0.25">
      <c r="A2385">
        <v>423</v>
      </c>
      <c r="B2385">
        <v>2004</v>
      </c>
      <c r="C2385" s="8">
        <v>0</v>
      </c>
      <c r="D2385">
        <v>0.1996444</v>
      </c>
      <c r="E2385">
        <v>0.21980620000000001</v>
      </c>
      <c r="F2385">
        <v>3.5597499999999997E-2</v>
      </c>
      <c r="G2385">
        <v>1.3848819999999999</v>
      </c>
      <c r="H2385">
        <v>0.15872220000000001</v>
      </c>
      <c r="Q2385" s="10">
        <f t="shared" si="94"/>
        <v>5.6318434405203902E-3</v>
      </c>
      <c r="AI2385">
        <v>0.1050463</v>
      </c>
      <c r="AJ2385">
        <f t="shared" si="93"/>
        <v>0.1050463</v>
      </c>
      <c r="AO2385">
        <v>0.1050463</v>
      </c>
      <c r="AR2385" s="8">
        <v>0</v>
      </c>
      <c r="AS2385">
        <v>1.035185</v>
      </c>
    </row>
    <row r="2386" spans="1:45" x14ac:dyDescent="0.25">
      <c r="A2386">
        <v>424</v>
      </c>
      <c r="B2386">
        <v>1997</v>
      </c>
      <c r="C2386" s="8">
        <v>0</v>
      </c>
      <c r="D2386">
        <v>9.1997800000000005E-2</v>
      </c>
      <c r="E2386">
        <v>0.2070237</v>
      </c>
      <c r="F2386">
        <v>7.4213100000000004E-2</v>
      </c>
      <c r="G2386">
        <v>1.392536</v>
      </c>
      <c r="H2386">
        <v>0.23648810000000001</v>
      </c>
      <c r="Q2386" s="10">
        <f t="shared" si="94"/>
        <v>4.1827888589685853E-3</v>
      </c>
      <c r="AI2386">
        <v>0.1089171</v>
      </c>
      <c r="AJ2386">
        <f t="shared" si="93"/>
        <v>0.1089171</v>
      </c>
      <c r="AO2386">
        <v>0.1089171</v>
      </c>
      <c r="AR2386" s="8">
        <v>0</v>
      </c>
      <c r="AS2386">
        <v>1.656603</v>
      </c>
    </row>
    <row r="2387" spans="1:45" x14ac:dyDescent="0.25">
      <c r="A2387">
        <v>424</v>
      </c>
      <c r="B2387">
        <v>1998</v>
      </c>
      <c r="C2387" s="8">
        <v>0</v>
      </c>
      <c r="D2387">
        <v>0.1050463</v>
      </c>
      <c r="E2387">
        <v>0.20447219999999999</v>
      </c>
      <c r="F2387">
        <v>4.2243000000000003E-2</v>
      </c>
      <c r="G2387">
        <v>0.99671609999999999</v>
      </c>
      <c r="H2387">
        <v>0.19676479999999999</v>
      </c>
      <c r="Q2387" s="10">
        <f t="shared" si="94"/>
        <v>9.9362596420257202E-3</v>
      </c>
      <c r="AI2387">
        <v>0.12106459999999999</v>
      </c>
      <c r="AJ2387">
        <f t="shared" si="93"/>
        <v>0.12106459999999999</v>
      </c>
      <c r="AO2387">
        <v>0.12106459999999999</v>
      </c>
      <c r="AR2387" s="8">
        <v>0</v>
      </c>
      <c r="AS2387">
        <v>1.3848819999999999</v>
      </c>
    </row>
    <row r="2388" spans="1:45" x14ac:dyDescent="0.25">
      <c r="A2388">
        <v>424</v>
      </c>
      <c r="B2388">
        <v>1999</v>
      </c>
      <c r="C2388" s="8">
        <v>0</v>
      </c>
      <c r="D2388">
        <v>0.1089171</v>
      </c>
      <c r="E2388">
        <v>0.19367110000000001</v>
      </c>
      <c r="F2388">
        <v>2.62264E-2</v>
      </c>
      <c r="G2388">
        <v>0.56059170000000003</v>
      </c>
      <c r="H2388">
        <v>0.17201830000000001</v>
      </c>
      <c r="Q2388" s="10">
        <f t="shared" si="94"/>
        <v>2.2390304511885211E-2</v>
      </c>
      <c r="AI2388">
        <v>0.1753815</v>
      </c>
      <c r="AJ2388">
        <f t="shared" si="93"/>
        <v>0.1753815</v>
      </c>
      <c r="AO2388">
        <v>0.1753815</v>
      </c>
      <c r="AR2388" s="8">
        <v>0</v>
      </c>
      <c r="AS2388">
        <v>1.392536</v>
      </c>
    </row>
    <row r="2389" spans="1:45" x14ac:dyDescent="0.25">
      <c r="A2389">
        <v>424</v>
      </c>
      <c r="B2389">
        <v>2000</v>
      </c>
      <c r="C2389" s="8">
        <v>0</v>
      </c>
      <c r="D2389">
        <v>0.12106459999999999</v>
      </c>
      <c r="E2389">
        <v>0.16134660000000001</v>
      </c>
      <c r="F2389">
        <v>3.9446799999999997E-2</v>
      </c>
      <c r="G2389">
        <v>0.29383599999999999</v>
      </c>
      <c r="H2389">
        <v>0.2000237</v>
      </c>
      <c r="Q2389" s="10">
        <f t="shared" si="94"/>
        <v>3.2680728961091143E-2</v>
      </c>
      <c r="AI2389">
        <v>-9.6430000000000005E-3</v>
      </c>
      <c r="AJ2389">
        <f t="shared" si="93"/>
        <v>-9.6430000000000005E-3</v>
      </c>
      <c r="AO2389">
        <v>-9.6430000000000005E-3</v>
      </c>
      <c r="AR2389" s="8">
        <v>0</v>
      </c>
      <c r="AS2389">
        <v>0.99671609999999999</v>
      </c>
    </row>
    <row r="2390" spans="1:45" x14ac:dyDescent="0.25">
      <c r="A2390">
        <v>424</v>
      </c>
      <c r="B2390">
        <v>2001</v>
      </c>
      <c r="C2390" s="8">
        <v>0</v>
      </c>
      <c r="D2390">
        <v>0.1753815</v>
      </c>
      <c r="E2390">
        <v>4.5049400000000003E-2</v>
      </c>
      <c r="F2390">
        <v>8.5155999999999999E-3</v>
      </c>
      <c r="G2390">
        <v>0.19727890000000001</v>
      </c>
      <c r="H2390">
        <v>0.20826130000000001</v>
      </c>
      <c r="Q2390" s="10">
        <f t="shared" si="94"/>
        <v>5.7881265695221014E-2</v>
      </c>
      <c r="AI2390">
        <v>3.1926599999999999E-2</v>
      </c>
      <c r="AJ2390">
        <f t="shared" si="93"/>
        <v>3.1926599999999999E-2</v>
      </c>
      <c r="AO2390">
        <v>3.1926599999999999E-2</v>
      </c>
      <c r="AR2390" s="8">
        <v>0</v>
      </c>
      <c r="AS2390">
        <v>0.56059170000000003</v>
      </c>
    </row>
    <row r="2391" spans="1:45" x14ac:dyDescent="0.25">
      <c r="A2391">
        <v>424</v>
      </c>
      <c r="B2391">
        <v>2002</v>
      </c>
      <c r="C2391" s="8">
        <v>1</v>
      </c>
      <c r="D2391">
        <v>-9.6430000000000005E-3</v>
      </c>
      <c r="E2391">
        <v>-0.1249161</v>
      </c>
      <c r="F2391">
        <v>1.7905799999999999E-2</v>
      </c>
      <c r="G2391">
        <v>8.8655899999999996E-2</v>
      </c>
      <c r="H2391">
        <v>0.23970649999999999</v>
      </c>
      <c r="Q2391" s="10">
        <f t="shared" si="94"/>
        <v>7.573196375275279E-2</v>
      </c>
      <c r="AI2391">
        <v>1.7759E-2</v>
      </c>
      <c r="AJ2391">
        <f t="shared" si="93"/>
        <v>1.7759E-2</v>
      </c>
      <c r="AO2391">
        <v>1.7759E-2</v>
      </c>
      <c r="AR2391" s="8">
        <v>0</v>
      </c>
      <c r="AS2391">
        <v>0.29383599999999999</v>
      </c>
    </row>
    <row r="2392" spans="1:45" x14ac:dyDescent="0.25">
      <c r="A2392">
        <v>425</v>
      </c>
      <c r="B2392">
        <v>1995</v>
      </c>
      <c r="C2392" s="8">
        <v>0</v>
      </c>
      <c r="D2392">
        <v>3.1926599999999999E-2</v>
      </c>
      <c r="E2392">
        <v>0.23320560000000001</v>
      </c>
      <c r="F2392">
        <v>4.1860500000000002E-2</v>
      </c>
      <c r="G2392">
        <v>0.71958029999999995</v>
      </c>
      <c r="H2392">
        <v>0.15647820000000001</v>
      </c>
      <c r="Q2392" s="10">
        <f t="shared" si="94"/>
        <v>1.4009337755441638E-2</v>
      </c>
      <c r="AI2392">
        <v>7.1542599999999998E-2</v>
      </c>
      <c r="AJ2392">
        <f t="shared" si="93"/>
        <v>7.1542599999999998E-2</v>
      </c>
      <c r="AO2392">
        <v>7.1542599999999998E-2</v>
      </c>
      <c r="AR2392" s="8">
        <v>0</v>
      </c>
      <c r="AS2392">
        <v>0.19727890000000001</v>
      </c>
    </row>
    <row r="2393" spans="1:45" x14ac:dyDescent="0.25">
      <c r="A2393">
        <v>425</v>
      </c>
      <c r="B2393">
        <v>1996</v>
      </c>
      <c r="C2393" s="8">
        <v>0</v>
      </c>
      <c r="D2393">
        <v>1.7759E-2</v>
      </c>
      <c r="E2393">
        <v>0.25226789999999999</v>
      </c>
      <c r="F2393">
        <v>6.6669099999999995E-2</v>
      </c>
      <c r="G2393">
        <v>0.93443299999999996</v>
      </c>
      <c r="H2393">
        <v>0.1940325</v>
      </c>
      <c r="Q2393" s="10">
        <f t="shared" si="94"/>
        <v>8.1216184600602544E-3</v>
      </c>
      <c r="AI2393">
        <v>-0.10008690000000001</v>
      </c>
      <c r="AJ2393">
        <f t="shared" si="93"/>
        <v>-0.10008690000000001</v>
      </c>
      <c r="AO2393">
        <v>-0.10008690000000001</v>
      </c>
      <c r="AR2393" s="8">
        <v>1</v>
      </c>
      <c r="AS2393">
        <v>8.8655899999999996E-2</v>
      </c>
    </row>
    <row r="2394" spans="1:45" x14ac:dyDescent="0.25">
      <c r="A2394">
        <v>425</v>
      </c>
      <c r="B2394">
        <v>1997</v>
      </c>
      <c r="C2394" s="8">
        <v>0</v>
      </c>
      <c r="D2394">
        <v>7.1542599999999998E-2</v>
      </c>
      <c r="E2394">
        <v>0.31451449999999997</v>
      </c>
      <c r="F2394">
        <v>5.765E-2</v>
      </c>
      <c r="G2394">
        <v>1.6110139999999999</v>
      </c>
      <c r="H2394">
        <v>0.2000567</v>
      </c>
      <c r="Q2394" s="10">
        <f t="shared" si="94"/>
        <v>2.7992259143233239E-3</v>
      </c>
      <c r="AI2394">
        <v>-2.6068999999999998E-2</v>
      </c>
      <c r="AJ2394">
        <f t="shared" si="93"/>
        <v>-2.6068999999999998E-2</v>
      </c>
      <c r="AO2394">
        <v>-2.6068999999999998E-2</v>
      </c>
      <c r="AR2394" s="8">
        <v>0</v>
      </c>
      <c r="AS2394">
        <v>0.71958029999999995</v>
      </c>
    </row>
    <row r="2395" spans="1:45" x14ac:dyDescent="0.25">
      <c r="A2395">
        <v>425</v>
      </c>
      <c r="B2395">
        <v>1998</v>
      </c>
      <c r="C2395" s="8">
        <v>0</v>
      </c>
      <c r="D2395">
        <v>-0.10008690000000001</v>
      </c>
      <c r="E2395">
        <v>0.27573330000000001</v>
      </c>
      <c r="F2395">
        <v>-2.1656399999999999E-2</v>
      </c>
      <c r="G2395">
        <v>0.75931669999999996</v>
      </c>
      <c r="H2395">
        <v>0.1730537</v>
      </c>
      <c r="Q2395" s="10">
        <f t="shared" si="94"/>
        <v>1.9542252835591963E-2</v>
      </c>
      <c r="AI2395">
        <v>1.05702E-2</v>
      </c>
      <c r="AJ2395">
        <f t="shared" si="93"/>
        <v>1.05702E-2</v>
      </c>
      <c r="AO2395">
        <v>1.05702E-2</v>
      </c>
      <c r="AR2395" s="8">
        <v>0</v>
      </c>
      <c r="AS2395">
        <v>0.93443299999999996</v>
      </c>
    </row>
    <row r="2396" spans="1:45" x14ac:dyDescent="0.25">
      <c r="A2396">
        <v>425</v>
      </c>
      <c r="B2396">
        <v>1999</v>
      </c>
      <c r="C2396" s="8">
        <v>0</v>
      </c>
      <c r="D2396">
        <v>-2.6068999999999998E-2</v>
      </c>
      <c r="E2396">
        <v>0.3269667</v>
      </c>
      <c r="F2396">
        <v>8.6579699999999996E-2</v>
      </c>
      <c r="G2396">
        <v>1.469776</v>
      </c>
      <c r="H2396">
        <v>0.25748969999999999</v>
      </c>
      <c r="Q2396" s="10">
        <f t="shared" si="94"/>
        <v>2.7186254578783712E-3</v>
      </c>
      <c r="AI2396">
        <v>6.1827999999999996E-3</v>
      </c>
      <c r="AJ2396">
        <f t="shared" si="93"/>
        <v>6.1827999999999996E-3</v>
      </c>
      <c r="AO2396">
        <v>6.1827999999999996E-3</v>
      </c>
      <c r="AR2396" s="8">
        <v>0</v>
      </c>
      <c r="AS2396">
        <v>1.6110139999999999</v>
      </c>
    </row>
    <row r="2397" spans="1:45" x14ac:dyDescent="0.25">
      <c r="A2397">
        <v>425</v>
      </c>
      <c r="B2397">
        <v>2000</v>
      </c>
      <c r="C2397" s="8">
        <v>0</v>
      </c>
      <c r="D2397">
        <v>1.05702E-2</v>
      </c>
      <c r="E2397">
        <v>0.39347589999999999</v>
      </c>
      <c r="F2397">
        <v>0.1206047</v>
      </c>
      <c r="G2397">
        <v>3.395241</v>
      </c>
      <c r="H2397">
        <v>0.3977484</v>
      </c>
      <c r="Q2397" s="10">
        <f t="shared" si="94"/>
        <v>9.7059832833680906E-5</v>
      </c>
      <c r="AI2397">
        <v>-3.1811999999999999E-3</v>
      </c>
      <c r="AJ2397">
        <f t="shared" si="93"/>
        <v>-3.1811999999999999E-3</v>
      </c>
      <c r="AO2397">
        <v>-3.1811999999999999E-3</v>
      </c>
      <c r="AR2397" s="8">
        <v>0</v>
      </c>
      <c r="AS2397">
        <v>0.75931669999999996</v>
      </c>
    </row>
    <row r="2398" spans="1:45" x14ac:dyDescent="0.25">
      <c r="A2398">
        <v>426</v>
      </c>
      <c r="B2398">
        <v>1995</v>
      </c>
      <c r="C2398" s="8">
        <v>0</v>
      </c>
      <c r="D2398">
        <v>6.1827999999999996E-3</v>
      </c>
      <c r="E2398">
        <v>0.460005</v>
      </c>
      <c r="F2398">
        <v>3.1271599999999997E-2</v>
      </c>
      <c r="G2398">
        <v>1.8393919999999999</v>
      </c>
      <c r="H2398">
        <v>0.4452952</v>
      </c>
      <c r="Q2398" s="10">
        <f t="shared" si="94"/>
        <v>2.204164419637656E-3</v>
      </c>
      <c r="AI2398">
        <v>-4.1900899999999998E-2</v>
      </c>
      <c r="AJ2398">
        <f t="shared" si="93"/>
        <v>-4.1900899999999998E-2</v>
      </c>
      <c r="AO2398">
        <v>-4.1900899999999998E-2</v>
      </c>
      <c r="AR2398" s="8">
        <v>0</v>
      </c>
      <c r="AS2398">
        <v>1.469776</v>
      </c>
    </row>
    <row r="2399" spans="1:45" x14ac:dyDescent="0.25">
      <c r="A2399">
        <v>426</v>
      </c>
      <c r="B2399">
        <v>1996</v>
      </c>
      <c r="C2399" s="8">
        <v>0</v>
      </c>
      <c r="D2399">
        <v>-3.1811999999999999E-3</v>
      </c>
      <c r="E2399">
        <v>0.4344249</v>
      </c>
      <c r="F2399">
        <v>5.8260100000000002E-2</v>
      </c>
      <c r="G2399">
        <v>1.7932809999999999</v>
      </c>
      <c r="H2399">
        <v>0.4627773</v>
      </c>
      <c r="Q2399" s="10">
        <f t="shared" si="94"/>
        <v>1.9983103725849274E-3</v>
      </c>
      <c r="AI2399">
        <v>-6.6572400000000004E-2</v>
      </c>
      <c r="AJ2399">
        <f t="shared" si="93"/>
        <v>-6.6572400000000004E-2</v>
      </c>
      <c r="AO2399">
        <v>-6.6572400000000004E-2</v>
      </c>
      <c r="AR2399" s="8">
        <v>0</v>
      </c>
      <c r="AS2399">
        <v>3.395241</v>
      </c>
    </row>
    <row r="2400" spans="1:45" x14ac:dyDescent="0.25">
      <c r="A2400">
        <v>426</v>
      </c>
      <c r="B2400">
        <v>1997</v>
      </c>
      <c r="C2400" s="8">
        <v>0</v>
      </c>
      <c r="D2400">
        <v>-4.1900899999999998E-2</v>
      </c>
      <c r="E2400">
        <v>0.49444949999999999</v>
      </c>
      <c r="F2400">
        <v>4.5368800000000001E-2</v>
      </c>
      <c r="G2400">
        <v>2.3838029999999999</v>
      </c>
      <c r="H2400">
        <v>0.36059999999999998</v>
      </c>
      <c r="Q2400" s="10">
        <f t="shared" si="94"/>
        <v>7.3270769310852606E-4</v>
      </c>
      <c r="AI2400">
        <v>-1.12432E-2</v>
      </c>
      <c r="AJ2400">
        <f t="shared" si="93"/>
        <v>-1.12432E-2</v>
      </c>
      <c r="AO2400">
        <v>-1.12432E-2</v>
      </c>
      <c r="AR2400" s="8">
        <v>0</v>
      </c>
      <c r="AS2400">
        <v>1.8393919999999999</v>
      </c>
    </row>
    <row r="2401" spans="1:45" x14ac:dyDescent="0.25">
      <c r="A2401">
        <v>426</v>
      </c>
      <c r="B2401">
        <v>1998</v>
      </c>
      <c r="C2401" s="8">
        <v>0</v>
      </c>
      <c r="D2401">
        <v>-6.6572400000000004E-2</v>
      </c>
      <c r="E2401">
        <v>0.47506910000000002</v>
      </c>
      <c r="F2401">
        <v>2.5363799999999999E-2</v>
      </c>
      <c r="G2401">
        <v>2.80661</v>
      </c>
      <c r="H2401">
        <v>0.28977330000000001</v>
      </c>
      <c r="Q2401" s="10">
        <f t="shared" si="94"/>
        <v>4.272434032482371E-4</v>
      </c>
      <c r="AI2401">
        <v>1.6539E-3</v>
      </c>
      <c r="AJ2401">
        <f t="shared" si="93"/>
        <v>1.6539E-3</v>
      </c>
      <c r="AO2401">
        <v>1.6539E-3</v>
      </c>
      <c r="AR2401" s="8">
        <v>0</v>
      </c>
      <c r="AS2401">
        <v>1.7932809999999999</v>
      </c>
    </row>
    <row r="2402" spans="1:45" x14ac:dyDescent="0.25">
      <c r="A2402">
        <v>427</v>
      </c>
      <c r="B2402">
        <v>1995</v>
      </c>
      <c r="C2402" s="8">
        <v>0</v>
      </c>
      <c r="D2402">
        <v>-1.12432E-2</v>
      </c>
      <c r="E2402">
        <v>0.15128720000000001</v>
      </c>
      <c r="F2402">
        <v>2.4241800000000001E-2</v>
      </c>
      <c r="G2402">
        <v>0.83858180000000004</v>
      </c>
      <c r="H2402">
        <v>0.13698830000000001</v>
      </c>
      <c r="Q2402" s="10">
        <f t="shared" si="94"/>
        <v>1.4579005698909053E-2</v>
      </c>
      <c r="AI2402">
        <v>-4.4325999999999997E-2</v>
      </c>
      <c r="AJ2402">
        <f t="shared" si="93"/>
        <v>-4.4325999999999997E-2</v>
      </c>
      <c r="AO2402">
        <v>-4.4325999999999997E-2</v>
      </c>
      <c r="AR2402" s="8">
        <v>0</v>
      </c>
      <c r="AS2402">
        <v>2.3838029999999999</v>
      </c>
    </row>
    <row r="2403" spans="1:45" x14ac:dyDescent="0.25">
      <c r="A2403">
        <v>427</v>
      </c>
      <c r="B2403">
        <v>1996</v>
      </c>
      <c r="C2403" s="8">
        <v>0</v>
      </c>
      <c r="D2403">
        <v>1.6539E-3</v>
      </c>
      <c r="E2403">
        <v>0.14222370000000001</v>
      </c>
      <c r="F2403">
        <v>5.15971E-2</v>
      </c>
      <c r="G2403">
        <v>0.71853900000000004</v>
      </c>
      <c r="H2403">
        <v>0.14240729999999999</v>
      </c>
      <c r="Q2403" s="10">
        <f t="shared" si="94"/>
        <v>1.4498258954724881E-2</v>
      </c>
      <c r="AI2403">
        <v>-5.3468999999999999E-3</v>
      </c>
      <c r="AJ2403">
        <f t="shared" si="93"/>
        <v>-5.3468999999999999E-3</v>
      </c>
      <c r="AO2403">
        <v>-5.3468999999999999E-3</v>
      </c>
      <c r="AR2403" s="8">
        <v>0</v>
      </c>
      <c r="AS2403">
        <v>2.80661</v>
      </c>
    </row>
    <row r="2404" spans="1:45" x14ac:dyDescent="0.25">
      <c r="A2404">
        <v>427</v>
      </c>
      <c r="B2404">
        <v>1997</v>
      </c>
      <c r="C2404" s="8">
        <v>0</v>
      </c>
      <c r="D2404">
        <v>-4.4325999999999997E-2</v>
      </c>
      <c r="E2404">
        <v>0.1531805</v>
      </c>
      <c r="F2404">
        <v>5.1671099999999998E-2</v>
      </c>
      <c r="G2404">
        <v>1.028664</v>
      </c>
      <c r="H2404">
        <v>0.12456689999999999</v>
      </c>
      <c r="Q2404" s="10">
        <f t="shared" si="94"/>
        <v>8.4931244312157796E-3</v>
      </c>
      <c r="AI2404">
        <v>0.13475429999999999</v>
      </c>
      <c r="AJ2404">
        <f t="shared" si="93"/>
        <v>0.13475429999999999</v>
      </c>
      <c r="AO2404">
        <v>0.13475429999999999</v>
      </c>
      <c r="AR2404" s="8">
        <v>0</v>
      </c>
      <c r="AS2404">
        <v>0.83858180000000004</v>
      </c>
    </row>
    <row r="2405" spans="1:45" x14ac:dyDescent="0.25">
      <c r="A2405">
        <v>427</v>
      </c>
      <c r="B2405">
        <v>1998</v>
      </c>
      <c r="C2405" s="8">
        <v>0</v>
      </c>
      <c r="D2405">
        <v>-5.3468999999999999E-3</v>
      </c>
      <c r="E2405">
        <v>0.170241</v>
      </c>
      <c r="F2405">
        <v>6.8061099999999999E-2</v>
      </c>
      <c r="G2405">
        <v>1.77851</v>
      </c>
      <c r="H2405">
        <v>0.16771430000000001</v>
      </c>
      <c r="Q2405" s="10">
        <f t="shared" si="94"/>
        <v>2.3105924817154585E-3</v>
      </c>
      <c r="AI2405">
        <v>-7.1161000000000002E-3</v>
      </c>
      <c r="AJ2405">
        <f t="shared" si="93"/>
        <v>-7.1161000000000002E-3</v>
      </c>
      <c r="AO2405">
        <v>-7.1161000000000002E-3</v>
      </c>
      <c r="AR2405" s="8">
        <v>0</v>
      </c>
      <c r="AS2405">
        <v>0.71853900000000004</v>
      </c>
    </row>
    <row r="2406" spans="1:45" x14ac:dyDescent="0.25">
      <c r="A2406">
        <v>427</v>
      </c>
      <c r="B2406">
        <v>1999</v>
      </c>
      <c r="C2406" s="8">
        <v>0</v>
      </c>
      <c r="D2406">
        <v>0.13475429999999999</v>
      </c>
      <c r="E2406">
        <v>0.2028527</v>
      </c>
      <c r="F2406">
        <v>3.5528700000000003E-2</v>
      </c>
      <c r="G2406">
        <v>2.0312049999999999</v>
      </c>
      <c r="H2406">
        <v>8.6182599999999998E-2</v>
      </c>
      <c r="Q2406" s="10">
        <f t="shared" si="94"/>
        <v>1.9261759463004837E-3</v>
      </c>
      <c r="AI2406">
        <v>0.4239406</v>
      </c>
      <c r="AJ2406">
        <f t="shared" si="93"/>
        <v>0.4239406</v>
      </c>
      <c r="AO2406">
        <v>0.4239406</v>
      </c>
      <c r="AR2406" s="8">
        <v>0</v>
      </c>
      <c r="AS2406">
        <v>1.028664</v>
      </c>
    </row>
    <row r="2407" spans="1:45" x14ac:dyDescent="0.25">
      <c r="A2407">
        <v>427</v>
      </c>
      <c r="B2407">
        <v>2000</v>
      </c>
      <c r="C2407" s="8">
        <v>0</v>
      </c>
      <c r="D2407">
        <v>-7.1161000000000002E-3</v>
      </c>
      <c r="E2407">
        <v>0.26048739999999998</v>
      </c>
      <c r="F2407">
        <v>3.9342500000000002E-2</v>
      </c>
      <c r="G2407">
        <v>1.353102</v>
      </c>
      <c r="H2407">
        <v>0.14065659999999999</v>
      </c>
      <c r="Q2407" s="10">
        <f t="shared" si="94"/>
        <v>4.9224709912793737E-3</v>
      </c>
      <c r="AI2407">
        <v>0.46394150000000001</v>
      </c>
      <c r="AJ2407">
        <f t="shared" si="93"/>
        <v>0.46394150000000001</v>
      </c>
      <c r="AO2407">
        <v>0.46394150000000001</v>
      </c>
      <c r="AR2407" s="8">
        <v>0</v>
      </c>
      <c r="AS2407">
        <v>1.77851</v>
      </c>
    </row>
    <row r="2408" spans="1:45" x14ac:dyDescent="0.25">
      <c r="A2408">
        <v>428</v>
      </c>
      <c r="B2408">
        <v>1995</v>
      </c>
      <c r="C2408" s="8">
        <v>0</v>
      </c>
      <c r="D2408">
        <v>0.4239406</v>
      </c>
      <c r="E2408">
        <v>0.18414</v>
      </c>
      <c r="F2408">
        <v>5.2638699999999997E-2</v>
      </c>
      <c r="G2408">
        <v>0.35920279999999999</v>
      </c>
      <c r="H2408">
        <v>0.25307590000000002</v>
      </c>
      <c r="Q2408" s="10">
        <f t="shared" si="94"/>
        <v>3.0113996603325258E-2</v>
      </c>
      <c r="AI2408">
        <v>0.397314</v>
      </c>
      <c r="AJ2408">
        <f t="shared" si="93"/>
        <v>0.397314</v>
      </c>
      <c r="AO2408">
        <v>0.397314</v>
      </c>
      <c r="AR2408" s="8">
        <v>0</v>
      </c>
      <c r="AS2408">
        <v>2.0312049999999999</v>
      </c>
    </row>
    <row r="2409" spans="1:45" x14ac:dyDescent="0.25">
      <c r="A2409">
        <v>428</v>
      </c>
      <c r="B2409">
        <v>1996</v>
      </c>
      <c r="C2409" s="8">
        <v>0</v>
      </c>
      <c r="D2409">
        <v>0.46394150000000001</v>
      </c>
      <c r="E2409">
        <v>0.20428950000000001</v>
      </c>
      <c r="F2409">
        <v>5.3380400000000001E-2</v>
      </c>
      <c r="G2409">
        <v>0.4861589</v>
      </c>
      <c r="H2409">
        <v>0.26036130000000002</v>
      </c>
      <c r="Q2409" s="10">
        <f t="shared" si="94"/>
        <v>2.4395832444362293E-2</v>
      </c>
      <c r="AI2409">
        <v>0.42331649999999998</v>
      </c>
      <c r="AJ2409">
        <f t="shared" si="93"/>
        <v>0.42331649999999998</v>
      </c>
      <c r="AO2409">
        <v>0.42331649999999998</v>
      </c>
      <c r="AR2409" s="8">
        <v>0</v>
      </c>
      <c r="AS2409">
        <v>1.353102</v>
      </c>
    </row>
    <row r="2410" spans="1:45" x14ac:dyDescent="0.25">
      <c r="A2410">
        <v>428</v>
      </c>
      <c r="B2410">
        <v>1997</v>
      </c>
      <c r="C2410" s="8">
        <v>0</v>
      </c>
      <c r="D2410">
        <v>0.397314</v>
      </c>
      <c r="E2410">
        <v>0.21640039999999999</v>
      </c>
      <c r="F2410">
        <v>5.93196E-2</v>
      </c>
      <c r="G2410">
        <v>0.78091270000000002</v>
      </c>
      <c r="H2410">
        <v>0.27414300000000003</v>
      </c>
      <c r="Q2410" s="10">
        <f t="shared" si="94"/>
        <v>1.4167311896030535E-2</v>
      </c>
      <c r="AI2410">
        <v>0.32097330000000002</v>
      </c>
      <c r="AJ2410">
        <f t="shared" si="93"/>
        <v>0.32097330000000002</v>
      </c>
      <c r="AO2410">
        <v>0.32097330000000002</v>
      </c>
      <c r="AR2410" s="8">
        <v>0</v>
      </c>
      <c r="AS2410">
        <v>0.35920279999999999</v>
      </c>
    </row>
    <row r="2411" spans="1:45" x14ac:dyDescent="0.25">
      <c r="A2411">
        <v>428</v>
      </c>
      <c r="B2411">
        <v>1998</v>
      </c>
      <c r="C2411" s="8">
        <v>0</v>
      </c>
      <c r="D2411">
        <v>0.42331649999999998</v>
      </c>
      <c r="E2411">
        <v>0.2084888</v>
      </c>
      <c r="F2411">
        <v>4.8545900000000003E-2</v>
      </c>
      <c r="G2411">
        <v>0.7589323</v>
      </c>
      <c r="H2411">
        <v>0.28880790000000001</v>
      </c>
      <c r="Q2411" s="10">
        <f t="shared" si="94"/>
        <v>1.6464050229127402E-2</v>
      </c>
      <c r="AI2411">
        <v>0.3276365</v>
      </c>
      <c r="AJ2411">
        <f t="shared" si="93"/>
        <v>0.3276365</v>
      </c>
      <c r="AO2411">
        <v>0.3276365</v>
      </c>
      <c r="AR2411" s="8">
        <v>0</v>
      </c>
      <c r="AS2411">
        <v>0.4861589</v>
      </c>
    </row>
    <row r="2412" spans="1:45" x14ac:dyDescent="0.25">
      <c r="A2412">
        <v>428</v>
      </c>
      <c r="B2412">
        <v>1999</v>
      </c>
      <c r="C2412" s="8">
        <v>0</v>
      </c>
      <c r="D2412">
        <v>0.32097330000000002</v>
      </c>
      <c r="E2412">
        <v>0.19187480000000001</v>
      </c>
      <c r="F2412">
        <v>4.5155899999999999E-2</v>
      </c>
      <c r="G2412">
        <v>0.49367440000000001</v>
      </c>
      <c r="H2412">
        <v>0.22660910000000001</v>
      </c>
      <c r="Q2412" s="10">
        <f t="shared" si="94"/>
        <v>2.4199081705383763E-2</v>
      </c>
      <c r="AI2412">
        <v>0.33193679999999998</v>
      </c>
      <c r="AJ2412">
        <f t="shared" si="93"/>
        <v>0.33193679999999998</v>
      </c>
      <c r="AO2412">
        <v>0.33193679999999998</v>
      </c>
      <c r="AR2412" s="8">
        <v>0</v>
      </c>
      <c r="AS2412">
        <v>0.78091270000000002</v>
      </c>
    </row>
    <row r="2413" spans="1:45" x14ac:dyDescent="0.25">
      <c r="A2413">
        <v>428</v>
      </c>
      <c r="B2413">
        <v>2000</v>
      </c>
      <c r="C2413" s="8">
        <v>0</v>
      </c>
      <c r="D2413">
        <v>0.3276365</v>
      </c>
      <c r="E2413">
        <v>0.2250086</v>
      </c>
      <c r="F2413">
        <v>6.6665600000000005E-2</v>
      </c>
      <c r="G2413">
        <v>0.51908969999999999</v>
      </c>
      <c r="H2413">
        <v>0.2433003</v>
      </c>
      <c r="Q2413" s="10">
        <f t="shared" si="94"/>
        <v>1.8991770357972795E-2</v>
      </c>
      <c r="AI2413">
        <v>0.3424449</v>
      </c>
      <c r="AJ2413">
        <f t="shared" si="93"/>
        <v>0.3424449</v>
      </c>
      <c r="AO2413">
        <v>0.3424449</v>
      </c>
      <c r="AR2413" s="8">
        <v>0</v>
      </c>
      <c r="AS2413">
        <v>0.7589323</v>
      </c>
    </row>
    <row r="2414" spans="1:45" x14ac:dyDescent="0.25">
      <c r="A2414">
        <v>428</v>
      </c>
      <c r="B2414">
        <v>2001</v>
      </c>
      <c r="C2414" s="8">
        <v>0</v>
      </c>
      <c r="D2414">
        <v>0.33193679999999998</v>
      </c>
      <c r="E2414">
        <v>0.22135089999999999</v>
      </c>
      <c r="F2414">
        <v>4.6996999999999997E-2</v>
      </c>
      <c r="G2414">
        <v>0.52615679999999998</v>
      </c>
      <c r="H2414">
        <v>0.25306099999999998</v>
      </c>
      <c r="Q2414" s="10">
        <f t="shared" si="94"/>
        <v>2.219685852880517E-2</v>
      </c>
      <c r="AI2414">
        <v>0.36522779999999999</v>
      </c>
      <c r="AJ2414">
        <f t="shared" si="93"/>
        <v>0.36522779999999999</v>
      </c>
      <c r="AO2414">
        <v>0.36522779999999999</v>
      </c>
      <c r="AR2414" s="8">
        <v>0</v>
      </c>
      <c r="AS2414">
        <v>0.49367440000000001</v>
      </c>
    </row>
    <row r="2415" spans="1:45" x14ac:dyDescent="0.25">
      <c r="A2415">
        <v>428</v>
      </c>
      <c r="B2415">
        <v>2002</v>
      </c>
      <c r="C2415" s="8">
        <v>0</v>
      </c>
      <c r="D2415">
        <v>0.3424449</v>
      </c>
      <c r="E2415">
        <v>0.24396219999999999</v>
      </c>
      <c r="F2415">
        <v>3.99715E-2</v>
      </c>
      <c r="G2415">
        <v>0.76640750000000002</v>
      </c>
      <c r="H2415">
        <v>0.25231819999999999</v>
      </c>
      <c r="Q2415" s="10">
        <f t="shared" si="94"/>
        <v>1.5657783828325458E-2</v>
      </c>
      <c r="AI2415">
        <v>0.3173067</v>
      </c>
      <c r="AJ2415">
        <f t="shared" si="93"/>
        <v>0.3173067</v>
      </c>
      <c r="AO2415">
        <v>0.3173067</v>
      </c>
      <c r="AR2415" s="8">
        <v>0</v>
      </c>
      <c r="AS2415">
        <v>0.51908969999999999</v>
      </c>
    </row>
    <row r="2416" spans="1:45" x14ac:dyDescent="0.25">
      <c r="A2416">
        <v>428</v>
      </c>
      <c r="B2416">
        <v>2003</v>
      </c>
      <c r="C2416" s="8">
        <v>0</v>
      </c>
      <c r="D2416">
        <v>0.36522779999999999</v>
      </c>
      <c r="E2416">
        <v>0.27114670000000002</v>
      </c>
      <c r="F2416">
        <v>6.0047400000000001E-2</v>
      </c>
      <c r="G2416">
        <v>1.192553</v>
      </c>
      <c r="H2416">
        <v>0.22124170000000001</v>
      </c>
      <c r="Q2416" s="10">
        <f t="shared" si="94"/>
        <v>6.4960660481603229E-3</v>
      </c>
      <c r="AI2416">
        <v>0.3097992</v>
      </c>
      <c r="AJ2416">
        <f t="shared" si="93"/>
        <v>0.3097992</v>
      </c>
      <c r="AO2416">
        <v>0.3097992</v>
      </c>
      <c r="AR2416" s="8">
        <v>0</v>
      </c>
      <c r="AS2416">
        <v>0.52615679999999998</v>
      </c>
    </row>
    <row r="2417" spans="1:45" x14ac:dyDescent="0.25">
      <c r="A2417">
        <v>428</v>
      </c>
      <c r="B2417">
        <v>2004</v>
      </c>
      <c r="C2417" s="8">
        <v>0</v>
      </c>
      <c r="D2417">
        <v>0.3173067</v>
      </c>
      <c r="E2417">
        <v>0.28263070000000001</v>
      </c>
      <c r="F2417">
        <v>4.3548900000000001E-2</v>
      </c>
      <c r="G2417">
        <v>1.442232</v>
      </c>
      <c r="H2417">
        <v>0.24856690000000001</v>
      </c>
      <c r="Q2417" s="10">
        <f t="shared" si="94"/>
        <v>4.8904039154255589E-3</v>
      </c>
      <c r="AI2417">
        <v>0.1844751</v>
      </c>
      <c r="AJ2417">
        <f t="shared" si="93"/>
        <v>0.1844751</v>
      </c>
      <c r="AO2417">
        <v>0.1844751</v>
      </c>
      <c r="AR2417" s="8">
        <v>0</v>
      </c>
      <c r="AS2417">
        <v>0.76640750000000002</v>
      </c>
    </row>
    <row r="2418" spans="1:45" x14ac:dyDescent="0.25">
      <c r="A2418">
        <v>429</v>
      </c>
      <c r="B2418">
        <v>1995</v>
      </c>
      <c r="C2418" s="8">
        <v>0</v>
      </c>
      <c r="D2418">
        <v>0.3097992</v>
      </c>
      <c r="E2418">
        <v>0.52483849999999999</v>
      </c>
      <c r="F2418">
        <v>6.2930600000000003E-2</v>
      </c>
      <c r="G2418">
        <v>1.3841829999999999</v>
      </c>
      <c r="H2418">
        <v>0.36066749999999997</v>
      </c>
      <c r="Q2418" s="10">
        <f t="shared" si="94"/>
        <v>3.4568938695661018E-3</v>
      </c>
      <c r="AI2418">
        <v>0.2410313</v>
      </c>
      <c r="AJ2418">
        <f t="shared" si="93"/>
        <v>0.2410313</v>
      </c>
      <c r="AO2418">
        <v>0.2410313</v>
      </c>
      <c r="AR2418" s="8">
        <v>0</v>
      </c>
      <c r="AS2418">
        <v>1.192553</v>
      </c>
    </row>
    <row r="2419" spans="1:45" x14ac:dyDescent="0.25">
      <c r="A2419">
        <v>429</v>
      </c>
      <c r="B2419">
        <v>1996</v>
      </c>
      <c r="C2419" s="8">
        <v>0</v>
      </c>
      <c r="D2419">
        <v>0.1844751</v>
      </c>
      <c r="E2419">
        <v>0.57540599999999997</v>
      </c>
      <c r="F2419">
        <v>5.1169800000000001E-2</v>
      </c>
      <c r="G2419">
        <v>1.962925</v>
      </c>
      <c r="H2419">
        <v>0.30570269999999999</v>
      </c>
      <c r="Q2419" s="10">
        <f t="shared" si="94"/>
        <v>1.2902230896890839E-3</v>
      </c>
      <c r="AI2419">
        <v>6.3658900000000004E-2</v>
      </c>
      <c r="AJ2419">
        <f t="shared" si="93"/>
        <v>6.3658900000000004E-2</v>
      </c>
      <c r="AO2419">
        <v>6.3658900000000004E-2</v>
      </c>
      <c r="AR2419" s="8">
        <v>0</v>
      </c>
      <c r="AS2419">
        <v>1.442232</v>
      </c>
    </row>
    <row r="2420" spans="1:45" x14ac:dyDescent="0.25">
      <c r="A2420">
        <v>429</v>
      </c>
      <c r="B2420">
        <v>1997</v>
      </c>
      <c r="C2420" s="8">
        <v>0</v>
      </c>
      <c r="D2420">
        <v>0.2410313</v>
      </c>
      <c r="E2420">
        <v>0.62339869999999997</v>
      </c>
      <c r="F2420">
        <v>6.6888199999999995E-2</v>
      </c>
      <c r="G2420">
        <v>3.8910550000000002</v>
      </c>
      <c r="H2420">
        <v>0.33899190000000001</v>
      </c>
      <c r="Q2420" s="10">
        <f t="shared" si="94"/>
        <v>5.1403437079172953E-5</v>
      </c>
      <c r="AI2420">
        <v>6.2890399999999999E-2</v>
      </c>
      <c r="AJ2420">
        <f t="shared" si="93"/>
        <v>6.2890399999999999E-2</v>
      </c>
      <c r="AO2420">
        <v>6.2890399999999999E-2</v>
      </c>
      <c r="AR2420" s="8">
        <v>0</v>
      </c>
      <c r="AS2420">
        <v>1.3841829999999999</v>
      </c>
    </row>
    <row r="2421" spans="1:45" x14ac:dyDescent="0.25">
      <c r="A2421">
        <v>429</v>
      </c>
      <c r="B2421">
        <v>1998</v>
      </c>
      <c r="C2421" s="8">
        <v>0</v>
      </c>
      <c r="D2421">
        <v>6.3658900000000004E-2</v>
      </c>
      <c r="E2421">
        <v>0.2497249</v>
      </c>
      <c r="F2421">
        <v>4.6088299999999999E-2</v>
      </c>
      <c r="G2421">
        <v>0.65593380000000001</v>
      </c>
      <c r="H2421">
        <v>0.2614262</v>
      </c>
      <c r="Q2421" s="10">
        <f t="shared" si="94"/>
        <v>1.5794921949818318E-2</v>
      </c>
      <c r="AI2421">
        <v>0.14246339999999999</v>
      </c>
      <c r="AJ2421">
        <f t="shared" si="93"/>
        <v>0.14246339999999999</v>
      </c>
      <c r="AO2421">
        <v>0.14246339999999999</v>
      </c>
      <c r="AR2421" s="8">
        <v>0</v>
      </c>
      <c r="AS2421">
        <v>1.962925</v>
      </c>
    </row>
    <row r="2422" spans="1:45" x14ac:dyDescent="0.25">
      <c r="A2422">
        <v>429</v>
      </c>
      <c r="B2422">
        <v>1999</v>
      </c>
      <c r="C2422" s="8">
        <v>0</v>
      </c>
      <c r="D2422">
        <v>6.2890399999999999E-2</v>
      </c>
      <c r="E2422">
        <v>0.35269929999999999</v>
      </c>
      <c r="F2422">
        <v>6.8974599999999997E-2</v>
      </c>
      <c r="G2422">
        <v>0.75909380000000004</v>
      </c>
      <c r="H2422">
        <v>0.29221520000000001</v>
      </c>
      <c r="Q2422" s="10">
        <f t="shared" si="94"/>
        <v>9.8481506102299013E-3</v>
      </c>
      <c r="AI2422">
        <v>0.17593130000000001</v>
      </c>
      <c r="AJ2422">
        <f t="shared" si="93"/>
        <v>0.17593130000000001</v>
      </c>
      <c r="AO2422">
        <v>0.17593130000000001</v>
      </c>
      <c r="AR2422" s="8">
        <v>0</v>
      </c>
      <c r="AS2422">
        <v>3.8910550000000002</v>
      </c>
    </row>
    <row r="2423" spans="1:45" x14ac:dyDescent="0.25">
      <c r="A2423">
        <v>430</v>
      </c>
      <c r="B2423">
        <v>1995</v>
      </c>
      <c r="C2423" s="8">
        <v>0</v>
      </c>
      <c r="D2423">
        <v>0.14246339999999999</v>
      </c>
      <c r="E2423">
        <v>0.35381669999999998</v>
      </c>
      <c r="F2423">
        <v>6.59106E-2</v>
      </c>
      <c r="G2423">
        <v>2.9072200000000001</v>
      </c>
      <c r="H2423">
        <v>0.34019100000000002</v>
      </c>
      <c r="Q2423" s="10">
        <f t="shared" si="94"/>
        <v>3.5316374041229124E-4</v>
      </c>
      <c r="AI2423">
        <v>0.18214530000000001</v>
      </c>
      <c r="AJ2423">
        <f t="shared" si="93"/>
        <v>0.18214530000000001</v>
      </c>
      <c r="AO2423">
        <v>0.18214530000000001</v>
      </c>
      <c r="AR2423" s="8">
        <v>0</v>
      </c>
      <c r="AS2423">
        <v>0.65593380000000001</v>
      </c>
    </row>
    <row r="2424" spans="1:45" x14ac:dyDescent="0.25">
      <c r="A2424">
        <v>430</v>
      </c>
      <c r="B2424">
        <v>1996</v>
      </c>
      <c r="C2424" s="8">
        <v>0</v>
      </c>
      <c r="D2424">
        <v>0.17593130000000001</v>
      </c>
      <c r="E2424">
        <v>0.39148850000000002</v>
      </c>
      <c r="F2424">
        <v>5.41523E-2</v>
      </c>
      <c r="G2424">
        <v>2.9993810000000001</v>
      </c>
      <c r="H2424">
        <v>0.3486264</v>
      </c>
      <c r="Q2424" s="10">
        <f t="shared" si="94"/>
        <v>3.2326445540396337E-4</v>
      </c>
      <c r="AI2424">
        <v>0.1044746</v>
      </c>
      <c r="AJ2424">
        <f t="shared" si="93"/>
        <v>0.1044746</v>
      </c>
      <c r="AO2424">
        <v>0.1044746</v>
      </c>
      <c r="AR2424" s="8">
        <v>0</v>
      </c>
      <c r="AS2424">
        <v>0.75909380000000004</v>
      </c>
    </row>
    <row r="2425" spans="1:45" x14ac:dyDescent="0.25">
      <c r="A2425">
        <v>430</v>
      </c>
      <c r="B2425">
        <v>1997</v>
      </c>
      <c r="C2425" s="8">
        <v>0</v>
      </c>
      <c r="D2425">
        <v>0.18214530000000001</v>
      </c>
      <c r="E2425">
        <v>0.37337399999999998</v>
      </c>
      <c r="F2425">
        <v>5.2726599999999998E-2</v>
      </c>
      <c r="G2425">
        <v>2.4609779999999999</v>
      </c>
      <c r="H2425">
        <v>0.32549260000000002</v>
      </c>
      <c r="Q2425" s="10">
        <f t="shared" si="94"/>
        <v>7.8210516152884733E-4</v>
      </c>
      <c r="AI2425">
        <v>0.1414832</v>
      </c>
      <c r="AJ2425">
        <f t="shared" si="93"/>
        <v>0.1414832</v>
      </c>
      <c r="AO2425">
        <v>0.1414832</v>
      </c>
      <c r="AR2425" s="8">
        <v>0</v>
      </c>
      <c r="AS2425">
        <v>2.9072200000000001</v>
      </c>
    </row>
    <row r="2426" spans="1:45" x14ac:dyDescent="0.25">
      <c r="A2426">
        <v>430</v>
      </c>
      <c r="B2426">
        <v>1998</v>
      </c>
      <c r="C2426" s="8">
        <v>0</v>
      </c>
      <c r="D2426">
        <v>0.1044746</v>
      </c>
      <c r="E2426">
        <v>0.32124730000000001</v>
      </c>
      <c r="F2426">
        <v>4.0792099999999998E-2</v>
      </c>
      <c r="G2426">
        <v>2.2516560000000001</v>
      </c>
      <c r="H2426">
        <v>0.31540309999999999</v>
      </c>
      <c r="Q2426" s="10">
        <f t="shared" si="94"/>
        <v>1.2462795245889893E-3</v>
      </c>
      <c r="AI2426">
        <v>0.1194326</v>
      </c>
      <c r="AJ2426">
        <f t="shared" si="93"/>
        <v>0.1194326</v>
      </c>
      <c r="AO2426">
        <v>0.1194326</v>
      </c>
      <c r="AR2426" s="8">
        <v>0</v>
      </c>
      <c r="AS2426">
        <v>2.9993810000000001</v>
      </c>
    </row>
    <row r="2427" spans="1:45" x14ac:dyDescent="0.25">
      <c r="A2427">
        <v>430</v>
      </c>
      <c r="B2427">
        <v>1999</v>
      </c>
      <c r="C2427" s="8">
        <v>0</v>
      </c>
      <c r="D2427">
        <v>0.1414832</v>
      </c>
      <c r="E2427">
        <v>0.34277449999999998</v>
      </c>
      <c r="F2427">
        <v>3.2851400000000003E-2</v>
      </c>
      <c r="G2427">
        <v>4.303382</v>
      </c>
      <c r="H2427">
        <v>0.26487050000000001</v>
      </c>
      <c r="Q2427" s="10">
        <f t="shared" si="94"/>
        <v>4.821814291415217E-5</v>
      </c>
      <c r="AI2427">
        <v>0.24878710000000001</v>
      </c>
      <c r="AJ2427">
        <f t="shared" si="93"/>
        <v>0.24878710000000001</v>
      </c>
      <c r="AO2427">
        <v>0.24878710000000001</v>
      </c>
      <c r="AR2427" s="8">
        <v>0</v>
      </c>
      <c r="AS2427">
        <v>2.4609779999999999</v>
      </c>
    </row>
    <row r="2428" spans="1:45" x14ac:dyDescent="0.25">
      <c r="A2428">
        <v>430</v>
      </c>
      <c r="B2428">
        <v>2000</v>
      </c>
      <c r="C2428" s="8">
        <v>0</v>
      </c>
      <c r="D2428">
        <v>0.1194326</v>
      </c>
      <c r="E2428">
        <v>0.29157050000000001</v>
      </c>
      <c r="F2428">
        <v>3.29821E-2</v>
      </c>
      <c r="G2428">
        <v>1.890204</v>
      </c>
      <c r="H2428">
        <v>0.27719510000000003</v>
      </c>
      <c r="Q2428" s="10">
        <f t="shared" si="94"/>
        <v>2.418481209884527E-3</v>
      </c>
      <c r="AI2428">
        <v>0.2624146</v>
      </c>
      <c r="AJ2428">
        <f t="shared" si="93"/>
        <v>0.2624146</v>
      </c>
      <c r="AO2428">
        <v>0.2624146</v>
      </c>
      <c r="AR2428" s="8">
        <v>0</v>
      </c>
      <c r="AS2428">
        <v>2.2516560000000001</v>
      </c>
    </row>
    <row r="2429" spans="1:45" x14ac:dyDescent="0.25">
      <c r="A2429">
        <v>430</v>
      </c>
      <c r="B2429">
        <v>2001</v>
      </c>
      <c r="C2429" s="8">
        <v>0</v>
      </c>
      <c r="D2429">
        <v>0.24878710000000001</v>
      </c>
      <c r="E2429">
        <v>0.18669559999999999</v>
      </c>
      <c r="F2429">
        <v>2.8076199999999999E-2</v>
      </c>
      <c r="G2429">
        <v>1.7283390000000001</v>
      </c>
      <c r="H2429">
        <v>0.2547354</v>
      </c>
      <c r="Q2429" s="10">
        <f t="shared" si="94"/>
        <v>3.9392058878229812E-3</v>
      </c>
      <c r="AI2429">
        <v>0.2914467</v>
      </c>
      <c r="AJ2429">
        <f t="shared" si="93"/>
        <v>0.2914467</v>
      </c>
      <c r="AO2429">
        <v>0.2914467</v>
      </c>
      <c r="AR2429" s="8">
        <v>0</v>
      </c>
      <c r="AS2429">
        <v>4.303382</v>
      </c>
    </row>
    <row r="2430" spans="1:45" x14ac:dyDescent="0.25">
      <c r="A2430">
        <v>430</v>
      </c>
      <c r="B2430">
        <v>2002</v>
      </c>
      <c r="C2430" s="8">
        <v>0</v>
      </c>
      <c r="D2430">
        <v>0.2624146</v>
      </c>
      <c r="E2430">
        <v>0.1059664</v>
      </c>
      <c r="F2430">
        <v>3.9822799999999998E-2</v>
      </c>
      <c r="G2430">
        <v>1.0336270000000001</v>
      </c>
      <c r="H2430">
        <v>0.29062139999999997</v>
      </c>
      <c r="Q2430" s="10">
        <f t="shared" si="94"/>
        <v>1.2438607810143687E-2</v>
      </c>
      <c r="AI2430">
        <v>7.8319899999999998E-2</v>
      </c>
      <c r="AJ2430">
        <f t="shared" si="93"/>
        <v>7.8319899999999998E-2</v>
      </c>
      <c r="AO2430">
        <v>7.8319899999999998E-2</v>
      </c>
      <c r="AR2430" s="8">
        <v>0</v>
      </c>
      <c r="AS2430">
        <v>1.890204</v>
      </c>
    </row>
    <row r="2431" spans="1:45" x14ac:dyDescent="0.25">
      <c r="A2431">
        <v>430</v>
      </c>
      <c r="B2431">
        <v>2003</v>
      </c>
      <c r="C2431" s="8">
        <v>0</v>
      </c>
      <c r="D2431">
        <v>0.2914467</v>
      </c>
      <c r="E2431">
        <v>0.14056250000000001</v>
      </c>
      <c r="F2431">
        <v>4.23592E-2</v>
      </c>
      <c r="G2431">
        <v>1.7498320000000001</v>
      </c>
      <c r="H2431">
        <v>0.2766477</v>
      </c>
      <c r="Q2431" s="10">
        <f t="shared" si="94"/>
        <v>3.7471895129321483E-3</v>
      </c>
      <c r="AI2431">
        <v>4.4345500000000003E-2</v>
      </c>
      <c r="AJ2431">
        <f t="shared" si="93"/>
        <v>4.4345500000000003E-2</v>
      </c>
      <c r="AO2431">
        <v>4.4345500000000003E-2</v>
      </c>
      <c r="AR2431" s="8">
        <v>0</v>
      </c>
      <c r="AS2431">
        <v>1.7283390000000001</v>
      </c>
    </row>
    <row r="2432" spans="1:45" x14ac:dyDescent="0.25">
      <c r="A2432">
        <v>431</v>
      </c>
      <c r="B2432">
        <v>1999</v>
      </c>
      <c r="C2432" s="8">
        <v>0</v>
      </c>
      <c r="D2432">
        <v>7.8319899999999998E-2</v>
      </c>
      <c r="E2432">
        <v>0.27727829999999998</v>
      </c>
      <c r="F2432">
        <v>6.4557299999999998E-2</v>
      </c>
      <c r="G2432">
        <v>1.892301</v>
      </c>
      <c r="H2432">
        <v>0.29902610000000002</v>
      </c>
      <c r="Q2432" s="10">
        <f t="shared" si="94"/>
        <v>1.906011942670476E-3</v>
      </c>
      <c r="AI2432">
        <v>6.5760299999999994E-2</v>
      </c>
      <c r="AJ2432">
        <f t="shared" si="93"/>
        <v>6.5760299999999994E-2</v>
      </c>
      <c r="AO2432">
        <v>6.5760299999999994E-2</v>
      </c>
      <c r="AR2432" s="8">
        <v>0</v>
      </c>
      <c r="AS2432">
        <v>1.0336270000000001</v>
      </c>
    </row>
    <row r="2433" spans="1:45" x14ac:dyDescent="0.25">
      <c r="A2433">
        <v>431</v>
      </c>
      <c r="B2433">
        <v>2000</v>
      </c>
      <c r="C2433" s="8">
        <v>0</v>
      </c>
      <c r="D2433">
        <v>4.4345500000000003E-2</v>
      </c>
      <c r="E2433">
        <v>0.28296070000000001</v>
      </c>
      <c r="F2433">
        <v>6.8904000000000007E-2</v>
      </c>
      <c r="G2433">
        <v>1.4798960000000001</v>
      </c>
      <c r="H2433">
        <v>0.43481170000000002</v>
      </c>
      <c r="Q2433" s="10">
        <f t="shared" si="94"/>
        <v>3.7711777028504945E-3</v>
      </c>
      <c r="AI2433">
        <v>8.7081099999999995E-2</v>
      </c>
      <c r="AJ2433">
        <f t="shared" si="93"/>
        <v>8.7081099999999995E-2</v>
      </c>
      <c r="AO2433">
        <v>8.7081099999999995E-2</v>
      </c>
      <c r="AR2433" s="8">
        <v>0</v>
      </c>
      <c r="AS2433">
        <v>1.7498320000000001</v>
      </c>
    </row>
    <row r="2434" spans="1:45" x14ac:dyDescent="0.25">
      <c r="A2434">
        <v>431</v>
      </c>
      <c r="B2434">
        <v>2002</v>
      </c>
      <c r="C2434" s="8">
        <v>0</v>
      </c>
      <c r="D2434">
        <v>6.5760299999999994E-2</v>
      </c>
      <c r="E2434">
        <v>0.31522830000000002</v>
      </c>
      <c r="F2434">
        <v>5.2878000000000001E-2</v>
      </c>
      <c r="G2434">
        <v>1.7357750000000001</v>
      </c>
      <c r="H2434">
        <v>0.31736209999999998</v>
      </c>
      <c r="Q2434" s="10">
        <f t="shared" si="94"/>
        <v>2.5553854680522813E-3</v>
      </c>
      <c r="AI2434">
        <v>0.10212499999999999</v>
      </c>
      <c r="AJ2434">
        <f t="shared" si="93"/>
        <v>0.10212499999999999</v>
      </c>
      <c r="AO2434">
        <v>0.10212499999999999</v>
      </c>
      <c r="AR2434" s="8">
        <v>0</v>
      </c>
      <c r="AS2434">
        <v>1.892301</v>
      </c>
    </row>
    <row r="2435" spans="1:45" x14ac:dyDescent="0.25">
      <c r="A2435">
        <v>431</v>
      </c>
      <c r="B2435">
        <v>2003</v>
      </c>
      <c r="C2435" s="8">
        <v>0</v>
      </c>
      <c r="D2435">
        <v>8.7081099999999995E-2</v>
      </c>
      <c r="E2435">
        <v>0.3263336</v>
      </c>
      <c r="F2435">
        <v>5.4392299999999998E-2</v>
      </c>
      <c r="G2435">
        <v>2.1928070000000002</v>
      </c>
      <c r="H2435">
        <v>0.31994610000000001</v>
      </c>
      <c r="Q2435" s="10">
        <f t="shared" si="94"/>
        <v>1.2133684604949191E-3</v>
      </c>
      <c r="AI2435">
        <v>0.2870859</v>
      </c>
      <c r="AJ2435">
        <f t="shared" si="93"/>
        <v>0.2870859</v>
      </c>
      <c r="AO2435">
        <v>0.2870859</v>
      </c>
      <c r="AR2435" s="8">
        <v>0</v>
      </c>
      <c r="AS2435">
        <v>1.4798960000000001</v>
      </c>
    </row>
    <row r="2436" spans="1:45" x14ac:dyDescent="0.25">
      <c r="A2436">
        <v>431</v>
      </c>
      <c r="B2436">
        <v>2004</v>
      </c>
      <c r="C2436" s="8">
        <v>0</v>
      </c>
      <c r="D2436">
        <v>0.10212499999999999</v>
      </c>
      <c r="E2436">
        <v>0.42508839999999998</v>
      </c>
      <c r="F2436">
        <v>7.5827699999999998E-2</v>
      </c>
      <c r="G2436">
        <v>2.6744189999999999</v>
      </c>
      <c r="H2436">
        <v>0.44159120000000002</v>
      </c>
      <c r="Q2436" s="10">
        <f t="shared" si="94"/>
        <v>4.4630151733286987E-4</v>
      </c>
      <c r="AI2436">
        <v>0.28825970000000001</v>
      </c>
      <c r="AJ2436">
        <f t="shared" si="93"/>
        <v>0.28825970000000001</v>
      </c>
      <c r="AO2436">
        <v>0.28825970000000001</v>
      </c>
      <c r="AR2436" s="8">
        <v>0</v>
      </c>
      <c r="AS2436">
        <v>1.7357750000000001</v>
      </c>
    </row>
    <row r="2437" spans="1:45" x14ac:dyDescent="0.25">
      <c r="A2437">
        <v>432</v>
      </c>
      <c r="B2437">
        <v>1996</v>
      </c>
      <c r="C2437" s="8">
        <v>0</v>
      </c>
      <c r="D2437">
        <v>0.2870859</v>
      </c>
      <c r="E2437">
        <v>2.5883900000000001E-2</v>
      </c>
      <c r="F2437">
        <v>5.8351399999999998E-2</v>
      </c>
      <c r="G2437">
        <v>0.89905630000000003</v>
      </c>
      <c r="H2437">
        <v>0.41666570000000003</v>
      </c>
      <c r="Q2437" s="10">
        <f t="shared" si="94"/>
        <v>1.6247804151298843E-2</v>
      </c>
      <c r="AI2437">
        <v>0.2134305</v>
      </c>
      <c r="AJ2437">
        <f t="shared" ref="AJ2437:AJ2500" si="95">MAX(MIN(AI2437,AM$5),AM$4)</f>
        <v>0.2134305</v>
      </c>
      <c r="AO2437">
        <v>0.2134305</v>
      </c>
      <c r="AR2437" s="8">
        <v>0</v>
      </c>
      <c r="AS2437">
        <v>2.1928070000000002</v>
      </c>
    </row>
    <row r="2438" spans="1:45" x14ac:dyDescent="0.25">
      <c r="A2438">
        <v>432</v>
      </c>
      <c r="B2438">
        <v>1997</v>
      </c>
      <c r="C2438" s="8">
        <v>0</v>
      </c>
      <c r="D2438">
        <v>0.28825970000000001</v>
      </c>
      <c r="E2438">
        <v>7.0641999999999996E-3</v>
      </c>
      <c r="F2438">
        <v>4.23264E-2</v>
      </c>
      <c r="G2438">
        <v>0.75677369999999999</v>
      </c>
      <c r="H2438">
        <v>0.41747990000000001</v>
      </c>
      <c r="Q2438" s="10">
        <f t="shared" si="94"/>
        <v>2.365745095885375E-2</v>
      </c>
      <c r="AI2438">
        <v>0.20782200000000001</v>
      </c>
      <c r="AJ2438">
        <f t="shared" si="95"/>
        <v>0.20782200000000001</v>
      </c>
      <c r="AO2438">
        <v>0.20782200000000001</v>
      </c>
      <c r="AR2438" s="8">
        <v>0</v>
      </c>
      <c r="AS2438">
        <v>2.6744189999999999</v>
      </c>
    </row>
    <row r="2439" spans="1:45" x14ac:dyDescent="0.25">
      <c r="A2439">
        <v>432</v>
      </c>
      <c r="B2439">
        <v>1998</v>
      </c>
      <c r="C2439" s="8">
        <v>0</v>
      </c>
      <c r="D2439">
        <v>0.2134305</v>
      </c>
      <c r="E2439">
        <v>6.1679100000000001E-2</v>
      </c>
      <c r="F2439">
        <v>5.7336199999999997E-2</v>
      </c>
      <c r="G2439">
        <v>1.2332920000000001</v>
      </c>
      <c r="H2439">
        <v>0.44877929999999999</v>
      </c>
      <c r="Q2439" s="10">
        <f t="shared" ref="Q2439:Q2502" si="96">1/(1+EXP(-(J$6+SUMPRODUCT(K$6:O$6,D2439:H2439))))</f>
        <v>9.0976527351620765E-3</v>
      </c>
      <c r="AI2439">
        <v>0.11664919999999999</v>
      </c>
      <c r="AJ2439">
        <f t="shared" si="95"/>
        <v>0.11664919999999999</v>
      </c>
      <c r="AO2439">
        <v>0.11664919999999999</v>
      </c>
      <c r="AR2439" s="8">
        <v>0</v>
      </c>
      <c r="AS2439">
        <v>0.89905630000000003</v>
      </c>
    </row>
    <row r="2440" spans="1:45" x14ac:dyDescent="0.25">
      <c r="A2440">
        <v>432</v>
      </c>
      <c r="B2440">
        <v>1999</v>
      </c>
      <c r="C2440" s="8">
        <v>0</v>
      </c>
      <c r="D2440">
        <v>0.20782200000000001</v>
      </c>
      <c r="E2440">
        <v>0.1504933</v>
      </c>
      <c r="F2440">
        <v>5.6423899999999999E-2</v>
      </c>
      <c r="G2440">
        <v>1.134598</v>
      </c>
      <c r="H2440">
        <v>0.38995180000000002</v>
      </c>
      <c r="Q2440" s="10">
        <f t="shared" si="96"/>
        <v>9.06756803330604E-3</v>
      </c>
      <c r="AI2440">
        <v>0.1263271</v>
      </c>
      <c r="AJ2440">
        <f t="shared" si="95"/>
        <v>0.1263271</v>
      </c>
      <c r="AO2440">
        <v>0.1263271</v>
      </c>
      <c r="AR2440" s="8">
        <v>0</v>
      </c>
      <c r="AS2440">
        <v>0.75677369999999999</v>
      </c>
    </row>
    <row r="2441" spans="1:45" x14ac:dyDescent="0.25">
      <c r="A2441">
        <v>432</v>
      </c>
      <c r="B2441">
        <v>2000</v>
      </c>
      <c r="C2441" s="8">
        <v>0</v>
      </c>
      <c r="D2441">
        <v>0.11664919999999999</v>
      </c>
      <c r="E2441">
        <v>0.15064179999999999</v>
      </c>
      <c r="F2441">
        <v>5.7108699999999998E-2</v>
      </c>
      <c r="G2441">
        <v>1.4358919999999999</v>
      </c>
      <c r="H2441">
        <v>0.37750699999999998</v>
      </c>
      <c r="Q2441" s="10">
        <f t="shared" si="96"/>
        <v>5.3501291899513762E-3</v>
      </c>
      <c r="AI2441">
        <v>0.19738439999999999</v>
      </c>
      <c r="AJ2441">
        <f t="shared" si="95"/>
        <v>0.19738439999999999</v>
      </c>
      <c r="AO2441">
        <v>0.19738439999999999</v>
      </c>
      <c r="AR2441" s="8">
        <v>0</v>
      </c>
      <c r="AS2441">
        <v>1.2332920000000001</v>
      </c>
    </row>
    <row r="2442" spans="1:45" x14ac:dyDescent="0.25">
      <c r="A2442">
        <v>432</v>
      </c>
      <c r="B2442">
        <v>2001</v>
      </c>
      <c r="C2442" s="8">
        <v>0</v>
      </c>
      <c r="D2442">
        <v>0.1263271</v>
      </c>
      <c r="E2442">
        <v>0.19279099999999999</v>
      </c>
      <c r="F2442">
        <v>4.8882299999999997E-2</v>
      </c>
      <c r="G2442">
        <v>1.303909</v>
      </c>
      <c r="H2442">
        <v>0.36293350000000002</v>
      </c>
      <c r="Q2442" s="10">
        <f t="shared" si="96"/>
        <v>6.5909428169504004E-3</v>
      </c>
      <c r="AI2442">
        <v>0.1931332</v>
      </c>
      <c r="AJ2442">
        <f t="shared" si="95"/>
        <v>0.1931332</v>
      </c>
      <c r="AO2442">
        <v>0.1931332</v>
      </c>
      <c r="AR2442" s="8">
        <v>0</v>
      </c>
      <c r="AS2442">
        <v>1.134598</v>
      </c>
    </row>
    <row r="2443" spans="1:45" x14ac:dyDescent="0.25">
      <c r="A2443">
        <v>432</v>
      </c>
      <c r="B2443">
        <v>2002</v>
      </c>
      <c r="C2443" s="8">
        <v>0</v>
      </c>
      <c r="D2443">
        <v>0.19738439999999999</v>
      </c>
      <c r="E2443">
        <v>4.9005300000000002E-2</v>
      </c>
      <c r="F2443">
        <v>5.7634100000000001E-2</v>
      </c>
      <c r="G2443">
        <v>0.72246069999999996</v>
      </c>
      <c r="H2443">
        <v>0.36236170000000001</v>
      </c>
      <c r="Q2443" s="10">
        <f t="shared" si="96"/>
        <v>1.9441718441223058E-2</v>
      </c>
      <c r="AI2443">
        <v>0.19178719999999999</v>
      </c>
      <c r="AJ2443">
        <f t="shared" si="95"/>
        <v>0.19178719999999999</v>
      </c>
      <c r="AO2443">
        <v>0.19178719999999999</v>
      </c>
      <c r="AR2443" s="8">
        <v>0</v>
      </c>
      <c r="AS2443">
        <v>1.4358919999999999</v>
      </c>
    </row>
    <row r="2444" spans="1:45" x14ac:dyDescent="0.25">
      <c r="A2444">
        <v>432</v>
      </c>
      <c r="B2444">
        <v>2003</v>
      </c>
      <c r="C2444" s="8">
        <v>0</v>
      </c>
      <c r="D2444">
        <v>0.1931332</v>
      </c>
      <c r="E2444">
        <v>0.154672</v>
      </c>
      <c r="F2444">
        <v>5.5725900000000002E-2</v>
      </c>
      <c r="G2444">
        <v>1.050036</v>
      </c>
      <c r="H2444">
        <v>0.32725650000000001</v>
      </c>
      <c r="Q2444" s="10">
        <f t="shared" si="96"/>
        <v>9.9064061381917111E-3</v>
      </c>
      <c r="AI2444">
        <v>0.23292280000000001</v>
      </c>
      <c r="AJ2444">
        <f t="shared" si="95"/>
        <v>0.23292280000000001</v>
      </c>
      <c r="AO2444">
        <v>0.23292280000000001</v>
      </c>
      <c r="AR2444" s="8">
        <v>0</v>
      </c>
      <c r="AS2444">
        <v>1.303909</v>
      </c>
    </row>
    <row r="2445" spans="1:45" x14ac:dyDescent="0.25">
      <c r="A2445">
        <v>432</v>
      </c>
      <c r="B2445">
        <v>2004</v>
      </c>
      <c r="C2445" s="8">
        <v>0</v>
      </c>
      <c r="D2445">
        <v>0.19178719999999999</v>
      </c>
      <c r="E2445">
        <v>0.22114700000000001</v>
      </c>
      <c r="F2445">
        <v>5.2720400000000001E-2</v>
      </c>
      <c r="G2445">
        <v>1.8921539999999999</v>
      </c>
      <c r="H2445">
        <v>0.34167969999999998</v>
      </c>
      <c r="Q2445" s="10">
        <f t="shared" si="96"/>
        <v>2.4460140650520187E-3</v>
      </c>
      <c r="AI2445">
        <v>0.19653470000000001</v>
      </c>
      <c r="AJ2445">
        <f t="shared" si="95"/>
        <v>0.19653470000000001</v>
      </c>
      <c r="AO2445">
        <v>0.19653470000000001</v>
      </c>
      <c r="AR2445" s="8">
        <v>0</v>
      </c>
      <c r="AS2445">
        <v>0.72246069999999996</v>
      </c>
    </row>
    <row r="2446" spans="1:45" x14ac:dyDescent="0.25">
      <c r="A2446">
        <v>433</v>
      </c>
      <c r="B2446">
        <v>1995</v>
      </c>
      <c r="C2446" s="8">
        <v>0</v>
      </c>
      <c r="D2446">
        <v>0.23292280000000001</v>
      </c>
      <c r="E2446">
        <v>-0.4407566</v>
      </c>
      <c r="F2446">
        <v>6.8524799999999997E-2</v>
      </c>
      <c r="G2446">
        <v>0.46617690000000001</v>
      </c>
      <c r="H2446">
        <v>0.2069114</v>
      </c>
      <c r="Q2446" s="10">
        <f t="shared" si="96"/>
        <v>4.8851327573853923E-2</v>
      </c>
      <c r="AI2446">
        <v>0.1990083</v>
      </c>
      <c r="AJ2446">
        <f t="shared" si="95"/>
        <v>0.1990083</v>
      </c>
      <c r="AO2446">
        <v>0.1990083</v>
      </c>
      <c r="AR2446" s="8">
        <v>0</v>
      </c>
      <c r="AS2446">
        <v>1.050036</v>
      </c>
    </row>
    <row r="2447" spans="1:45" x14ac:dyDescent="0.25">
      <c r="A2447">
        <v>433</v>
      </c>
      <c r="B2447">
        <v>1996</v>
      </c>
      <c r="C2447" s="8">
        <v>0</v>
      </c>
      <c r="D2447">
        <v>0.19653470000000001</v>
      </c>
      <c r="E2447">
        <v>-0.46116000000000001</v>
      </c>
      <c r="F2447">
        <v>4.2300999999999998E-2</v>
      </c>
      <c r="G2447">
        <v>0.42693639999999999</v>
      </c>
      <c r="H2447">
        <v>0.23349809999999999</v>
      </c>
      <c r="Q2447" s="10">
        <f t="shared" si="96"/>
        <v>6.5038534780043525E-2</v>
      </c>
      <c r="AI2447">
        <v>0.22453409999999999</v>
      </c>
      <c r="AJ2447">
        <f t="shared" si="95"/>
        <v>0.22453409999999999</v>
      </c>
      <c r="AO2447">
        <v>0.22453409999999999</v>
      </c>
      <c r="AR2447" s="8">
        <v>0</v>
      </c>
      <c r="AS2447">
        <v>1.8921539999999999</v>
      </c>
    </row>
    <row r="2448" spans="1:45" x14ac:dyDescent="0.25">
      <c r="A2448">
        <v>433</v>
      </c>
      <c r="B2448">
        <v>1997</v>
      </c>
      <c r="C2448" s="8">
        <v>0</v>
      </c>
      <c r="D2448">
        <v>0.1990083</v>
      </c>
      <c r="E2448">
        <v>-0.53642480000000003</v>
      </c>
      <c r="F2448">
        <v>5.5804600000000003E-2</v>
      </c>
      <c r="G2448">
        <v>0.56179259999999998</v>
      </c>
      <c r="H2448">
        <v>0.22422980000000001</v>
      </c>
      <c r="Q2448" s="10">
        <f t="shared" si="96"/>
        <v>5.2963748889307181E-2</v>
      </c>
      <c r="AI2448">
        <v>0.25600509999999999</v>
      </c>
      <c r="AJ2448">
        <f t="shared" si="95"/>
        <v>0.25600509999999999</v>
      </c>
      <c r="AO2448">
        <v>0.25600509999999999</v>
      </c>
      <c r="AR2448" s="8">
        <v>0</v>
      </c>
      <c r="AS2448">
        <v>0.46617690000000001</v>
      </c>
    </row>
    <row r="2449" spans="1:45" x14ac:dyDescent="0.25">
      <c r="A2449">
        <v>433</v>
      </c>
      <c r="B2449">
        <v>1998</v>
      </c>
      <c r="C2449" s="8">
        <v>0</v>
      </c>
      <c r="D2449">
        <v>0.22453409999999999</v>
      </c>
      <c r="E2449">
        <v>-0.20416770000000001</v>
      </c>
      <c r="F2449">
        <v>7.76646E-2</v>
      </c>
      <c r="G2449">
        <v>0.77164600000000005</v>
      </c>
      <c r="H2449">
        <v>0.2028768</v>
      </c>
      <c r="Q2449" s="10">
        <f t="shared" si="96"/>
        <v>2.0257312765726156E-2</v>
      </c>
      <c r="AI2449">
        <v>0.26285510000000001</v>
      </c>
      <c r="AJ2449">
        <f t="shared" si="95"/>
        <v>0.26285510000000001</v>
      </c>
      <c r="AO2449">
        <v>0.26285510000000001</v>
      </c>
      <c r="AR2449" s="8">
        <v>0</v>
      </c>
      <c r="AS2449">
        <v>0.42693639999999999</v>
      </c>
    </row>
    <row r="2450" spans="1:45" x14ac:dyDescent="0.25">
      <c r="A2450">
        <v>433</v>
      </c>
      <c r="B2450">
        <v>1999</v>
      </c>
      <c r="C2450" s="8">
        <v>0</v>
      </c>
      <c r="D2450">
        <v>0.25600509999999999</v>
      </c>
      <c r="E2450">
        <v>-0.1054583</v>
      </c>
      <c r="F2450">
        <v>5.1489500000000001E-2</v>
      </c>
      <c r="G2450">
        <v>1.026872</v>
      </c>
      <c r="H2450">
        <v>0.25963399999999998</v>
      </c>
      <c r="Q2450" s="10">
        <f t="shared" si="96"/>
        <v>1.5195630262719109E-2</v>
      </c>
      <c r="AI2450">
        <v>0.26775850000000001</v>
      </c>
      <c r="AJ2450">
        <f t="shared" si="95"/>
        <v>0.26775850000000001</v>
      </c>
      <c r="AO2450">
        <v>0.26775850000000001</v>
      </c>
      <c r="AR2450" s="8">
        <v>0</v>
      </c>
      <c r="AS2450">
        <v>0.56179259999999998</v>
      </c>
    </row>
    <row r="2451" spans="1:45" x14ac:dyDescent="0.25">
      <c r="A2451">
        <v>433</v>
      </c>
      <c r="B2451">
        <v>2000</v>
      </c>
      <c r="C2451" s="8">
        <v>0</v>
      </c>
      <c r="D2451">
        <v>0.26285510000000001</v>
      </c>
      <c r="E2451">
        <v>-1.26289E-2</v>
      </c>
      <c r="F2451">
        <v>5.5804100000000002E-2</v>
      </c>
      <c r="G2451">
        <v>1.6029169999999999</v>
      </c>
      <c r="H2451">
        <v>0.20873449999999999</v>
      </c>
      <c r="Q2451" s="10">
        <f t="shared" si="96"/>
        <v>5.0284089235196486E-3</v>
      </c>
      <c r="AI2451">
        <v>-3.4337399999999997E-2</v>
      </c>
      <c r="AJ2451">
        <f t="shared" si="95"/>
        <v>-3.4337399999999997E-2</v>
      </c>
      <c r="AO2451">
        <v>-3.4337399999999997E-2</v>
      </c>
      <c r="AR2451" s="8">
        <v>0</v>
      </c>
      <c r="AS2451">
        <v>0.77164600000000005</v>
      </c>
    </row>
    <row r="2452" spans="1:45" x14ac:dyDescent="0.25">
      <c r="A2452">
        <v>433</v>
      </c>
      <c r="B2452">
        <v>2001</v>
      </c>
      <c r="C2452" s="8">
        <v>0</v>
      </c>
      <c r="D2452">
        <v>0.26775850000000001</v>
      </c>
      <c r="E2452">
        <v>3.53324E-2</v>
      </c>
      <c r="F2452">
        <v>6.2009500000000002E-2</v>
      </c>
      <c r="G2452">
        <v>1.0122059999999999</v>
      </c>
      <c r="H2452">
        <v>0.19015070000000001</v>
      </c>
      <c r="Q2452" s="10">
        <f t="shared" si="96"/>
        <v>1.1260656122161511E-2</v>
      </c>
      <c r="AI2452">
        <v>-6.94911E-2</v>
      </c>
      <c r="AJ2452">
        <f t="shared" si="95"/>
        <v>-6.94911E-2</v>
      </c>
      <c r="AO2452">
        <v>-6.94911E-2</v>
      </c>
      <c r="AR2452" s="8">
        <v>0</v>
      </c>
      <c r="AS2452">
        <v>1.026872</v>
      </c>
    </row>
    <row r="2453" spans="1:45" x14ac:dyDescent="0.25">
      <c r="A2453">
        <v>434</v>
      </c>
      <c r="B2453">
        <v>2002</v>
      </c>
      <c r="C2453" s="8">
        <v>0</v>
      </c>
      <c r="D2453">
        <v>-3.4337399999999997E-2</v>
      </c>
      <c r="E2453">
        <v>3.69465E-2</v>
      </c>
      <c r="F2453">
        <v>2.9261300000000001E-2</v>
      </c>
      <c r="G2453">
        <v>0.47925509999999999</v>
      </c>
      <c r="H2453">
        <v>0.1210552</v>
      </c>
      <c r="Q2453" s="10">
        <f t="shared" si="96"/>
        <v>2.8354447272055321E-2</v>
      </c>
      <c r="AI2453">
        <v>-4.1207800000000003E-2</v>
      </c>
      <c r="AJ2453">
        <f t="shared" si="95"/>
        <v>-4.1207800000000003E-2</v>
      </c>
      <c r="AO2453">
        <v>-4.1207800000000003E-2</v>
      </c>
      <c r="AR2453" s="8">
        <v>0</v>
      </c>
      <c r="AS2453">
        <v>1.6029169999999999</v>
      </c>
    </row>
    <row r="2454" spans="1:45" x14ac:dyDescent="0.25">
      <c r="A2454">
        <v>434</v>
      </c>
      <c r="B2454">
        <v>2003</v>
      </c>
      <c r="C2454" s="8">
        <v>0</v>
      </c>
      <c r="D2454">
        <v>-6.94911E-2</v>
      </c>
      <c r="E2454">
        <v>-1.55405E-2</v>
      </c>
      <c r="F2454">
        <v>-2.3590699999999999E-2</v>
      </c>
      <c r="G2454">
        <v>0.31432450000000001</v>
      </c>
      <c r="H2454">
        <v>0.12821360000000001</v>
      </c>
      <c r="Q2454" s="10">
        <f t="shared" si="96"/>
        <v>5.828145240470313E-2</v>
      </c>
      <c r="AI2454">
        <v>-5.99803E-2</v>
      </c>
      <c r="AJ2454">
        <f t="shared" si="95"/>
        <v>-5.99803E-2</v>
      </c>
      <c r="AO2454">
        <v>-5.99803E-2</v>
      </c>
      <c r="AR2454" s="8">
        <v>0</v>
      </c>
      <c r="AS2454">
        <v>1.0122059999999999</v>
      </c>
    </row>
    <row r="2455" spans="1:45" x14ac:dyDescent="0.25">
      <c r="A2455">
        <v>435</v>
      </c>
      <c r="B2455">
        <v>1995</v>
      </c>
      <c r="C2455" s="8">
        <v>0</v>
      </c>
      <c r="D2455">
        <v>-4.1207800000000003E-2</v>
      </c>
      <c r="E2455">
        <v>-0.18419759999999999</v>
      </c>
      <c r="F2455">
        <v>3.01255E-2</v>
      </c>
      <c r="G2455">
        <v>0.58802679999999996</v>
      </c>
      <c r="H2455">
        <v>0.28605750000000002</v>
      </c>
      <c r="Q2455" s="10">
        <f t="shared" si="96"/>
        <v>3.5794798577974164E-2</v>
      </c>
      <c r="AI2455">
        <v>-4.6001399999999998E-2</v>
      </c>
      <c r="AJ2455">
        <f t="shared" si="95"/>
        <v>-4.6001399999999998E-2</v>
      </c>
      <c r="AO2455">
        <v>-4.6001399999999998E-2</v>
      </c>
      <c r="AR2455" s="8">
        <v>0</v>
      </c>
      <c r="AS2455">
        <v>0.47925509999999999</v>
      </c>
    </row>
    <row r="2456" spans="1:45" x14ac:dyDescent="0.25">
      <c r="A2456">
        <v>435</v>
      </c>
      <c r="B2456">
        <v>1996</v>
      </c>
      <c r="C2456" s="8">
        <v>0</v>
      </c>
      <c r="D2456">
        <v>-5.99803E-2</v>
      </c>
      <c r="E2456">
        <v>-8.3421300000000004E-2</v>
      </c>
      <c r="F2456">
        <v>3.0775E-2</v>
      </c>
      <c r="G2456">
        <v>0.51639360000000001</v>
      </c>
      <c r="H2456">
        <v>0.307172</v>
      </c>
      <c r="Q2456" s="10">
        <f t="shared" si="96"/>
        <v>3.4697709796549063E-2</v>
      </c>
      <c r="AI2456">
        <v>-0.1222748</v>
      </c>
      <c r="AJ2456">
        <f t="shared" si="95"/>
        <v>-0.113345184</v>
      </c>
      <c r="AO2456">
        <v>-0.113345184</v>
      </c>
      <c r="AR2456" s="8">
        <v>0</v>
      </c>
      <c r="AS2456">
        <v>0.31432450000000001</v>
      </c>
    </row>
    <row r="2457" spans="1:45" x14ac:dyDescent="0.25">
      <c r="A2457">
        <v>435</v>
      </c>
      <c r="B2457">
        <v>1997</v>
      </c>
      <c r="C2457" s="8">
        <v>0</v>
      </c>
      <c r="D2457">
        <v>-4.6001399999999998E-2</v>
      </c>
      <c r="E2457">
        <v>-0.1104031</v>
      </c>
      <c r="F2457">
        <v>5.4908699999999998E-2</v>
      </c>
      <c r="G2457">
        <v>0.57739079999999998</v>
      </c>
      <c r="H2457">
        <v>0.2876611</v>
      </c>
      <c r="Q2457" s="10">
        <f t="shared" si="96"/>
        <v>2.7038420729031589E-2</v>
      </c>
      <c r="AI2457">
        <v>-0.1061909</v>
      </c>
      <c r="AJ2457">
        <f t="shared" si="95"/>
        <v>-0.1061909</v>
      </c>
      <c r="AO2457">
        <v>-0.1061909</v>
      </c>
      <c r="AR2457" s="8">
        <v>0</v>
      </c>
      <c r="AS2457">
        <v>0.58802679999999996</v>
      </c>
    </row>
    <row r="2458" spans="1:45" x14ac:dyDescent="0.25">
      <c r="A2458">
        <v>435</v>
      </c>
      <c r="B2458">
        <v>1998</v>
      </c>
      <c r="C2458" s="8">
        <v>0</v>
      </c>
      <c r="D2458">
        <v>-0.1222748</v>
      </c>
      <c r="E2458">
        <v>-3.8411300000000002E-2</v>
      </c>
      <c r="F2458">
        <v>1.9500400000000001E-2</v>
      </c>
      <c r="G2458">
        <v>0.23538049999999999</v>
      </c>
      <c r="H2458">
        <v>0.24658089999999999</v>
      </c>
      <c r="Q2458" s="10">
        <f t="shared" si="96"/>
        <v>5.1340497025319246E-2</v>
      </c>
      <c r="AI2458">
        <v>-0.1059597</v>
      </c>
      <c r="AJ2458">
        <f t="shared" si="95"/>
        <v>-0.1059597</v>
      </c>
      <c r="AO2458">
        <v>-0.1059597</v>
      </c>
      <c r="AR2458" s="8">
        <v>0</v>
      </c>
      <c r="AS2458">
        <v>0.51639360000000001</v>
      </c>
    </row>
    <row r="2459" spans="1:45" x14ac:dyDescent="0.25">
      <c r="A2459">
        <v>435</v>
      </c>
      <c r="B2459">
        <v>1999</v>
      </c>
      <c r="C2459" s="8">
        <v>0</v>
      </c>
      <c r="D2459">
        <v>-0.1061909</v>
      </c>
      <c r="E2459">
        <v>-8.3788000000000005E-3</v>
      </c>
      <c r="F2459">
        <v>3.32941E-2</v>
      </c>
      <c r="G2459">
        <v>0.21257129999999999</v>
      </c>
      <c r="H2459">
        <v>0.26632699999999998</v>
      </c>
      <c r="Q2459" s="10">
        <f t="shared" si="96"/>
        <v>4.6738374925450625E-2</v>
      </c>
      <c r="AI2459">
        <v>8.1911999999999992E-3</v>
      </c>
      <c r="AJ2459">
        <f t="shared" si="95"/>
        <v>8.1911999999999992E-3</v>
      </c>
      <c r="AO2459">
        <v>8.1911999999999992E-3</v>
      </c>
      <c r="AR2459" s="8">
        <v>0</v>
      </c>
      <c r="AS2459">
        <v>0.57739079999999998</v>
      </c>
    </row>
    <row r="2460" spans="1:45" x14ac:dyDescent="0.25">
      <c r="A2460">
        <v>435</v>
      </c>
      <c r="B2460">
        <v>2000</v>
      </c>
      <c r="C2460" s="8">
        <v>0</v>
      </c>
      <c r="D2460">
        <v>-0.1059597</v>
      </c>
      <c r="E2460">
        <v>1.52154E-2</v>
      </c>
      <c r="F2460">
        <v>2.7847899999999998E-2</v>
      </c>
      <c r="G2460">
        <v>0.2827789</v>
      </c>
      <c r="H2460">
        <v>0.2888733</v>
      </c>
      <c r="Q2460" s="10">
        <f t="shared" si="96"/>
        <v>4.2947491478545041E-2</v>
      </c>
      <c r="AI2460">
        <v>-2.6938799999999999E-2</v>
      </c>
      <c r="AJ2460">
        <f t="shared" si="95"/>
        <v>-2.6938799999999999E-2</v>
      </c>
      <c r="AO2460">
        <v>-2.6938799999999999E-2</v>
      </c>
      <c r="AR2460" s="8">
        <v>0</v>
      </c>
      <c r="AS2460">
        <v>0.23538049999999999</v>
      </c>
    </row>
    <row r="2461" spans="1:45" x14ac:dyDescent="0.25">
      <c r="A2461">
        <v>435</v>
      </c>
      <c r="B2461">
        <v>2001</v>
      </c>
      <c r="C2461" s="8">
        <v>0</v>
      </c>
      <c r="D2461">
        <v>8.1911999999999992E-3</v>
      </c>
      <c r="E2461">
        <v>-2.3649E-2</v>
      </c>
      <c r="F2461">
        <v>5.2160000000000002E-3</v>
      </c>
      <c r="G2461">
        <v>0.1251882</v>
      </c>
      <c r="H2461">
        <v>0.1655914</v>
      </c>
      <c r="Q2461" s="10">
        <f t="shared" si="96"/>
        <v>6.6341336919497812E-2</v>
      </c>
      <c r="AI2461">
        <v>1.75598E-2</v>
      </c>
      <c r="AJ2461">
        <f t="shared" si="95"/>
        <v>1.75598E-2</v>
      </c>
      <c r="AO2461">
        <v>1.75598E-2</v>
      </c>
      <c r="AR2461" s="8">
        <v>0</v>
      </c>
      <c r="AS2461">
        <v>0.21257129999999999</v>
      </c>
    </row>
    <row r="2462" spans="1:45" x14ac:dyDescent="0.25">
      <c r="A2462">
        <v>435</v>
      </c>
      <c r="B2462">
        <v>2002</v>
      </c>
      <c r="C2462" s="8">
        <v>0</v>
      </c>
      <c r="D2462">
        <v>-2.6938799999999999E-2</v>
      </c>
      <c r="E2462">
        <v>-0.16094320000000001</v>
      </c>
      <c r="F2462">
        <v>2.8590999999999998E-2</v>
      </c>
      <c r="G2462">
        <v>7.9917000000000002E-2</v>
      </c>
      <c r="H2462">
        <v>0.21362919999999999</v>
      </c>
      <c r="Q2462" s="10">
        <f t="shared" si="96"/>
        <v>7.2810967793369791E-2</v>
      </c>
      <c r="AI2462">
        <v>-3.9556800000000003E-2</v>
      </c>
      <c r="AJ2462">
        <f t="shared" si="95"/>
        <v>-3.9556800000000003E-2</v>
      </c>
      <c r="AO2462">
        <v>-3.9556800000000003E-2</v>
      </c>
      <c r="AR2462" s="8">
        <v>0</v>
      </c>
      <c r="AS2462">
        <v>0.2827789</v>
      </c>
    </row>
    <row r="2463" spans="1:45" x14ac:dyDescent="0.25">
      <c r="A2463">
        <v>435</v>
      </c>
      <c r="B2463">
        <v>2003</v>
      </c>
      <c r="C2463" s="8">
        <v>0</v>
      </c>
      <c r="D2463">
        <v>1.75598E-2</v>
      </c>
      <c r="E2463">
        <v>-0.13261419999999999</v>
      </c>
      <c r="F2463">
        <v>3.1966599999999998E-2</v>
      </c>
      <c r="G2463">
        <v>9.8017300000000002E-2</v>
      </c>
      <c r="H2463">
        <v>0.20454149999999999</v>
      </c>
      <c r="Q2463" s="10">
        <f t="shared" si="96"/>
        <v>6.7325333531093365E-2</v>
      </c>
      <c r="AI2463">
        <v>0.1199622</v>
      </c>
      <c r="AJ2463">
        <f t="shared" si="95"/>
        <v>0.1199622</v>
      </c>
      <c r="AO2463">
        <v>0.1199622</v>
      </c>
      <c r="AR2463" s="8">
        <v>0</v>
      </c>
      <c r="AS2463">
        <v>0.1251882</v>
      </c>
    </row>
    <row r="2464" spans="1:45" x14ac:dyDescent="0.25">
      <c r="A2464">
        <v>435</v>
      </c>
      <c r="B2464">
        <v>2004</v>
      </c>
      <c r="C2464" s="8">
        <v>0</v>
      </c>
      <c r="D2464">
        <v>-3.9556800000000003E-2</v>
      </c>
      <c r="E2464">
        <v>-0.23446049999999999</v>
      </c>
      <c r="F2464">
        <v>2.2753000000000001E-3</v>
      </c>
      <c r="G2464">
        <v>8.0405299999999999E-2</v>
      </c>
      <c r="H2464">
        <v>0.22785710000000001</v>
      </c>
      <c r="Q2464" s="10">
        <f t="shared" si="96"/>
        <v>9.7608490240764373E-2</v>
      </c>
      <c r="AI2464">
        <v>0.1968857</v>
      </c>
      <c r="AJ2464">
        <f t="shared" si="95"/>
        <v>0.1968857</v>
      </c>
      <c r="AO2464">
        <v>0.1968857</v>
      </c>
      <c r="AR2464" s="8">
        <v>0</v>
      </c>
      <c r="AS2464">
        <v>7.9917000000000002E-2</v>
      </c>
    </row>
    <row r="2465" spans="1:45" x14ac:dyDescent="0.25">
      <c r="A2465">
        <v>436</v>
      </c>
      <c r="B2465">
        <v>1998</v>
      </c>
      <c r="C2465" s="8">
        <v>0</v>
      </c>
      <c r="D2465">
        <v>0.1199622</v>
      </c>
      <c r="E2465">
        <v>0.60159949999999995</v>
      </c>
      <c r="F2465">
        <v>6.0892599999999998E-2</v>
      </c>
      <c r="G2465">
        <v>1.9468730000000001</v>
      </c>
      <c r="H2465">
        <v>0.27811190000000002</v>
      </c>
      <c r="Q2465" s="10">
        <f t="shared" si="96"/>
        <v>1.1284736398558955E-3</v>
      </c>
      <c r="AI2465">
        <v>0.19966390000000001</v>
      </c>
      <c r="AJ2465">
        <f t="shared" si="95"/>
        <v>0.19966390000000001</v>
      </c>
      <c r="AO2465">
        <v>0.19966390000000001</v>
      </c>
      <c r="AR2465" s="8">
        <v>0</v>
      </c>
      <c r="AS2465">
        <v>9.8017300000000002E-2</v>
      </c>
    </row>
    <row r="2466" spans="1:45" x14ac:dyDescent="0.25">
      <c r="A2466">
        <v>437</v>
      </c>
      <c r="B2466">
        <v>1998</v>
      </c>
      <c r="C2466" s="8">
        <v>0</v>
      </c>
      <c r="D2466">
        <v>0.1968857</v>
      </c>
      <c r="E2466">
        <v>0.18610170000000001</v>
      </c>
      <c r="F2466">
        <v>2.2102799999999999E-2</v>
      </c>
      <c r="G2466">
        <v>0.26054100000000002</v>
      </c>
      <c r="H2466">
        <v>1.1903319999999999</v>
      </c>
      <c r="Q2466" s="10">
        <f t="shared" si="96"/>
        <v>6.9992235458411961E-2</v>
      </c>
      <c r="AI2466">
        <v>0.1437889</v>
      </c>
      <c r="AJ2466">
        <f t="shared" si="95"/>
        <v>0.1437889</v>
      </c>
      <c r="AO2466">
        <v>0.1437889</v>
      </c>
      <c r="AR2466" s="8">
        <v>0</v>
      </c>
      <c r="AS2466">
        <v>8.0405299999999999E-2</v>
      </c>
    </row>
    <row r="2467" spans="1:45" x14ac:dyDescent="0.25">
      <c r="A2467">
        <v>437</v>
      </c>
      <c r="B2467">
        <v>1999</v>
      </c>
      <c r="C2467" s="8">
        <v>0</v>
      </c>
      <c r="D2467">
        <v>0.19966390000000001</v>
      </c>
      <c r="E2467">
        <v>0.18943989999999999</v>
      </c>
      <c r="F2467">
        <v>5.1431600000000001E-2</v>
      </c>
      <c r="G2467">
        <v>0.1350384</v>
      </c>
      <c r="H2467">
        <v>1.1482429999999999</v>
      </c>
      <c r="Q2467" s="10">
        <f t="shared" si="96"/>
        <v>6.5915259682806648E-2</v>
      </c>
      <c r="AI2467">
        <v>0.13519510000000001</v>
      </c>
      <c r="AJ2467">
        <f t="shared" si="95"/>
        <v>0.13519510000000001</v>
      </c>
      <c r="AO2467">
        <v>0.13519510000000001</v>
      </c>
      <c r="AR2467" s="8">
        <v>0</v>
      </c>
      <c r="AS2467">
        <v>1.9468730000000001</v>
      </c>
    </row>
    <row r="2468" spans="1:45" x14ac:dyDescent="0.25">
      <c r="A2468">
        <v>437</v>
      </c>
      <c r="B2468">
        <v>2000</v>
      </c>
      <c r="C2468" s="8">
        <v>0</v>
      </c>
      <c r="D2468">
        <v>0.1437889</v>
      </c>
      <c r="E2468">
        <v>0.1923531</v>
      </c>
      <c r="F2468">
        <v>3.31715E-2</v>
      </c>
      <c r="G2468">
        <v>0.2191553</v>
      </c>
      <c r="H2468">
        <v>1.127111</v>
      </c>
      <c r="Q2468" s="10">
        <f t="shared" si="96"/>
        <v>6.4183825018365628E-2</v>
      </c>
      <c r="AI2468">
        <v>0.18969939999999999</v>
      </c>
      <c r="AJ2468">
        <f t="shared" si="95"/>
        <v>0.18969939999999999</v>
      </c>
      <c r="AO2468">
        <v>0.18969939999999999</v>
      </c>
      <c r="AR2468" s="8">
        <v>0</v>
      </c>
      <c r="AS2468">
        <v>0.26054100000000002</v>
      </c>
    </row>
    <row r="2469" spans="1:45" x14ac:dyDescent="0.25">
      <c r="A2469">
        <v>437</v>
      </c>
      <c r="B2469">
        <v>2001</v>
      </c>
      <c r="C2469" s="8">
        <v>0</v>
      </c>
      <c r="D2469">
        <v>0.13519510000000001</v>
      </c>
      <c r="E2469">
        <v>0.1921022</v>
      </c>
      <c r="F2469">
        <v>5.3583199999999997E-2</v>
      </c>
      <c r="G2469">
        <v>0.50703600000000004</v>
      </c>
      <c r="H2469">
        <v>1.0006569999999999</v>
      </c>
      <c r="Q2469" s="10">
        <f t="shared" si="96"/>
        <v>3.282243508289532E-2</v>
      </c>
      <c r="AI2469">
        <v>0.17616889999999999</v>
      </c>
      <c r="AJ2469">
        <f t="shared" si="95"/>
        <v>0.17616889999999999</v>
      </c>
      <c r="AO2469">
        <v>0.17616889999999999</v>
      </c>
      <c r="AR2469" s="8">
        <v>0</v>
      </c>
      <c r="AS2469">
        <v>0.1350384</v>
      </c>
    </row>
    <row r="2470" spans="1:45" x14ac:dyDescent="0.25">
      <c r="A2470">
        <v>437</v>
      </c>
      <c r="B2470">
        <v>2002</v>
      </c>
      <c r="C2470" s="8">
        <v>0</v>
      </c>
      <c r="D2470">
        <v>0.18969939999999999</v>
      </c>
      <c r="E2470">
        <v>0.22726270000000001</v>
      </c>
      <c r="F2470">
        <v>5.2744199999999998E-2</v>
      </c>
      <c r="G2470">
        <v>0.1614805</v>
      </c>
      <c r="H2470">
        <v>0.96261839999999999</v>
      </c>
      <c r="Q2470" s="10">
        <f t="shared" si="96"/>
        <v>5.3252155204534392E-2</v>
      </c>
      <c r="AI2470">
        <v>0.1797532</v>
      </c>
      <c r="AJ2470">
        <f t="shared" si="95"/>
        <v>0.1797532</v>
      </c>
      <c r="AO2470">
        <v>0.1797532</v>
      </c>
      <c r="AR2470" s="8">
        <v>0</v>
      </c>
      <c r="AS2470">
        <v>0.2191553</v>
      </c>
    </row>
    <row r="2471" spans="1:45" x14ac:dyDescent="0.25">
      <c r="A2471">
        <v>437</v>
      </c>
      <c r="B2471">
        <v>2003</v>
      </c>
      <c r="C2471" s="8">
        <v>0</v>
      </c>
      <c r="D2471">
        <v>0.17616889999999999</v>
      </c>
      <c r="E2471">
        <v>0.27060299999999998</v>
      </c>
      <c r="F2471">
        <v>6.3284400000000005E-2</v>
      </c>
      <c r="G2471">
        <v>0.46345059999999999</v>
      </c>
      <c r="H2471">
        <v>1.1696169999999999</v>
      </c>
      <c r="Q2471" s="10">
        <f t="shared" si="96"/>
        <v>3.2803472721227127E-2</v>
      </c>
      <c r="AI2471">
        <v>1.7175699999999999E-2</v>
      </c>
      <c r="AJ2471">
        <f t="shared" si="95"/>
        <v>1.7175699999999999E-2</v>
      </c>
      <c r="AO2471">
        <v>1.7175699999999999E-2</v>
      </c>
      <c r="AR2471" s="8">
        <v>0</v>
      </c>
      <c r="AS2471">
        <v>0.50703600000000004</v>
      </c>
    </row>
    <row r="2472" spans="1:45" x14ac:dyDescent="0.25">
      <c r="A2472">
        <v>437</v>
      </c>
      <c r="B2472">
        <v>2004</v>
      </c>
      <c r="C2472" s="8">
        <v>0</v>
      </c>
      <c r="D2472">
        <v>0.1797532</v>
      </c>
      <c r="E2472">
        <v>0.30370049999999998</v>
      </c>
      <c r="F2472">
        <v>6.12037E-2</v>
      </c>
      <c r="G2472">
        <v>0.89498900000000003</v>
      </c>
      <c r="H2472">
        <v>1.171133</v>
      </c>
      <c r="Q2472" s="10">
        <f t="shared" si="96"/>
        <v>1.6292552936330026E-2</v>
      </c>
      <c r="AI2472">
        <v>9.0985700000000003E-2</v>
      </c>
      <c r="AJ2472">
        <f t="shared" si="95"/>
        <v>9.0985700000000003E-2</v>
      </c>
      <c r="AO2472">
        <v>9.0985700000000003E-2</v>
      </c>
      <c r="AR2472" s="8">
        <v>0</v>
      </c>
      <c r="AS2472">
        <v>0.1614805</v>
      </c>
    </row>
    <row r="2473" spans="1:45" x14ac:dyDescent="0.25">
      <c r="A2473">
        <v>438</v>
      </c>
      <c r="B2473">
        <v>1997</v>
      </c>
      <c r="C2473" s="8">
        <v>0</v>
      </c>
      <c r="D2473">
        <v>1.7175699999999999E-2</v>
      </c>
      <c r="E2473">
        <v>3.01365E-2</v>
      </c>
      <c r="F2473">
        <v>5.92086E-2</v>
      </c>
      <c r="G2473">
        <v>3.334908</v>
      </c>
      <c r="H2473">
        <v>0.27819070000000001</v>
      </c>
      <c r="Q2473" s="10">
        <f t="shared" si="96"/>
        <v>2.7571126987886322E-4</v>
      </c>
      <c r="AI2473">
        <v>1.3526699999999999E-2</v>
      </c>
      <c r="AJ2473">
        <f t="shared" si="95"/>
        <v>1.3526699999999999E-2</v>
      </c>
      <c r="AO2473">
        <v>1.3526699999999999E-2</v>
      </c>
      <c r="AR2473" s="8">
        <v>0</v>
      </c>
      <c r="AS2473">
        <v>0.46345059999999999</v>
      </c>
    </row>
    <row r="2474" spans="1:45" x14ac:dyDescent="0.25">
      <c r="A2474">
        <v>438</v>
      </c>
      <c r="B2474">
        <v>1998</v>
      </c>
      <c r="C2474" s="8">
        <v>0</v>
      </c>
      <c r="D2474">
        <v>9.0985700000000003E-2</v>
      </c>
      <c r="E2474">
        <v>0.13702439999999999</v>
      </c>
      <c r="F2474">
        <v>6.9197700000000001E-2</v>
      </c>
      <c r="G2474">
        <v>4.509398</v>
      </c>
      <c r="H2474">
        <v>0.27067439999999998</v>
      </c>
      <c r="Q2474" s="10">
        <f t="shared" si="96"/>
        <v>3.4416732850362877E-5</v>
      </c>
      <c r="AI2474">
        <v>0.1489038</v>
      </c>
      <c r="AJ2474">
        <f t="shared" si="95"/>
        <v>0.1489038</v>
      </c>
      <c r="AO2474">
        <v>0.1489038</v>
      </c>
      <c r="AR2474" s="8">
        <v>0</v>
      </c>
      <c r="AS2474">
        <v>0.89498900000000003</v>
      </c>
    </row>
    <row r="2475" spans="1:45" x14ac:dyDescent="0.25">
      <c r="A2475">
        <v>438</v>
      </c>
      <c r="B2475">
        <v>1999</v>
      </c>
      <c r="C2475" s="8">
        <v>0</v>
      </c>
      <c r="D2475">
        <v>1.3526699999999999E-2</v>
      </c>
      <c r="E2475">
        <v>4.4601200000000001E-2</v>
      </c>
      <c r="F2475">
        <v>4.7596800000000002E-2</v>
      </c>
      <c r="G2475">
        <v>1.976831</v>
      </c>
      <c r="H2475">
        <v>0.15922539999999999</v>
      </c>
      <c r="Q2475" s="10">
        <f t="shared" si="96"/>
        <v>2.3876792985550745E-3</v>
      </c>
      <c r="AI2475">
        <v>-8.2908499999999996E-2</v>
      </c>
      <c r="AJ2475">
        <f t="shared" si="95"/>
        <v>-8.2908499999999996E-2</v>
      </c>
      <c r="AO2475">
        <v>-8.2908499999999996E-2</v>
      </c>
      <c r="AR2475" s="8">
        <v>0</v>
      </c>
      <c r="AS2475">
        <v>3.334908</v>
      </c>
    </row>
    <row r="2476" spans="1:45" x14ac:dyDescent="0.25">
      <c r="A2476">
        <v>438</v>
      </c>
      <c r="B2476">
        <v>2000</v>
      </c>
      <c r="C2476" s="8">
        <v>0</v>
      </c>
      <c r="D2476">
        <v>0.1489038</v>
      </c>
      <c r="E2476">
        <v>0.1311232</v>
      </c>
      <c r="F2476">
        <v>7.9457799999999995E-2</v>
      </c>
      <c r="G2476">
        <v>3.8469609999999999</v>
      </c>
      <c r="H2476">
        <v>0.22877210000000001</v>
      </c>
      <c r="Q2476" s="10">
        <f t="shared" si="96"/>
        <v>9.1714807312655769E-5</v>
      </c>
      <c r="AI2476">
        <v>4.48017E-2</v>
      </c>
      <c r="AJ2476">
        <f t="shared" si="95"/>
        <v>4.48017E-2</v>
      </c>
      <c r="AO2476">
        <v>4.48017E-2</v>
      </c>
      <c r="AR2476" s="8">
        <v>0</v>
      </c>
      <c r="AS2476">
        <v>4.509398</v>
      </c>
    </row>
    <row r="2477" spans="1:45" x14ac:dyDescent="0.25">
      <c r="A2477">
        <v>438</v>
      </c>
      <c r="B2477">
        <v>2001</v>
      </c>
      <c r="C2477" s="8">
        <v>0</v>
      </c>
      <c r="D2477">
        <v>-8.2908499999999996E-2</v>
      </c>
      <c r="E2477">
        <v>9.5057100000000005E-2</v>
      </c>
      <c r="F2477">
        <v>5.5205900000000002E-2</v>
      </c>
      <c r="G2477">
        <v>2.7818710000000002</v>
      </c>
      <c r="H2477">
        <v>0.1672544</v>
      </c>
      <c r="Q2477" s="10">
        <f t="shared" si="96"/>
        <v>5.5991475274501455E-4</v>
      </c>
      <c r="AI2477">
        <v>8.1034800000000004E-2</v>
      </c>
      <c r="AJ2477">
        <f t="shared" si="95"/>
        <v>8.1034800000000004E-2</v>
      </c>
      <c r="AO2477">
        <v>8.1034800000000004E-2</v>
      </c>
      <c r="AR2477" s="8">
        <v>0</v>
      </c>
      <c r="AS2477">
        <v>1.976831</v>
      </c>
    </row>
    <row r="2478" spans="1:45" x14ac:dyDescent="0.25">
      <c r="A2478">
        <v>438</v>
      </c>
      <c r="B2478">
        <v>2002</v>
      </c>
      <c r="C2478" s="8">
        <v>0</v>
      </c>
      <c r="D2478">
        <v>4.48017E-2</v>
      </c>
      <c r="E2478">
        <v>0.14654020000000001</v>
      </c>
      <c r="F2478">
        <v>5.8567800000000003E-2</v>
      </c>
      <c r="G2478">
        <v>1.475007</v>
      </c>
      <c r="H2478">
        <v>0.19274649999999999</v>
      </c>
      <c r="Q2478" s="10">
        <f t="shared" si="96"/>
        <v>4.3311387722204447E-3</v>
      </c>
      <c r="AI2478">
        <v>0.2035643</v>
      </c>
      <c r="AJ2478">
        <f t="shared" si="95"/>
        <v>0.2035643</v>
      </c>
      <c r="AO2478">
        <v>0.2035643</v>
      </c>
      <c r="AR2478" s="8">
        <v>0</v>
      </c>
      <c r="AS2478">
        <v>3.8469609999999999</v>
      </c>
    </row>
    <row r="2479" spans="1:45" x14ac:dyDescent="0.25">
      <c r="A2479">
        <v>438</v>
      </c>
      <c r="B2479">
        <v>2003</v>
      </c>
      <c r="C2479" s="8">
        <v>0</v>
      </c>
      <c r="D2479">
        <v>8.1034800000000004E-2</v>
      </c>
      <c r="E2479">
        <v>0.13428319999999999</v>
      </c>
      <c r="F2479">
        <v>3.62945E-2</v>
      </c>
      <c r="G2479">
        <v>1.61009</v>
      </c>
      <c r="H2479">
        <v>0.1681841</v>
      </c>
      <c r="Q2479" s="10">
        <f t="shared" si="96"/>
        <v>4.2479093370601214E-3</v>
      </c>
      <c r="AI2479">
        <v>0.29255569999999997</v>
      </c>
      <c r="AJ2479">
        <f t="shared" si="95"/>
        <v>0.29255569999999997</v>
      </c>
      <c r="AO2479">
        <v>0.29255569999999997</v>
      </c>
      <c r="AR2479" s="8">
        <v>0</v>
      </c>
      <c r="AS2479">
        <v>2.7818710000000002</v>
      </c>
    </row>
    <row r="2480" spans="1:45" x14ac:dyDescent="0.25">
      <c r="A2480">
        <v>439</v>
      </c>
      <c r="B2480">
        <v>1995</v>
      </c>
      <c r="C2480" s="8">
        <v>0</v>
      </c>
      <c r="D2480">
        <v>0.2035643</v>
      </c>
      <c r="E2480">
        <v>-0.73698680000000005</v>
      </c>
      <c r="F2480">
        <v>4.2724900000000003E-2</v>
      </c>
      <c r="G2480">
        <v>1.670291</v>
      </c>
      <c r="H2480">
        <v>0.39922259999999998</v>
      </c>
      <c r="Q2480" s="10">
        <f t="shared" si="96"/>
        <v>1.5617152440289208E-2</v>
      </c>
      <c r="AI2480">
        <v>-7.0245600000000005E-2</v>
      </c>
      <c r="AJ2480">
        <f t="shared" si="95"/>
        <v>-7.0245600000000005E-2</v>
      </c>
      <c r="AO2480">
        <v>-7.0245600000000005E-2</v>
      </c>
      <c r="AR2480" s="8">
        <v>0</v>
      </c>
      <c r="AS2480">
        <v>1.475007</v>
      </c>
    </row>
    <row r="2481" spans="1:45" x14ac:dyDescent="0.25">
      <c r="A2481">
        <v>439</v>
      </c>
      <c r="B2481">
        <v>1996</v>
      </c>
      <c r="C2481" s="8">
        <v>0</v>
      </c>
      <c r="D2481">
        <v>0.29255569999999997</v>
      </c>
      <c r="E2481">
        <v>-0.50111870000000003</v>
      </c>
      <c r="F2481">
        <v>8.2877999999999993E-2</v>
      </c>
      <c r="G2481">
        <v>2.9141319999999999</v>
      </c>
      <c r="H2481">
        <v>0.40388869999999999</v>
      </c>
      <c r="Q2481" s="10">
        <f t="shared" si="96"/>
        <v>1.1692792098946514E-3</v>
      </c>
      <c r="AI2481">
        <v>-3.6564899999999997E-2</v>
      </c>
      <c r="AJ2481">
        <f t="shared" si="95"/>
        <v>-3.6564899999999997E-2</v>
      </c>
      <c r="AO2481">
        <v>-3.6564899999999997E-2</v>
      </c>
      <c r="AR2481" s="8">
        <v>0</v>
      </c>
      <c r="AS2481">
        <v>1.61009</v>
      </c>
    </row>
    <row r="2482" spans="1:45" x14ac:dyDescent="0.25">
      <c r="A2482">
        <v>440</v>
      </c>
      <c r="B2482">
        <v>1995</v>
      </c>
      <c r="C2482" s="8">
        <v>0</v>
      </c>
      <c r="D2482">
        <v>-7.0245600000000005E-2</v>
      </c>
      <c r="E2482">
        <v>0.22732540000000001</v>
      </c>
      <c r="F2482">
        <v>1.7645500000000001E-2</v>
      </c>
      <c r="G2482">
        <v>0.89087490000000003</v>
      </c>
      <c r="H2482">
        <v>0.10643370000000001</v>
      </c>
      <c r="Q2482" s="10">
        <f t="shared" si="96"/>
        <v>1.2152386335283389E-2</v>
      </c>
      <c r="AI2482">
        <v>-6.2907199999999996E-2</v>
      </c>
      <c r="AJ2482">
        <f t="shared" si="95"/>
        <v>-6.2907199999999996E-2</v>
      </c>
      <c r="AO2482">
        <v>-6.2907199999999996E-2</v>
      </c>
      <c r="AR2482" s="8">
        <v>0</v>
      </c>
      <c r="AS2482">
        <v>1.670291</v>
      </c>
    </row>
    <row r="2483" spans="1:45" x14ac:dyDescent="0.25">
      <c r="A2483">
        <v>440</v>
      </c>
      <c r="B2483">
        <v>1996</v>
      </c>
      <c r="C2483" s="8">
        <v>0</v>
      </c>
      <c r="D2483">
        <v>-3.6564899999999997E-2</v>
      </c>
      <c r="E2483">
        <v>0.23653920000000001</v>
      </c>
      <c r="F2483">
        <v>4.4510800000000003E-2</v>
      </c>
      <c r="G2483">
        <v>1.1084240000000001</v>
      </c>
      <c r="H2483">
        <v>0.1000108</v>
      </c>
      <c r="Q2483" s="10">
        <f t="shared" si="96"/>
        <v>6.9433359164374616E-3</v>
      </c>
      <c r="AI2483">
        <v>-0.1460388</v>
      </c>
      <c r="AJ2483">
        <f t="shared" si="95"/>
        <v>-0.113345184</v>
      </c>
      <c r="AO2483">
        <v>-0.113345184</v>
      </c>
      <c r="AR2483" s="8">
        <v>0</v>
      </c>
      <c r="AS2483">
        <v>2.9141319999999999</v>
      </c>
    </row>
    <row r="2484" spans="1:45" x14ac:dyDescent="0.25">
      <c r="A2484">
        <v>440</v>
      </c>
      <c r="B2484">
        <v>1997</v>
      </c>
      <c r="C2484" s="8">
        <v>0</v>
      </c>
      <c r="D2484">
        <v>-6.2907199999999996E-2</v>
      </c>
      <c r="E2484">
        <v>0.2432619</v>
      </c>
      <c r="F2484">
        <v>4.4996099999999997E-2</v>
      </c>
      <c r="G2484">
        <v>1.262124</v>
      </c>
      <c r="H2484">
        <v>0.1029219</v>
      </c>
      <c r="Q2484" s="10">
        <f t="shared" si="96"/>
        <v>5.321259804929911E-3</v>
      </c>
      <c r="AI2484">
        <v>-0.1093939</v>
      </c>
      <c r="AJ2484">
        <f t="shared" si="95"/>
        <v>-0.1093939</v>
      </c>
      <c r="AO2484">
        <v>-0.1093939</v>
      </c>
      <c r="AR2484" s="8">
        <v>0</v>
      </c>
      <c r="AS2484">
        <v>0.89087490000000003</v>
      </c>
    </row>
    <row r="2485" spans="1:45" x14ac:dyDescent="0.25">
      <c r="A2485">
        <v>440</v>
      </c>
      <c r="B2485">
        <v>1998</v>
      </c>
      <c r="C2485" s="8">
        <v>0</v>
      </c>
      <c r="D2485">
        <v>-0.1460388</v>
      </c>
      <c r="E2485">
        <v>0.18441260000000001</v>
      </c>
      <c r="F2485">
        <v>2.59887E-2</v>
      </c>
      <c r="G2485">
        <v>1.0521240000000001</v>
      </c>
      <c r="H2485">
        <v>9.1901499999999997E-2</v>
      </c>
      <c r="Q2485" s="10">
        <f t="shared" si="96"/>
        <v>9.0157611906846787E-3</v>
      </c>
      <c r="AI2485">
        <v>-0.11787019999999999</v>
      </c>
      <c r="AJ2485">
        <f t="shared" si="95"/>
        <v>-0.113345184</v>
      </c>
      <c r="AO2485">
        <v>-0.113345184</v>
      </c>
      <c r="AR2485" s="8">
        <v>0</v>
      </c>
      <c r="AS2485">
        <v>1.1084240000000001</v>
      </c>
    </row>
    <row r="2486" spans="1:45" x14ac:dyDescent="0.25">
      <c r="A2486">
        <v>440</v>
      </c>
      <c r="B2486">
        <v>1999</v>
      </c>
      <c r="C2486" s="8">
        <v>0</v>
      </c>
      <c r="D2486">
        <v>-0.1093939</v>
      </c>
      <c r="E2486">
        <v>0.18125430000000001</v>
      </c>
      <c r="F2486">
        <v>4.6288599999999999E-2</v>
      </c>
      <c r="G2486">
        <v>0.99535830000000003</v>
      </c>
      <c r="H2486">
        <v>9.4625200000000007E-2</v>
      </c>
      <c r="Q2486" s="10">
        <f t="shared" si="96"/>
        <v>8.5759772880956223E-3</v>
      </c>
      <c r="AI2486">
        <v>-0.1302693</v>
      </c>
      <c r="AJ2486">
        <f t="shared" si="95"/>
        <v>-0.113345184</v>
      </c>
      <c r="AO2486">
        <v>-0.113345184</v>
      </c>
      <c r="AR2486" s="8">
        <v>0</v>
      </c>
      <c r="AS2486">
        <v>1.262124</v>
      </c>
    </row>
    <row r="2487" spans="1:45" x14ac:dyDescent="0.25">
      <c r="A2487">
        <v>440</v>
      </c>
      <c r="B2487">
        <v>2000</v>
      </c>
      <c r="C2487" s="8">
        <v>0</v>
      </c>
      <c r="D2487">
        <v>-0.11787019999999999</v>
      </c>
      <c r="E2487">
        <v>0.17369789999999999</v>
      </c>
      <c r="F2487">
        <v>3.4512500000000002E-2</v>
      </c>
      <c r="G2487">
        <v>1.0044470000000001</v>
      </c>
      <c r="H2487">
        <v>0.1034689</v>
      </c>
      <c r="Q2487" s="10">
        <f t="shared" si="96"/>
        <v>9.400866512324314E-3</v>
      </c>
      <c r="AI2487">
        <v>-9.8034200000000002E-2</v>
      </c>
      <c r="AJ2487">
        <f t="shared" si="95"/>
        <v>-9.8034200000000002E-2</v>
      </c>
      <c r="AO2487">
        <v>-9.8034200000000002E-2</v>
      </c>
      <c r="AR2487" s="8">
        <v>0</v>
      </c>
      <c r="AS2487">
        <v>1.0521240000000001</v>
      </c>
    </row>
    <row r="2488" spans="1:45" x14ac:dyDescent="0.25">
      <c r="A2488">
        <v>440</v>
      </c>
      <c r="B2488">
        <v>2001</v>
      </c>
      <c r="C2488" s="8">
        <v>0</v>
      </c>
      <c r="D2488">
        <v>-0.1302693</v>
      </c>
      <c r="E2488">
        <v>0.1559555</v>
      </c>
      <c r="F2488">
        <v>-6.3645000000000004E-3</v>
      </c>
      <c r="G2488">
        <v>0.79855220000000005</v>
      </c>
      <c r="H2488">
        <v>0.1073711</v>
      </c>
      <c r="Q2488" s="10">
        <f t="shared" si="96"/>
        <v>1.8354782572339166E-2</v>
      </c>
      <c r="AI2488">
        <v>-6.7945000000000002E-3</v>
      </c>
      <c r="AJ2488">
        <f t="shared" si="95"/>
        <v>-6.7945000000000002E-3</v>
      </c>
      <c r="AO2488">
        <v>-6.7945000000000002E-3</v>
      </c>
      <c r="AR2488" s="8">
        <v>0</v>
      </c>
      <c r="AS2488">
        <v>0.99535830000000003</v>
      </c>
    </row>
    <row r="2489" spans="1:45" x14ac:dyDescent="0.25">
      <c r="A2489">
        <v>440</v>
      </c>
      <c r="B2489">
        <v>2002</v>
      </c>
      <c r="C2489" s="8">
        <v>0</v>
      </c>
      <c r="D2489">
        <v>-9.8034200000000002E-2</v>
      </c>
      <c r="E2489">
        <v>0.1591535</v>
      </c>
      <c r="F2489">
        <v>3.92097E-2</v>
      </c>
      <c r="G2489">
        <v>0.70708329999999997</v>
      </c>
      <c r="H2489">
        <v>0.1090097</v>
      </c>
      <c r="Q2489" s="10">
        <f t="shared" si="96"/>
        <v>1.4943793159619335E-2</v>
      </c>
      <c r="AI2489">
        <v>-2.0249999999999999E-4</v>
      </c>
      <c r="AJ2489">
        <f t="shared" si="95"/>
        <v>-2.0249999999999999E-4</v>
      </c>
      <c r="AO2489">
        <v>-2.0249999999999999E-4</v>
      </c>
      <c r="AR2489" s="8">
        <v>0</v>
      </c>
      <c r="AS2489">
        <v>1.0044470000000001</v>
      </c>
    </row>
    <row r="2490" spans="1:45" x14ac:dyDescent="0.25">
      <c r="A2490">
        <v>440</v>
      </c>
      <c r="B2490">
        <v>2003</v>
      </c>
      <c r="C2490" s="8">
        <v>0</v>
      </c>
      <c r="D2490">
        <v>-6.7945000000000002E-3</v>
      </c>
      <c r="E2490">
        <v>0.17633080000000001</v>
      </c>
      <c r="F2490">
        <v>2.66185E-2</v>
      </c>
      <c r="G2490">
        <v>0.75211479999999997</v>
      </c>
      <c r="H2490">
        <v>0.101439</v>
      </c>
      <c r="Q2490" s="10">
        <f t="shared" si="96"/>
        <v>1.5499822331149387E-2</v>
      </c>
      <c r="AI2490">
        <v>6.6785899999999995E-2</v>
      </c>
      <c r="AJ2490">
        <f t="shared" si="95"/>
        <v>6.6785899999999995E-2</v>
      </c>
      <c r="AO2490">
        <v>6.6785899999999995E-2</v>
      </c>
      <c r="AR2490" s="8">
        <v>0</v>
      </c>
      <c r="AS2490">
        <v>0.79855220000000005</v>
      </c>
    </row>
    <row r="2491" spans="1:45" x14ac:dyDescent="0.25">
      <c r="A2491">
        <v>440</v>
      </c>
      <c r="B2491">
        <v>2004</v>
      </c>
      <c r="C2491" s="8">
        <v>0</v>
      </c>
      <c r="D2491">
        <v>-2.0249999999999999E-4</v>
      </c>
      <c r="E2491">
        <v>0.20327339999999999</v>
      </c>
      <c r="F2491">
        <v>3.4744799999999999E-2</v>
      </c>
      <c r="G2491">
        <v>0.97212589999999999</v>
      </c>
      <c r="H2491">
        <v>0.1086661</v>
      </c>
      <c r="Q2491" s="10">
        <f t="shared" si="96"/>
        <v>9.9628300387962446E-3</v>
      </c>
      <c r="AI2491">
        <v>7.2496900000000003E-2</v>
      </c>
      <c r="AJ2491">
        <f t="shared" si="95"/>
        <v>7.2496900000000003E-2</v>
      </c>
      <c r="AO2491">
        <v>7.2496900000000003E-2</v>
      </c>
      <c r="AR2491" s="8">
        <v>0</v>
      </c>
      <c r="AS2491">
        <v>0.70708329999999997</v>
      </c>
    </row>
    <row r="2492" spans="1:45" x14ac:dyDescent="0.25">
      <c r="A2492">
        <v>441</v>
      </c>
      <c r="B2492">
        <v>1995</v>
      </c>
      <c r="C2492" s="8">
        <v>0</v>
      </c>
      <c r="D2492">
        <v>6.6785899999999995E-2</v>
      </c>
      <c r="E2492">
        <v>0.1661376</v>
      </c>
      <c r="F2492">
        <v>7.5450000000000003E-2</v>
      </c>
      <c r="G2492">
        <v>0.84355239999999998</v>
      </c>
      <c r="H2492">
        <v>0.28357209999999999</v>
      </c>
      <c r="Q2492" s="10">
        <f t="shared" si="96"/>
        <v>1.0671582811084632E-2</v>
      </c>
      <c r="AI2492">
        <v>0.1326658</v>
      </c>
      <c r="AJ2492">
        <f t="shared" si="95"/>
        <v>0.1326658</v>
      </c>
      <c r="AO2492">
        <v>0.1326658</v>
      </c>
      <c r="AR2492" s="8">
        <v>0</v>
      </c>
      <c r="AS2492">
        <v>0.75211479999999997</v>
      </c>
    </row>
    <row r="2493" spans="1:45" x14ac:dyDescent="0.25">
      <c r="A2493">
        <v>441</v>
      </c>
      <c r="B2493">
        <v>1996</v>
      </c>
      <c r="C2493" s="8">
        <v>0</v>
      </c>
      <c r="D2493">
        <v>7.2496900000000003E-2</v>
      </c>
      <c r="E2493">
        <v>0.11611340000000001</v>
      </c>
      <c r="F2493">
        <v>6.5792100000000006E-2</v>
      </c>
      <c r="G2493">
        <v>1.014022</v>
      </c>
      <c r="H2493">
        <v>0.22246099999999999</v>
      </c>
      <c r="Q2493" s="10">
        <f t="shared" si="96"/>
        <v>9.1336325525997221E-3</v>
      </c>
      <c r="AI2493">
        <v>0.1680546</v>
      </c>
      <c r="AJ2493">
        <f t="shared" si="95"/>
        <v>0.1680546</v>
      </c>
      <c r="AO2493">
        <v>0.1680546</v>
      </c>
      <c r="AR2493" s="8">
        <v>0</v>
      </c>
      <c r="AS2493">
        <v>0.97212589999999999</v>
      </c>
    </row>
    <row r="2494" spans="1:45" x14ac:dyDescent="0.25">
      <c r="A2494">
        <v>441</v>
      </c>
      <c r="B2494">
        <v>1997</v>
      </c>
      <c r="C2494" s="8">
        <v>0</v>
      </c>
      <c r="D2494">
        <v>0.1326658</v>
      </c>
      <c r="E2494">
        <v>0.11796189999999999</v>
      </c>
      <c r="F2494">
        <v>5.8742099999999998E-2</v>
      </c>
      <c r="G2494">
        <v>1.199973</v>
      </c>
      <c r="H2494">
        <v>0.23503969999999999</v>
      </c>
      <c r="Q2494" s="10">
        <f t="shared" si="96"/>
        <v>7.4171757626122683E-3</v>
      </c>
      <c r="AI2494">
        <v>0.16046199999999999</v>
      </c>
      <c r="AJ2494">
        <f t="shared" si="95"/>
        <v>0.16046199999999999</v>
      </c>
      <c r="AO2494">
        <v>0.16046199999999999</v>
      </c>
      <c r="AR2494" s="8">
        <v>0</v>
      </c>
      <c r="AS2494">
        <v>0.84355239999999998</v>
      </c>
    </row>
    <row r="2495" spans="1:45" x14ac:dyDescent="0.25">
      <c r="A2495">
        <v>441</v>
      </c>
      <c r="B2495">
        <v>1998</v>
      </c>
      <c r="C2495" s="8">
        <v>0</v>
      </c>
      <c r="D2495">
        <v>0.1680546</v>
      </c>
      <c r="E2495">
        <v>0.1211015</v>
      </c>
      <c r="F2495">
        <v>4.8938799999999998E-2</v>
      </c>
      <c r="G2495">
        <v>0.78870059999999997</v>
      </c>
      <c r="H2495">
        <v>0.24653939999999999</v>
      </c>
      <c r="Q2495" s="10">
        <f t="shared" si="96"/>
        <v>1.5589166051750369E-2</v>
      </c>
      <c r="AI2495">
        <v>0.1232731</v>
      </c>
      <c r="AJ2495">
        <f t="shared" si="95"/>
        <v>0.1232731</v>
      </c>
      <c r="AO2495">
        <v>0.1232731</v>
      </c>
      <c r="AR2495" s="8">
        <v>0</v>
      </c>
      <c r="AS2495">
        <v>1.014022</v>
      </c>
    </row>
    <row r="2496" spans="1:45" x14ac:dyDescent="0.25">
      <c r="A2496">
        <v>441</v>
      </c>
      <c r="B2496">
        <v>1999</v>
      </c>
      <c r="C2496" s="8">
        <v>0</v>
      </c>
      <c r="D2496">
        <v>0.16046199999999999</v>
      </c>
      <c r="E2496">
        <v>0.1614806</v>
      </c>
      <c r="F2496">
        <v>5.7603099999999997E-2</v>
      </c>
      <c r="G2496">
        <v>0.91488769999999997</v>
      </c>
      <c r="H2496">
        <v>0.25237860000000001</v>
      </c>
      <c r="Q2496" s="10">
        <f t="shared" si="96"/>
        <v>1.1271926171556578E-2</v>
      </c>
      <c r="AI2496">
        <v>7.9629099999999994E-2</v>
      </c>
      <c r="AJ2496">
        <f t="shared" si="95"/>
        <v>7.9629099999999994E-2</v>
      </c>
      <c r="AO2496">
        <v>7.9629099999999994E-2</v>
      </c>
      <c r="AR2496" s="8">
        <v>0</v>
      </c>
      <c r="AS2496">
        <v>1.199973</v>
      </c>
    </row>
    <row r="2497" spans="1:45" x14ac:dyDescent="0.25">
      <c r="A2497">
        <v>441</v>
      </c>
      <c r="B2497">
        <v>2000</v>
      </c>
      <c r="C2497" s="8">
        <v>0</v>
      </c>
      <c r="D2497">
        <v>0.1232731</v>
      </c>
      <c r="E2497">
        <v>0.19565080000000001</v>
      </c>
      <c r="F2497">
        <v>6.7057500000000006E-2</v>
      </c>
      <c r="G2497">
        <v>1.892401</v>
      </c>
      <c r="H2497">
        <v>0.27501959999999998</v>
      </c>
      <c r="Q2497" s="10">
        <f t="shared" si="96"/>
        <v>2.110844919210856E-3</v>
      </c>
      <c r="AI2497">
        <v>0.17477999999999999</v>
      </c>
      <c r="AJ2497">
        <f t="shared" si="95"/>
        <v>0.17477999999999999</v>
      </c>
      <c r="AO2497">
        <v>0.17477999999999999</v>
      </c>
      <c r="AR2497" s="8">
        <v>0</v>
      </c>
      <c r="AS2497">
        <v>0.78870059999999997</v>
      </c>
    </row>
    <row r="2498" spans="1:45" x14ac:dyDescent="0.25">
      <c r="A2498">
        <v>441</v>
      </c>
      <c r="B2498">
        <v>2001</v>
      </c>
      <c r="C2498" s="8">
        <v>0</v>
      </c>
      <c r="D2498">
        <v>7.9629099999999994E-2</v>
      </c>
      <c r="E2498">
        <v>0.25395459999999997</v>
      </c>
      <c r="F2498">
        <v>6.8719199999999994E-2</v>
      </c>
      <c r="G2498">
        <v>2.9880260000000001</v>
      </c>
      <c r="H2498">
        <v>0.29996349999999999</v>
      </c>
      <c r="Q2498" s="10">
        <f t="shared" si="96"/>
        <v>3.3360138279743459E-4</v>
      </c>
      <c r="AI2498">
        <v>0.20884030000000001</v>
      </c>
      <c r="AJ2498">
        <f t="shared" si="95"/>
        <v>0.20884030000000001</v>
      </c>
      <c r="AO2498">
        <v>0.20884030000000001</v>
      </c>
      <c r="AR2498" s="8">
        <v>0</v>
      </c>
      <c r="AS2498">
        <v>0.91488769999999997</v>
      </c>
    </row>
    <row r="2499" spans="1:45" x14ac:dyDescent="0.25">
      <c r="A2499">
        <v>441</v>
      </c>
      <c r="B2499">
        <v>2003</v>
      </c>
      <c r="C2499" s="8">
        <v>0</v>
      </c>
      <c r="D2499">
        <v>0.17477999999999999</v>
      </c>
      <c r="E2499">
        <v>0.16040370000000001</v>
      </c>
      <c r="F2499">
        <v>3.7668199999999999E-2</v>
      </c>
      <c r="G2499">
        <v>0.97039220000000004</v>
      </c>
      <c r="H2499">
        <v>0.2317196</v>
      </c>
      <c r="Q2499" s="10">
        <f t="shared" si="96"/>
        <v>1.2028215011119716E-2</v>
      </c>
      <c r="AI2499">
        <v>0.24896450000000001</v>
      </c>
      <c r="AJ2499">
        <f t="shared" si="95"/>
        <v>0.24896450000000001</v>
      </c>
      <c r="AO2499">
        <v>0.24896450000000001</v>
      </c>
      <c r="AR2499" s="8">
        <v>0</v>
      </c>
      <c r="AS2499">
        <v>1.892401</v>
      </c>
    </row>
    <row r="2500" spans="1:45" x14ac:dyDescent="0.25">
      <c r="A2500">
        <v>441</v>
      </c>
      <c r="B2500">
        <v>2004</v>
      </c>
      <c r="C2500" s="8">
        <v>0</v>
      </c>
      <c r="D2500">
        <v>0.20884030000000001</v>
      </c>
      <c r="E2500">
        <v>-6.2304400000000003E-2</v>
      </c>
      <c r="F2500">
        <v>2.3867099999999999E-2</v>
      </c>
      <c r="G2500">
        <v>0.64584339999999996</v>
      </c>
      <c r="H2500">
        <v>0.26892179999999999</v>
      </c>
      <c r="Q2500" s="10">
        <f t="shared" si="96"/>
        <v>3.1681978473884195E-2</v>
      </c>
      <c r="AI2500">
        <v>0.29520730000000001</v>
      </c>
      <c r="AJ2500">
        <f t="shared" si="95"/>
        <v>0.29520730000000001</v>
      </c>
      <c r="AO2500">
        <v>0.29520730000000001</v>
      </c>
      <c r="AR2500" s="8">
        <v>0</v>
      </c>
      <c r="AS2500">
        <v>2.9880260000000001</v>
      </c>
    </row>
    <row r="2501" spans="1:45" x14ac:dyDescent="0.25">
      <c r="A2501">
        <v>442</v>
      </c>
      <c r="B2501">
        <v>1995</v>
      </c>
      <c r="C2501" s="8">
        <v>0</v>
      </c>
      <c r="D2501">
        <v>0.24896450000000001</v>
      </c>
      <c r="E2501">
        <v>0.24731020000000001</v>
      </c>
      <c r="F2501">
        <v>3.6323800000000003E-2</v>
      </c>
      <c r="G2501">
        <v>2.085636</v>
      </c>
      <c r="H2501">
        <v>0.25765919999999998</v>
      </c>
      <c r="Q2501" s="10">
        <f t="shared" si="96"/>
        <v>1.9182190458267433E-3</v>
      </c>
      <c r="AI2501">
        <v>0.205345</v>
      </c>
      <c r="AJ2501">
        <f t="shared" ref="AJ2501:AJ2564" si="97">MAX(MIN(AI2501,AM$5),AM$4)</f>
        <v>0.205345</v>
      </c>
      <c r="AO2501">
        <v>0.205345</v>
      </c>
      <c r="AR2501" s="8">
        <v>0</v>
      </c>
      <c r="AS2501">
        <v>0.97039220000000004</v>
      </c>
    </row>
    <row r="2502" spans="1:45" x14ac:dyDescent="0.25">
      <c r="A2502">
        <v>442</v>
      </c>
      <c r="B2502">
        <v>1996</v>
      </c>
      <c r="C2502" s="8">
        <v>0</v>
      </c>
      <c r="D2502">
        <v>0.29520730000000001</v>
      </c>
      <c r="E2502">
        <v>0.25668410000000003</v>
      </c>
      <c r="F2502">
        <v>4.8525600000000002E-2</v>
      </c>
      <c r="G2502">
        <v>3.5317949999999998</v>
      </c>
      <c r="H2502">
        <v>0.26482159999999999</v>
      </c>
      <c r="Q2502" s="10">
        <f t="shared" si="96"/>
        <v>1.7568188244121278E-4</v>
      </c>
      <c r="AI2502">
        <v>0.194382</v>
      </c>
      <c r="AJ2502">
        <f t="shared" si="97"/>
        <v>0.194382</v>
      </c>
      <c r="AO2502">
        <v>0.194382</v>
      </c>
      <c r="AR2502" s="8">
        <v>0</v>
      </c>
      <c r="AS2502">
        <v>0.64584339999999996</v>
      </c>
    </row>
    <row r="2503" spans="1:45" x14ac:dyDescent="0.25">
      <c r="A2503">
        <v>442</v>
      </c>
      <c r="B2503">
        <v>1997</v>
      </c>
      <c r="C2503" s="8">
        <v>0</v>
      </c>
      <c r="D2503">
        <v>0.205345</v>
      </c>
      <c r="E2503">
        <v>0.2179989</v>
      </c>
      <c r="F2503">
        <v>5.2024999999999997E-3</v>
      </c>
      <c r="G2503">
        <v>2.1828630000000002</v>
      </c>
      <c r="H2503">
        <v>0.20223099999999999</v>
      </c>
      <c r="Q2503" s="10">
        <f t="shared" ref="Q2503:Q2566" si="98">1/(1+EXP(-(J$6+SUMPRODUCT(K$6:O$6,D2503:H2503))))</f>
        <v>2.0863643465930041E-3</v>
      </c>
      <c r="AI2503">
        <v>0.1562017</v>
      </c>
      <c r="AJ2503">
        <f t="shared" si="97"/>
        <v>0.1562017</v>
      </c>
      <c r="AO2503">
        <v>0.1562017</v>
      </c>
      <c r="AR2503" s="8">
        <v>0</v>
      </c>
      <c r="AS2503">
        <v>2.085636</v>
      </c>
    </row>
    <row r="2504" spans="1:45" x14ac:dyDescent="0.25">
      <c r="A2504">
        <v>442</v>
      </c>
      <c r="B2504">
        <v>1998</v>
      </c>
      <c r="C2504" s="8">
        <v>0</v>
      </c>
      <c r="D2504">
        <v>0.194382</v>
      </c>
      <c r="E2504">
        <v>-0.17734549999999999</v>
      </c>
      <c r="F2504">
        <v>-1.27619E-2</v>
      </c>
      <c r="G2504">
        <v>2.8819910000000002</v>
      </c>
      <c r="H2504">
        <v>0.25753589999999998</v>
      </c>
      <c r="Q2504" s="10">
        <f t="shared" si="98"/>
        <v>1.4480299165224239E-3</v>
      </c>
      <c r="AI2504">
        <v>0.20804139999999999</v>
      </c>
      <c r="AJ2504">
        <f t="shared" si="97"/>
        <v>0.20804139999999999</v>
      </c>
      <c r="AO2504">
        <v>0.20804139999999999</v>
      </c>
      <c r="AR2504" s="8">
        <v>0</v>
      </c>
      <c r="AS2504">
        <v>3.5317949999999998</v>
      </c>
    </row>
    <row r="2505" spans="1:45" x14ac:dyDescent="0.25">
      <c r="A2505">
        <v>443</v>
      </c>
      <c r="B2505">
        <v>1997</v>
      </c>
      <c r="C2505" s="8">
        <v>0</v>
      </c>
      <c r="D2505">
        <v>0.1562017</v>
      </c>
      <c r="E2505">
        <v>0.15506320000000001</v>
      </c>
      <c r="F2505">
        <v>7.3236200000000001E-2</v>
      </c>
      <c r="G2505">
        <v>0.95646390000000003</v>
      </c>
      <c r="H2505">
        <v>0.2373239</v>
      </c>
      <c r="Q2505" s="10">
        <f t="shared" si="98"/>
        <v>9.3112789082309046E-3</v>
      </c>
      <c r="AI2505">
        <v>0.2440447</v>
      </c>
      <c r="AJ2505">
        <f t="shared" si="97"/>
        <v>0.2440447</v>
      </c>
      <c r="AO2505">
        <v>0.2440447</v>
      </c>
      <c r="AR2505" s="8">
        <v>0</v>
      </c>
      <c r="AS2505">
        <v>2.1828630000000002</v>
      </c>
    </row>
    <row r="2506" spans="1:45" x14ac:dyDescent="0.25">
      <c r="A2506">
        <v>443</v>
      </c>
      <c r="B2506">
        <v>1998</v>
      </c>
      <c r="C2506" s="8">
        <v>0</v>
      </c>
      <c r="D2506">
        <v>0.20804139999999999</v>
      </c>
      <c r="E2506">
        <v>0.25812449999999998</v>
      </c>
      <c r="F2506">
        <v>7.3835399999999995E-2</v>
      </c>
      <c r="G2506">
        <v>1.9852920000000001</v>
      </c>
      <c r="H2506">
        <v>0.33066719999999999</v>
      </c>
      <c r="Q2506" s="10">
        <f t="shared" si="98"/>
        <v>1.6888353299874702E-3</v>
      </c>
      <c r="AI2506">
        <v>0.19524749999999999</v>
      </c>
      <c r="AJ2506">
        <f t="shared" si="97"/>
        <v>0.19524749999999999</v>
      </c>
      <c r="AO2506">
        <v>0.19524749999999999</v>
      </c>
      <c r="AR2506" s="8">
        <v>0</v>
      </c>
      <c r="AS2506">
        <v>2.8819910000000002</v>
      </c>
    </row>
    <row r="2507" spans="1:45" x14ac:dyDescent="0.25">
      <c r="A2507">
        <v>443</v>
      </c>
      <c r="B2507">
        <v>1999</v>
      </c>
      <c r="C2507" s="8">
        <v>0</v>
      </c>
      <c r="D2507">
        <v>0.2440447</v>
      </c>
      <c r="E2507">
        <v>0.25359310000000002</v>
      </c>
      <c r="F2507">
        <v>7.90627E-2</v>
      </c>
      <c r="G2507">
        <v>1.6486890000000001</v>
      </c>
      <c r="H2507">
        <v>0.34891220000000001</v>
      </c>
      <c r="Q2507" s="10">
        <f t="shared" si="98"/>
        <v>2.858443031184646E-3</v>
      </c>
      <c r="AI2507">
        <v>0.21355959999999999</v>
      </c>
      <c r="AJ2507">
        <f t="shared" si="97"/>
        <v>0.21355959999999999</v>
      </c>
      <c r="AO2507">
        <v>0.21355959999999999</v>
      </c>
      <c r="AR2507" s="8">
        <v>0</v>
      </c>
      <c r="AS2507">
        <v>0.95646390000000003</v>
      </c>
    </row>
    <row r="2508" spans="1:45" x14ac:dyDescent="0.25">
      <c r="A2508">
        <v>443</v>
      </c>
      <c r="B2508">
        <v>2000</v>
      </c>
      <c r="C2508" s="8">
        <v>0</v>
      </c>
      <c r="D2508">
        <v>0.19524749999999999</v>
      </c>
      <c r="E2508">
        <v>0.27354689999999998</v>
      </c>
      <c r="F2508">
        <v>8.0674599999999999E-2</v>
      </c>
      <c r="G2508">
        <v>1.371947</v>
      </c>
      <c r="H2508">
        <v>0.31662810000000002</v>
      </c>
      <c r="Q2508" s="10">
        <f t="shared" si="98"/>
        <v>4.0874565800995081E-3</v>
      </c>
      <c r="AI2508">
        <v>0.28179769999999998</v>
      </c>
      <c r="AJ2508">
        <f t="shared" si="97"/>
        <v>0.28179769999999998</v>
      </c>
      <c r="AO2508">
        <v>0.28179769999999998</v>
      </c>
      <c r="AR2508" s="8">
        <v>0</v>
      </c>
      <c r="AS2508">
        <v>1.9852920000000001</v>
      </c>
    </row>
    <row r="2509" spans="1:45" x14ac:dyDescent="0.25">
      <c r="A2509">
        <v>443</v>
      </c>
      <c r="B2509">
        <v>2001</v>
      </c>
      <c r="C2509" s="8">
        <v>0</v>
      </c>
      <c r="D2509">
        <v>0.21355959999999999</v>
      </c>
      <c r="E2509">
        <v>0.27874690000000002</v>
      </c>
      <c r="F2509">
        <v>5.9536100000000002E-2</v>
      </c>
      <c r="G2509">
        <v>2.1526869999999998</v>
      </c>
      <c r="H2509">
        <v>0.33721079999999998</v>
      </c>
      <c r="Q2509" s="10">
        <f t="shared" si="98"/>
        <v>1.4166423385206957E-3</v>
      </c>
      <c r="AI2509">
        <v>0.29500300000000002</v>
      </c>
      <c r="AJ2509">
        <f t="shared" si="97"/>
        <v>0.29500300000000002</v>
      </c>
      <c r="AO2509">
        <v>0.29500300000000002</v>
      </c>
      <c r="AR2509" s="8">
        <v>0</v>
      </c>
      <c r="AS2509">
        <v>1.6486890000000001</v>
      </c>
    </row>
    <row r="2510" spans="1:45" x14ac:dyDescent="0.25">
      <c r="A2510">
        <v>443</v>
      </c>
      <c r="B2510">
        <v>2002</v>
      </c>
      <c r="C2510" s="8">
        <v>0</v>
      </c>
      <c r="D2510">
        <v>0.28179769999999998</v>
      </c>
      <c r="E2510">
        <v>0.42737910000000001</v>
      </c>
      <c r="F2510">
        <v>8.2391800000000001E-2</v>
      </c>
      <c r="G2510">
        <v>2.7550349999999999</v>
      </c>
      <c r="H2510">
        <v>0.36969570000000002</v>
      </c>
      <c r="Q2510" s="10">
        <f t="shared" si="98"/>
        <v>3.8247078047440249E-4</v>
      </c>
      <c r="AI2510">
        <v>0.32729239999999998</v>
      </c>
      <c r="AJ2510">
        <f t="shared" si="97"/>
        <v>0.32729239999999998</v>
      </c>
      <c r="AO2510">
        <v>0.32729239999999998</v>
      </c>
      <c r="AR2510" s="8">
        <v>0</v>
      </c>
      <c r="AS2510">
        <v>1.371947</v>
      </c>
    </row>
    <row r="2511" spans="1:45" x14ac:dyDescent="0.25">
      <c r="A2511">
        <v>443</v>
      </c>
      <c r="B2511">
        <v>2003</v>
      </c>
      <c r="C2511" s="8">
        <v>0</v>
      </c>
      <c r="D2511">
        <v>0.29500300000000002</v>
      </c>
      <c r="E2511">
        <v>0.34281099999999998</v>
      </c>
      <c r="F2511">
        <v>5.7611599999999999E-2</v>
      </c>
      <c r="G2511">
        <v>2.267963</v>
      </c>
      <c r="H2511">
        <v>0.31851770000000001</v>
      </c>
      <c r="Q2511" s="10">
        <f t="shared" si="98"/>
        <v>1.1154932838227879E-3</v>
      </c>
      <c r="AI2511">
        <v>-0.14430109999999999</v>
      </c>
      <c r="AJ2511">
        <f t="shared" si="97"/>
        <v>-0.113345184</v>
      </c>
      <c r="AO2511">
        <v>-0.113345184</v>
      </c>
      <c r="AR2511" s="8">
        <v>0</v>
      </c>
      <c r="AS2511">
        <v>2.1526869999999998</v>
      </c>
    </row>
    <row r="2512" spans="1:45" x14ac:dyDescent="0.25">
      <c r="A2512">
        <v>443</v>
      </c>
      <c r="B2512">
        <v>2004</v>
      </c>
      <c r="C2512" s="8">
        <v>0</v>
      </c>
      <c r="D2512">
        <v>0.32729239999999998</v>
      </c>
      <c r="E2512">
        <v>0.44206050000000002</v>
      </c>
      <c r="F2512">
        <v>6.20244E-2</v>
      </c>
      <c r="G2512">
        <v>2.466809</v>
      </c>
      <c r="H2512">
        <v>0.3810074</v>
      </c>
      <c r="Q2512" s="10">
        <f t="shared" si="98"/>
        <v>7.1556331420234416E-4</v>
      </c>
      <c r="AI2512">
        <v>-8.1420000000000006E-2</v>
      </c>
      <c r="AJ2512">
        <f t="shared" si="97"/>
        <v>-8.1420000000000006E-2</v>
      </c>
      <c r="AO2512">
        <v>-8.1420000000000006E-2</v>
      </c>
      <c r="AR2512" s="8">
        <v>0</v>
      </c>
      <c r="AS2512">
        <v>2.7550349999999999</v>
      </c>
    </row>
    <row r="2513" spans="1:45" x14ac:dyDescent="0.25">
      <c r="A2513">
        <v>444</v>
      </c>
      <c r="B2513">
        <v>1999</v>
      </c>
      <c r="C2513" s="8">
        <v>0</v>
      </c>
      <c r="D2513">
        <v>-0.14430109999999999</v>
      </c>
      <c r="E2513">
        <v>5.84825E-2</v>
      </c>
      <c r="F2513">
        <v>2.39188E-2</v>
      </c>
      <c r="G2513">
        <v>0.3852293</v>
      </c>
      <c r="H2513">
        <v>9.9105399999999996E-2</v>
      </c>
      <c r="Q2513" s="10">
        <f t="shared" si="98"/>
        <v>3.1306634107110196E-2</v>
      </c>
      <c r="AI2513">
        <v>-1.3583899999999999E-2</v>
      </c>
      <c r="AJ2513">
        <f t="shared" si="97"/>
        <v>-1.3583899999999999E-2</v>
      </c>
      <c r="AO2513">
        <v>-1.3583899999999999E-2</v>
      </c>
      <c r="AR2513" s="8">
        <v>0</v>
      </c>
      <c r="AS2513">
        <v>2.267963</v>
      </c>
    </row>
    <row r="2514" spans="1:45" x14ac:dyDescent="0.25">
      <c r="A2514">
        <v>444</v>
      </c>
      <c r="B2514">
        <v>2000</v>
      </c>
      <c r="C2514" s="8">
        <v>0</v>
      </c>
      <c r="D2514">
        <v>-8.1420000000000006E-2</v>
      </c>
      <c r="E2514">
        <v>2.7994499999999999E-2</v>
      </c>
      <c r="F2514">
        <v>2.54909E-2</v>
      </c>
      <c r="G2514">
        <v>0.33394299999999999</v>
      </c>
      <c r="H2514">
        <v>0.13163530000000001</v>
      </c>
      <c r="Q2514" s="10">
        <f t="shared" si="98"/>
        <v>3.65296776698701E-2</v>
      </c>
      <c r="AI2514">
        <v>-7.9489999999999997E-4</v>
      </c>
      <c r="AJ2514">
        <f t="shared" si="97"/>
        <v>-7.9489999999999997E-4</v>
      </c>
      <c r="AO2514">
        <v>-7.9489999999999997E-4</v>
      </c>
      <c r="AR2514" s="8">
        <v>0</v>
      </c>
      <c r="AS2514">
        <v>2.466809</v>
      </c>
    </row>
    <row r="2515" spans="1:45" x14ac:dyDescent="0.25">
      <c r="A2515">
        <v>444</v>
      </c>
      <c r="B2515">
        <v>2001</v>
      </c>
      <c r="C2515" s="8">
        <v>0</v>
      </c>
      <c r="D2515">
        <v>-1.3583899999999999E-2</v>
      </c>
      <c r="E2515">
        <v>3.48288E-2</v>
      </c>
      <c r="F2515">
        <v>3.9668299999999997E-2</v>
      </c>
      <c r="G2515">
        <v>0.25995600000000002</v>
      </c>
      <c r="H2515">
        <v>0.12168039999999999</v>
      </c>
      <c r="Q2515" s="10">
        <f t="shared" si="98"/>
        <v>3.7114996933096604E-2</v>
      </c>
      <c r="AI2515">
        <v>2.5405199999999999E-2</v>
      </c>
      <c r="AJ2515">
        <f t="shared" si="97"/>
        <v>2.5405199999999999E-2</v>
      </c>
      <c r="AO2515">
        <v>2.5405199999999999E-2</v>
      </c>
      <c r="AR2515" s="8">
        <v>0</v>
      </c>
      <c r="AS2515">
        <v>0.3852293</v>
      </c>
    </row>
    <row r="2516" spans="1:45" x14ac:dyDescent="0.25">
      <c r="A2516">
        <v>444</v>
      </c>
      <c r="B2516">
        <v>2002</v>
      </c>
      <c r="C2516" s="8">
        <v>0</v>
      </c>
      <c r="D2516">
        <v>-7.9489999999999997E-4</v>
      </c>
      <c r="E2516">
        <v>-1.13784E-2</v>
      </c>
      <c r="F2516">
        <v>3.2073299999999999E-2</v>
      </c>
      <c r="G2516">
        <v>0.15022269999999999</v>
      </c>
      <c r="H2516">
        <v>0.11880739999999999</v>
      </c>
      <c r="Q2516" s="10">
        <f t="shared" si="98"/>
        <v>4.9756166549250906E-2</v>
      </c>
      <c r="AI2516">
        <v>6.0865000000000002E-2</v>
      </c>
      <c r="AJ2516">
        <f t="shared" si="97"/>
        <v>6.0865000000000002E-2</v>
      </c>
      <c r="AO2516">
        <v>6.0865000000000002E-2</v>
      </c>
      <c r="AR2516" s="8">
        <v>0</v>
      </c>
      <c r="AS2516">
        <v>0.33394299999999999</v>
      </c>
    </row>
    <row r="2517" spans="1:45" x14ac:dyDescent="0.25">
      <c r="A2517">
        <v>444</v>
      </c>
      <c r="B2517">
        <v>2003</v>
      </c>
      <c r="C2517" s="8">
        <v>0</v>
      </c>
      <c r="D2517">
        <v>2.5405199999999999E-2</v>
      </c>
      <c r="E2517">
        <v>-3.6577999999999999E-2</v>
      </c>
      <c r="F2517">
        <v>1.8848299999999998E-2</v>
      </c>
      <c r="G2517">
        <v>0.1914283</v>
      </c>
      <c r="H2517">
        <v>0.12490809999999999</v>
      </c>
      <c r="Q2517" s="10">
        <f t="shared" si="98"/>
        <v>5.4259864685384879E-2</v>
      </c>
      <c r="AI2517">
        <v>-7.7479999999999997E-3</v>
      </c>
      <c r="AJ2517">
        <f t="shared" si="97"/>
        <v>-7.7479999999999997E-3</v>
      </c>
      <c r="AO2517">
        <v>-7.7479999999999997E-3</v>
      </c>
      <c r="AR2517" s="8">
        <v>0</v>
      </c>
      <c r="AS2517">
        <v>0.25995600000000002</v>
      </c>
    </row>
    <row r="2518" spans="1:45" x14ac:dyDescent="0.25">
      <c r="A2518">
        <v>444</v>
      </c>
      <c r="B2518">
        <v>2004</v>
      </c>
      <c r="C2518" s="8">
        <v>0</v>
      </c>
      <c r="D2518">
        <v>6.0865000000000002E-2</v>
      </c>
      <c r="E2518">
        <v>-2.48998E-2</v>
      </c>
      <c r="F2518">
        <v>3.7248799999999999E-2</v>
      </c>
      <c r="G2518">
        <v>0.24883749999999999</v>
      </c>
      <c r="H2518">
        <v>0.1304274</v>
      </c>
      <c r="Q2518" s="10">
        <f t="shared" si="98"/>
        <v>4.3284052405765543E-2</v>
      </c>
      <c r="AI2518">
        <v>7.5389800000000007E-2</v>
      </c>
      <c r="AJ2518">
        <f t="shared" si="97"/>
        <v>7.5389800000000007E-2</v>
      </c>
      <c r="AO2518">
        <v>7.5389800000000007E-2</v>
      </c>
      <c r="AR2518" s="8">
        <v>0</v>
      </c>
      <c r="AS2518">
        <v>0.15022269999999999</v>
      </c>
    </row>
    <row r="2519" spans="1:45" x14ac:dyDescent="0.25">
      <c r="A2519">
        <v>445</v>
      </c>
      <c r="B2519">
        <v>2000</v>
      </c>
      <c r="C2519" s="8">
        <v>0</v>
      </c>
      <c r="D2519">
        <v>-7.7479999999999997E-3</v>
      </c>
      <c r="E2519">
        <v>0.15682280000000001</v>
      </c>
      <c r="F2519">
        <v>4.9995100000000001E-2</v>
      </c>
      <c r="G2519">
        <v>0.51710020000000001</v>
      </c>
      <c r="H2519">
        <v>0.184721</v>
      </c>
      <c r="Q2519" s="10">
        <f t="shared" si="98"/>
        <v>2.0149966026524097E-2</v>
      </c>
      <c r="AI2519">
        <v>1.35005E-2</v>
      </c>
      <c r="AJ2519">
        <f t="shared" si="97"/>
        <v>1.35005E-2</v>
      </c>
      <c r="AO2519">
        <v>1.35005E-2</v>
      </c>
      <c r="AR2519" s="8">
        <v>0</v>
      </c>
      <c r="AS2519">
        <v>0.1914283</v>
      </c>
    </row>
    <row r="2520" spans="1:45" x14ac:dyDescent="0.25">
      <c r="A2520">
        <v>445</v>
      </c>
      <c r="B2520">
        <v>2001</v>
      </c>
      <c r="C2520" s="8">
        <v>0</v>
      </c>
      <c r="D2520">
        <v>7.5389800000000007E-2</v>
      </c>
      <c r="E2520">
        <v>0.15933130000000001</v>
      </c>
      <c r="F2520">
        <v>6.4717899999999995E-2</v>
      </c>
      <c r="G2520">
        <v>0.43472670000000002</v>
      </c>
      <c r="H2520">
        <v>0.16649410000000001</v>
      </c>
      <c r="Q2520" s="10">
        <f t="shared" si="98"/>
        <v>2.0812146252879065E-2</v>
      </c>
      <c r="AI2520">
        <v>3.6633800000000001E-2</v>
      </c>
      <c r="AJ2520">
        <f t="shared" si="97"/>
        <v>3.6633800000000001E-2</v>
      </c>
      <c r="AO2520">
        <v>3.6633800000000001E-2</v>
      </c>
      <c r="AR2520" s="8">
        <v>0</v>
      </c>
      <c r="AS2520">
        <v>0.24883749999999999</v>
      </c>
    </row>
    <row r="2521" spans="1:45" x14ac:dyDescent="0.25">
      <c r="A2521">
        <v>445</v>
      </c>
      <c r="B2521">
        <v>2002</v>
      </c>
      <c r="C2521" s="8">
        <v>0</v>
      </c>
      <c r="D2521">
        <v>1.35005E-2</v>
      </c>
      <c r="E2521">
        <v>0.12918869999999999</v>
      </c>
      <c r="F2521">
        <v>5.1629300000000003E-2</v>
      </c>
      <c r="G2521">
        <v>0.4385135</v>
      </c>
      <c r="H2521">
        <v>0.12804560000000001</v>
      </c>
      <c r="Q2521" s="10">
        <f t="shared" si="98"/>
        <v>2.2794653429522138E-2</v>
      </c>
      <c r="AI2521">
        <v>7.3092799999999999E-2</v>
      </c>
      <c r="AJ2521">
        <f t="shared" si="97"/>
        <v>7.3092799999999999E-2</v>
      </c>
      <c r="AO2521">
        <v>7.3092799999999999E-2</v>
      </c>
      <c r="AR2521" s="8">
        <v>0</v>
      </c>
      <c r="AS2521">
        <v>0.51710020000000001</v>
      </c>
    </row>
    <row r="2522" spans="1:45" x14ac:dyDescent="0.25">
      <c r="A2522">
        <v>445</v>
      </c>
      <c r="B2522">
        <v>2003</v>
      </c>
      <c r="C2522" s="8">
        <v>0</v>
      </c>
      <c r="D2522">
        <v>3.6633800000000001E-2</v>
      </c>
      <c r="E2522">
        <v>0.12942409999999999</v>
      </c>
      <c r="F2522">
        <v>3.72129E-2</v>
      </c>
      <c r="G2522">
        <v>0.41999839999999999</v>
      </c>
      <c r="H2522">
        <v>0.14042650000000001</v>
      </c>
      <c r="Q2522" s="10">
        <f t="shared" si="98"/>
        <v>2.6689553033839585E-2</v>
      </c>
      <c r="AI2522">
        <v>9.8277E-3</v>
      </c>
      <c r="AJ2522">
        <f t="shared" si="97"/>
        <v>9.8277E-3</v>
      </c>
      <c r="AO2522">
        <v>9.8277E-3</v>
      </c>
      <c r="AR2522" s="8">
        <v>0</v>
      </c>
      <c r="AS2522">
        <v>0.43472670000000002</v>
      </c>
    </row>
    <row r="2523" spans="1:45" x14ac:dyDescent="0.25">
      <c r="A2523">
        <v>445</v>
      </c>
      <c r="B2523">
        <v>2004</v>
      </c>
      <c r="C2523" s="8">
        <v>0</v>
      </c>
      <c r="D2523">
        <v>7.3092799999999999E-2</v>
      </c>
      <c r="E2523">
        <v>0.13807530000000001</v>
      </c>
      <c r="F2523">
        <v>4.55261E-2</v>
      </c>
      <c r="G2523">
        <v>0.5136752</v>
      </c>
      <c r="H2523">
        <v>0.16093679999999999</v>
      </c>
      <c r="Q2523" s="10">
        <f t="shared" si="98"/>
        <v>2.1946183712519204E-2</v>
      </c>
      <c r="AI2523">
        <v>-2.7060899999999999E-2</v>
      </c>
      <c r="AJ2523">
        <f t="shared" si="97"/>
        <v>-2.7060899999999999E-2</v>
      </c>
      <c r="AO2523">
        <v>-2.7060899999999999E-2</v>
      </c>
      <c r="AR2523" s="8">
        <v>0</v>
      </c>
      <c r="AS2523">
        <v>0.4385135</v>
      </c>
    </row>
    <row r="2524" spans="1:45" x14ac:dyDescent="0.25">
      <c r="A2524">
        <v>446</v>
      </c>
      <c r="B2524">
        <v>1995</v>
      </c>
      <c r="C2524" s="8">
        <v>0</v>
      </c>
      <c r="D2524">
        <v>9.8277E-3</v>
      </c>
      <c r="E2524">
        <v>0.3807739</v>
      </c>
      <c r="F2524">
        <v>5.0300900000000003E-2</v>
      </c>
      <c r="G2524">
        <v>1.6744239999999999</v>
      </c>
      <c r="H2524">
        <v>0.2168503</v>
      </c>
      <c r="Q2524" s="10">
        <f t="shared" si="98"/>
        <v>2.4011999195447391E-3</v>
      </c>
      <c r="AI2524">
        <v>1.2105299999999999E-2</v>
      </c>
      <c r="AJ2524">
        <f t="shared" si="97"/>
        <v>1.2105299999999999E-2</v>
      </c>
      <c r="AO2524">
        <v>1.2105299999999999E-2</v>
      </c>
      <c r="AR2524" s="8">
        <v>0</v>
      </c>
      <c r="AS2524">
        <v>0.41999839999999999</v>
      </c>
    </row>
    <row r="2525" spans="1:45" x14ac:dyDescent="0.25">
      <c r="A2525">
        <v>446</v>
      </c>
      <c r="B2525">
        <v>1996</v>
      </c>
      <c r="C2525" s="8">
        <v>0</v>
      </c>
      <c r="D2525">
        <v>-2.7060899999999999E-2</v>
      </c>
      <c r="E2525">
        <v>0.38678069999999998</v>
      </c>
      <c r="F2525">
        <v>7.0615399999999995E-2</v>
      </c>
      <c r="G2525">
        <v>1.972056</v>
      </c>
      <c r="H2525">
        <v>0.2340208</v>
      </c>
      <c r="Q2525" s="10">
        <f t="shared" si="98"/>
        <v>1.2547496730858866E-3</v>
      </c>
      <c r="AI2525">
        <v>1.449E-3</v>
      </c>
      <c r="AJ2525">
        <f t="shared" si="97"/>
        <v>1.449E-3</v>
      </c>
      <c r="AO2525">
        <v>1.449E-3</v>
      </c>
      <c r="AR2525" s="8">
        <v>0</v>
      </c>
      <c r="AS2525">
        <v>0.5136752</v>
      </c>
    </row>
    <row r="2526" spans="1:45" x14ac:dyDescent="0.25">
      <c r="A2526">
        <v>446</v>
      </c>
      <c r="B2526">
        <v>1997</v>
      </c>
      <c r="C2526" s="8">
        <v>0</v>
      </c>
      <c r="D2526">
        <v>1.2105299999999999E-2</v>
      </c>
      <c r="E2526">
        <v>0.43492029999999998</v>
      </c>
      <c r="F2526">
        <v>7.3487300000000005E-2</v>
      </c>
      <c r="G2526">
        <v>3.3669959999999999</v>
      </c>
      <c r="H2526">
        <v>0.23537949999999999</v>
      </c>
      <c r="Q2526" s="10">
        <f t="shared" si="98"/>
        <v>1.2608500114830854E-4</v>
      </c>
      <c r="AI2526">
        <v>5.9794000000000002E-3</v>
      </c>
      <c r="AJ2526">
        <f t="shared" si="97"/>
        <v>5.9794000000000002E-3</v>
      </c>
      <c r="AO2526">
        <v>5.9794000000000002E-3</v>
      </c>
      <c r="AR2526" s="8">
        <v>0</v>
      </c>
      <c r="AS2526">
        <v>1.6744239999999999</v>
      </c>
    </row>
    <row r="2527" spans="1:45" x14ac:dyDescent="0.25">
      <c r="A2527">
        <v>446</v>
      </c>
      <c r="B2527">
        <v>1998</v>
      </c>
      <c r="C2527" s="8">
        <v>0</v>
      </c>
      <c r="D2527">
        <v>1.449E-3</v>
      </c>
      <c r="E2527">
        <v>0.50909340000000003</v>
      </c>
      <c r="F2527">
        <v>7.1861700000000001E-2</v>
      </c>
      <c r="G2527">
        <v>3.2867459999999999</v>
      </c>
      <c r="H2527">
        <v>0.25365690000000002</v>
      </c>
      <c r="Q2527" s="10">
        <f t="shared" si="98"/>
        <v>1.3122351836705336E-4</v>
      </c>
      <c r="AI2527">
        <v>-3.8220200000000003E-2</v>
      </c>
      <c r="AJ2527">
        <f t="shared" si="97"/>
        <v>-3.8220200000000003E-2</v>
      </c>
      <c r="AO2527">
        <v>-3.8220200000000003E-2</v>
      </c>
      <c r="AR2527" s="8">
        <v>0</v>
      </c>
      <c r="AS2527">
        <v>1.972056</v>
      </c>
    </row>
    <row r="2528" spans="1:45" x14ac:dyDescent="0.25">
      <c r="A2528">
        <v>446</v>
      </c>
      <c r="B2528">
        <v>1999</v>
      </c>
      <c r="C2528" s="8">
        <v>0</v>
      </c>
      <c r="D2528">
        <v>5.9794000000000002E-3</v>
      </c>
      <c r="E2528">
        <v>0.48351909999999998</v>
      </c>
      <c r="F2528">
        <v>9.51182E-2</v>
      </c>
      <c r="G2528">
        <v>4.1291029999999997</v>
      </c>
      <c r="H2528">
        <v>0.29281040000000003</v>
      </c>
      <c r="Q2528" s="10">
        <f t="shared" si="98"/>
        <v>3.032355576128257E-5</v>
      </c>
      <c r="AI2528">
        <v>-6.7250000000000004E-2</v>
      </c>
      <c r="AJ2528">
        <f t="shared" si="97"/>
        <v>-6.7250000000000004E-2</v>
      </c>
      <c r="AO2528">
        <v>-6.7250000000000004E-2</v>
      </c>
      <c r="AR2528" s="8">
        <v>0</v>
      </c>
      <c r="AS2528">
        <v>3.3669959999999999</v>
      </c>
    </row>
    <row r="2529" spans="1:45" x14ac:dyDescent="0.25">
      <c r="A2529">
        <v>446</v>
      </c>
      <c r="B2529">
        <v>2000</v>
      </c>
      <c r="C2529" s="8">
        <v>0</v>
      </c>
      <c r="D2529">
        <v>-3.8220200000000003E-2</v>
      </c>
      <c r="E2529">
        <v>0.43721500000000002</v>
      </c>
      <c r="F2529">
        <v>8.8757699999999995E-2</v>
      </c>
      <c r="G2529">
        <v>2.828754</v>
      </c>
      <c r="H2529">
        <v>0.29474699999999998</v>
      </c>
      <c r="Q2529" s="10">
        <f t="shared" si="98"/>
        <v>2.664020368179145E-4</v>
      </c>
      <c r="AI2529">
        <v>-2.5251599999999999E-2</v>
      </c>
      <c r="AJ2529">
        <f t="shared" si="97"/>
        <v>-2.5251599999999999E-2</v>
      </c>
      <c r="AO2529">
        <v>-2.5251599999999999E-2</v>
      </c>
      <c r="AR2529" s="8">
        <v>0</v>
      </c>
      <c r="AS2529">
        <v>3.2867459999999999</v>
      </c>
    </row>
    <row r="2530" spans="1:45" x14ac:dyDescent="0.25">
      <c r="A2530">
        <v>446</v>
      </c>
      <c r="B2530">
        <v>2001</v>
      </c>
      <c r="C2530" s="8">
        <v>0</v>
      </c>
      <c r="D2530">
        <v>-6.7250000000000004E-2</v>
      </c>
      <c r="E2530">
        <v>0.41809000000000002</v>
      </c>
      <c r="F2530">
        <v>8.0649999999999999E-2</v>
      </c>
      <c r="G2530">
        <v>2.880709</v>
      </c>
      <c r="H2530">
        <v>0.26900770000000002</v>
      </c>
      <c r="Q2530" s="10">
        <f t="shared" si="98"/>
        <v>2.6162111795541575E-4</v>
      </c>
      <c r="AI2530">
        <v>8.8080000000000005E-4</v>
      </c>
      <c r="AJ2530">
        <f t="shared" si="97"/>
        <v>8.8080000000000005E-4</v>
      </c>
      <c r="AO2530">
        <v>8.8080000000000005E-4</v>
      </c>
      <c r="AR2530" s="8">
        <v>0</v>
      </c>
      <c r="AS2530">
        <v>4.1291029999999997</v>
      </c>
    </row>
    <row r="2531" spans="1:45" x14ac:dyDescent="0.25">
      <c r="A2531">
        <v>446</v>
      </c>
      <c r="B2531">
        <v>2002</v>
      </c>
      <c r="C2531" s="8">
        <v>0</v>
      </c>
      <c r="D2531">
        <v>-2.5251599999999999E-2</v>
      </c>
      <c r="E2531">
        <v>0.43782949999999998</v>
      </c>
      <c r="F2531">
        <v>7.8006800000000001E-2</v>
      </c>
      <c r="G2531">
        <v>2.9527239999999999</v>
      </c>
      <c r="H2531">
        <v>0.26601639999999999</v>
      </c>
      <c r="Q2531" s="10">
        <f t="shared" si="98"/>
        <v>2.3513333630208554E-4</v>
      </c>
      <c r="AI2531">
        <v>-9.7467399999999996E-2</v>
      </c>
      <c r="AJ2531">
        <f t="shared" si="97"/>
        <v>-9.7467399999999996E-2</v>
      </c>
      <c r="AO2531">
        <v>-9.7467399999999996E-2</v>
      </c>
      <c r="AR2531" s="8">
        <v>0</v>
      </c>
      <c r="AS2531">
        <v>2.828754</v>
      </c>
    </row>
    <row r="2532" spans="1:45" x14ac:dyDescent="0.25">
      <c r="A2532">
        <v>446</v>
      </c>
      <c r="B2532">
        <v>2003</v>
      </c>
      <c r="C2532" s="8">
        <v>0</v>
      </c>
      <c r="D2532">
        <v>8.8080000000000005E-4</v>
      </c>
      <c r="E2532">
        <v>0.47671980000000003</v>
      </c>
      <c r="F2532">
        <v>8.1869600000000001E-2</v>
      </c>
      <c r="G2532">
        <v>2.9742259999999998</v>
      </c>
      <c r="H2532">
        <v>0.263374</v>
      </c>
      <c r="Q2532" s="10">
        <f t="shared" si="98"/>
        <v>2.101155880097471E-4</v>
      </c>
      <c r="AI2532">
        <v>0.17090089999999999</v>
      </c>
      <c r="AJ2532">
        <f t="shared" si="97"/>
        <v>0.17090089999999999</v>
      </c>
      <c r="AO2532">
        <v>0.17090089999999999</v>
      </c>
      <c r="AR2532" s="8">
        <v>0</v>
      </c>
      <c r="AS2532">
        <v>2.880709</v>
      </c>
    </row>
    <row r="2533" spans="1:45" x14ac:dyDescent="0.25">
      <c r="A2533">
        <v>446</v>
      </c>
      <c r="B2533">
        <v>2004</v>
      </c>
      <c r="C2533" s="8">
        <v>0</v>
      </c>
      <c r="D2533">
        <v>-9.7467399999999996E-2</v>
      </c>
      <c r="E2533">
        <v>0.44952710000000001</v>
      </c>
      <c r="F2533">
        <v>7.0667499999999994E-2</v>
      </c>
      <c r="G2533">
        <v>2.3597299999999999</v>
      </c>
      <c r="H2533">
        <v>0.25655679999999997</v>
      </c>
      <c r="Q2533" s="10">
        <f t="shared" si="98"/>
        <v>6.0830843454177214E-4</v>
      </c>
      <c r="AI2533">
        <v>0.12284929999999999</v>
      </c>
      <c r="AJ2533">
        <f t="shared" si="97"/>
        <v>0.12284929999999999</v>
      </c>
      <c r="AO2533">
        <v>0.12284929999999999</v>
      </c>
      <c r="AR2533" s="8">
        <v>0</v>
      </c>
      <c r="AS2533">
        <v>2.9527239999999999</v>
      </c>
    </row>
    <row r="2534" spans="1:45" x14ac:dyDescent="0.25">
      <c r="A2534">
        <v>447</v>
      </c>
      <c r="B2534">
        <v>1998</v>
      </c>
      <c r="C2534" s="8">
        <v>0</v>
      </c>
      <c r="D2534">
        <v>0.17090089999999999</v>
      </c>
      <c r="E2534">
        <v>0.1056407</v>
      </c>
      <c r="F2534">
        <v>4.76508E-2</v>
      </c>
      <c r="G2534">
        <v>0.1311928</v>
      </c>
      <c r="H2534">
        <v>0.3246734</v>
      </c>
      <c r="Q2534" s="10">
        <f t="shared" si="98"/>
        <v>4.6740209883294928E-2</v>
      </c>
      <c r="AI2534">
        <v>0.1069628</v>
      </c>
      <c r="AJ2534">
        <f t="shared" si="97"/>
        <v>0.1069628</v>
      </c>
      <c r="AO2534">
        <v>0.1069628</v>
      </c>
      <c r="AR2534" s="8">
        <v>0</v>
      </c>
      <c r="AS2534">
        <v>2.9742259999999998</v>
      </c>
    </row>
    <row r="2535" spans="1:45" x14ac:dyDescent="0.25">
      <c r="A2535">
        <v>447</v>
      </c>
      <c r="B2535">
        <v>1999</v>
      </c>
      <c r="C2535" s="8">
        <v>0</v>
      </c>
      <c r="D2535">
        <v>0.12284929999999999</v>
      </c>
      <c r="E2535">
        <v>5.6317300000000001E-2</v>
      </c>
      <c r="F2535">
        <v>3.7127899999999998E-2</v>
      </c>
      <c r="G2535">
        <v>9.3242900000000004E-2</v>
      </c>
      <c r="H2535">
        <v>0.35812880000000002</v>
      </c>
      <c r="Q2535" s="10">
        <f t="shared" si="98"/>
        <v>5.7427223930340804E-2</v>
      </c>
      <c r="AI2535">
        <v>0.1835822</v>
      </c>
      <c r="AJ2535">
        <f t="shared" si="97"/>
        <v>0.1835822</v>
      </c>
      <c r="AO2535">
        <v>0.1835822</v>
      </c>
      <c r="AR2535" s="8">
        <v>0</v>
      </c>
      <c r="AS2535">
        <v>2.3597299999999999</v>
      </c>
    </row>
    <row r="2536" spans="1:45" x14ac:dyDescent="0.25">
      <c r="A2536">
        <v>447</v>
      </c>
      <c r="B2536">
        <v>2000</v>
      </c>
      <c r="C2536" s="8">
        <v>1</v>
      </c>
      <c r="D2536">
        <v>0.1069628</v>
      </c>
      <c r="E2536">
        <v>3.5254300000000002E-2</v>
      </c>
      <c r="F2536">
        <v>1.14603E-2</v>
      </c>
      <c r="G2536">
        <v>5.0194700000000002E-2</v>
      </c>
      <c r="H2536">
        <v>0.2750668</v>
      </c>
      <c r="Q2536" s="10">
        <f t="shared" si="98"/>
        <v>7.231845784928187E-2</v>
      </c>
      <c r="AI2536">
        <v>0.19139349999999999</v>
      </c>
      <c r="AJ2536">
        <f t="shared" si="97"/>
        <v>0.19139349999999999</v>
      </c>
      <c r="AO2536">
        <v>0.19139349999999999</v>
      </c>
      <c r="AR2536" s="8">
        <v>0</v>
      </c>
      <c r="AS2536">
        <v>0.1311928</v>
      </c>
    </row>
    <row r="2537" spans="1:45" x14ac:dyDescent="0.25">
      <c r="A2537">
        <v>448</v>
      </c>
      <c r="B2537">
        <v>1995</v>
      </c>
      <c r="C2537" s="8">
        <v>0</v>
      </c>
      <c r="D2537">
        <v>0.1835822</v>
      </c>
      <c r="E2537">
        <v>0.34885250000000001</v>
      </c>
      <c r="F2537">
        <v>5.6515599999999999E-2</v>
      </c>
      <c r="G2537">
        <v>2.5480209999999999</v>
      </c>
      <c r="H2537">
        <v>0.26593030000000001</v>
      </c>
      <c r="Q2537" s="10">
        <f t="shared" si="98"/>
        <v>6.6012541265811613E-4</v>
      </c>
      <c r="AI2537">
        <v>0.20666399999999999</v>
      </c>
      <c r="AJ2537">
        <f t="shared" si="97"/>
        <v>0.20666399999999999</v>
      </c>
      <c r="AO2537">
        <v>0.20666399999999999</v>
      </c>
      <c r="AR2537" s="8">
        <v>0</v>
      </c>
      <c r="AS2537">
        <v>9.3242900000000004E-2</v>
      </c>
    </row>
    <row r="2538" spans="1:45" x14ac:dyDescent="0.25">
      <c r="A2538">
        <v>448</v>
      </c>
      <c r="B2538">
        <v>1996</v>
      </c>
      <c r="C2538" s="8">
        <v>0</v>
      </c>
      <c r="D2538">
        <v>0.19139349999999999</v>
      </c>
      <c r="E2538">
        <v>0.399727</v>
      </c>
      <c r="F2538">
        <v>7.2111400000000006E-2</v>
      </c>
      <c r="G2538">
        <v>3.3425349999999998</v>
      </c>
      <c r="H2538">
        <v>0.27180470000000001</v>
      </c>
      <c r="Q2538" s="10">
        <f t="shared" si="98"/>
        <v>1.5369293818210652E-4</v>
      </c>
      <c r="AI2538">
        <v>0.2112387</v>
      </c>
      <c r="AJ2538">
        <f t="shared" si="97"/>
        <v>0.2112387</v>
      </c>
      <c r="AO2538">
        <v>0.2112387</v>
      </c>
      <c r="AR2538" s="8">
        <v>1</v>
      </c>
      <c r="AS2538">
        <v>5.0194700000000002E-2</v>
      </c>
    </row>
    <row r="2539" spans="1:45" x14ac:dyDescent="0.25">
      <c r="A2539">
        <v>448</v>
      </c>
      <c r="B2539">
        <v>1997</v>
      </c>
      <c r="C2539" s="8">
        <v>0</v>
      </c>
      <c r="D2539">
        <v>0.20666399999999999</v>
      </c>
      <c r="E2539">
        <v>0.35842279999999999</v>
      </c>
      <c r="F2539">
        <v>6.9636199999999995E-2</v>
      </c>
      <c r="G2539">
        <v>3.0753339999999998</v>
      </c>
      <c r="H2539">
        <v>0.27306540000000001</v>
      </c>
      <c r="Q2539" s="10">
        <f t="shared" si="98"/>
        <v>2.5662847913676483E-4</v>
      </c>
      <c r="AI2539">
        <v>0.17836750000000001</v>
      </c>
      <c r="AJ2539">
        <f t="shared" si="97"/>
        <v>0.17836750000000001</v>
      </c>
      <c r="AO2539">
        <v>0.17836750000000001</v>
      </c>
      <c r="AR2539" s="8">
        <v>0</v>
      </c>
      <c r="AS2539">
        <v>2.5480209999999999</v>
      </c>
    </row>
    <row r="2540" spans="1:45" x14ac:dyDescent="0.25">
      <c r="A2540">
        <v>448</v>
      </c>
      <c r="B2540">
        <v>1998</v>
      </c>
      <c r="C2540" s="8">
        <v>0</v>
      </c>
      <c r="D2540">
        <v>0.2112387</v>
      </c>
      <c r="E2540">
        <v>0.3953507</v>
      </c>
      <c r="F2540">
        <v>8.1041299999999997E-2</v>
      </c>
      <c r="G2540">
        <v>2.8028960000000001</v>
      </c>
      <c r="H2540">
        <v>0.41166340000000001</v>
      </c>
      <c r="Q2540" s="10">
        <f t="shared" si="98"/>
        <v>3.7410306125355077E-4</v>
      </c>
      <c r="AI2540">
        <v>0.2181497</v>
      </c>
      <c r="AJ2540">
        <f t="shared" si="97"/>
        <v>0.2181497</v>
      </c>
      <c r="AO2540">
        <v>0.2181497</v>
      </c>
      <c r="AR2540" s="8">
        <v>0</v>
      </c>
      <c r="AS2540">
        <v>3.3425349999999998</v>
      </c>
    </row>
    <row r="2541" spans="1:45" x14ac:dyDescent="0.25">
      <c r="A2541">
        <v>448</v>
      </c>
      <c r="B2541">
        <v>1999</v>
      </c>
      <c r="C2541" s="8">
        <v>0</v>
      </c>
      <c r="D2541">
        <v>0.17836750000000001</v>
      </c>
      <c r="E2541">
        <v>0.36819429999999997</v>
      </c>
      <c r="F2541">
        <v>7.0682599999999998E-2</v>
      </c>
      <c r="G2541">
        <v>2.0582400000000001</v>
      </c>
      <c r="H2541">
        <v>0.28730080000000002</v>
      </c>
      <c r="Q2541" s="10">
        <f t="shared" si="98"/>
        <v>1.2639213799545681E-3</v>
      </c>
      <c r="AI2541">
        <v>6.8702799999999994E-2</v>
      </c>
      <c r="AJ2541">
        <f t="shared" si="97"/>
        <v>6.8702799999999994E-2</v>
      </c>
      <c r="AO2541">
        <v>6.8702799999999994E-2</v>
      </c>
      <c r="AR2541" s="8">
        <v>0</v>
      </c>
      <c r="AS2541">
        <v>3.0753339999999998</v>
      </c>
    </row>
    <row r="2542" spans="1:45" x14ac:dyDescent="0.25">
      <c r="A2542">
        <v>448</v>
      </c>
      <c r="B2542">
        <v>2000</v>
      </c>
      <c r="C2542" s="8">
        <v>0</v>
      </c>
      <c r="D2542">
        <v>0.2181497</v>
      </c>
      <c r="E2542">
        <v>0.36076540000000001</v>
      </c>
      <c r="F2542">
        <v>6.8928500000000004E-2</v>
      </c>
      <c r="G2542">
        <v>1.290403</v>
      </c>
      <c r="H2542">
        <v>0.26707059999999999</v>
      </c>
      <c r="Q2542" s="10">
        <f t="shared" si="98"/>
        <v>4.4082060683461521E-3</v>
      </c>
      <c r="AI2542">
        <v>9.1571799999999995E-2</v>
      </c>
      <c r="AJ2542">
        <f t="shared" si="97"/>
        <v>9.1571799999999995E-2</v>
      </c>
      <c r="AO2542">
        <v>9.1571799999999995E-2</v>
      </c>
      <c r="AR2542" s="8">
        <v>0</v>
      </c>
      <c r="AS2542">
        <v>2.8028960000000001</v>
      </c>
    </row>
    <row r="2543" spans="1:45" x14ac:dyDescent="0.25">
      <c r="A2543">
        <v>448</v>
      </c>
      <c r="B2543">
        <v>2001</v>
      </c>
      <c r="C2543" s="8">
        <v>0</v>
      </c>
      <c r="D2543">
        <v>6.8702799999999994E-2</v>
      </c>
      <c r="E2543">
        <v>0.34983409999999998</v>
      </c>
      <c r="F2543">
        <v>5.8675199999999997E-2</v>
      </c>
      <c r="G2543">
        <v>1.549029</v>
      </c>
      <c r="H2543">
        <v>0.27934170000000003</v>
      </c>
      <c r="Q2543" s="10">
        <f t="shared" si="98"/>
        <v>3.0534393102105437E-3</v>
      </c>
      <c r="AI2543">
        <v>0.16693939999999999</v>
      </c>
      <c r="AJ2543">
        <f t="shared" si="97"/>
        <v>0.16693939999999999</v>
      </c>
      <c r="AO2543">
        <v>0.16693939999999999</v>
      </c>
      <c r="AR2543" s="8">
        <v>0</v>
      </c>
      <c r="AS2543">
        <v>2.0582400000000001</v>
      </c>
    </row>
    <row r="2544" spans="1:45" x14ac:dyDescent="0.25">
      <c r="A2544">
        <v>448</v>
      </c>
      <c r="B2544">
        <v>2002</v>
      </c>
      <c r="C2544" s="8">
        <v>0</v>
      </c>
      <c r="D2544">
        <v>9.1571799999999995E-2</v>
      </c>
      <c r="E2544">
        <v>0.2842035</v>
      </c>
      <c r="F2544">
        <v>5.1302899999999999E-2</v>
      </c>
      <c r="G2544">
        <v>1.5482830000000001</v>
      </c>
      <c r="H2544">
        <v>0.29635610000000001</v>
      </c>
      <c r="Q2544" s="10">
        <f t="shared" si="98"/>
        <v>3.6374834556969541E-3</v>
      </c>
      <c r="AI2544">
        <v>0.20351</v>
      </c>
      <c r="AJ2544">
        <f t="shared" si="97"/>
        <v>0.20351</v>
      </c>
      <c r="AO2544">
        <v>0.20351</v>
      </c>
      <c r="AR2544" s="8">
        <v>0</v>
      </c>
      <c r="AS2544">
        <v>1.290403</v>
      </c>
    </row>
    <row r="2545" spans="1:45" x14ac:dyDescent="0.25">
      <c r="A2545">
        <v>448</v>
      </c>
      <c r="B2545">
        <v>2003</v>
      </c>
      <c r="C2545" s="8">
        <v>0</v>
      </c>
      <c r="D2545">
        <v>0.16693939999999999</v>
      </c>
      <c r="E2545">
        <v>0.25802799999999998</v>
      </c>
      <c r="F2545">
        <v>5.4843299999999998E-2</v>
      </c>
      <c r="G2545">
        <v>1.161529</v>
      </c>
      <c r="H2545">
        <v>0.27060600000000001</v>
      </c>
      <c r="Q2545" s="10">
        <f t="shared" si="98"/>
        <v>6.8851713226733609E-3</v>
      </c>
      <c r="AI2545">
        <v>0.2260596</v>
      </c>
      <c r="AJ2545">
        <f t="shared" si="97"/>
        <v>0.2260596</v>
      </c>
      <c r="AO2545">
        <v>0.2260596</v>
      </c>
      <c r="AR2545" s="8">
        <v>0</v>
      </c>
      <c r="AS2545">
        <v>1.549029</v>
      </c>
    </row>
    <row r="2546" spans="1:45" x14ac:dyDescent="0.25">
      <c r="A2546">
        <v>448</v>
      </c>
      <c r="B2546">
        <v>2004</v>
      </c>
      <c r="C2546" s="8">
        <v>0</v>
      </c>
      <c r="D2546">
        <v>0.20351</v>
      </c>
      <c r="E2546">
        <v>0.2371085</v>
      </c>
      <c r="F2546">
        <v>5.2448000000000002E-2</v>
      </c>
      <c r="G2546">
        <v>1.3828020000000001</v>
      </c>
      <c r="H2546">
        <v>0.3007917</v>
      </c>
      <c r="Q2546" s="10">
        <f t="shared" si="98"/>
        <v>5.2688688872729239E-3</v>
      </c>
      <c r="AI2546">
        <v>0.18174299999999999</v>
      </c>
      <c r="AJ2546">
        <f t="shared" si="97"/>
        <v>0.18174299999999999</v>
      </c>
      <c r="AO2546">
        <v>0.18174299999999999</v>
      </c>
      <c r="AR2546" s="8">
        <v>0</v>
      </c>
      <c r="AS2546">
        <v>1.5482830000000001</v>
      </c>
    </row>
    <row r="2547" spans="1:45" x14ac:dyDescent="0.25">
      <c r="A2547">
        <v>449</v>
      </c>
      <c r="B2547">
        <v>1997</v>
      </c>
      <c r="C2547" s="8">
        <v>0</v>
      </c>
      <c r="D2547">
        <v>0.2260596</v>
      </c>
      <c r="E2547">
        <v>-4.7496999999999999E-3</v>
      </c>
      <c r="F2547">
        <v>6.1944899999999997E-2</v>
      </c>
      <c r="G2547">
        <v>6.3655220000000003</v>
      </c>
      <c r="H2547">
        <v>0.18141119999999999</v>
      </c>
      <c r="Q2547" s="10">
        <f t="shared" si="98"/>
        <v>2.3290957759957477E-6</v>
      </c>
      <c r="AI2547">
        <v>0.13653970000000001</v>
      </c>
      <c r="AJ2547">
        <f t="shared" si="97"/>
        <v>0.13653970000000001</v>
      </c>
      <c r="AO2547">
        <v>0.13653970000000001</v>
      </c>
      <c r="AR2547" s="8">
        <v>0</v>
      </c>
      <c r="AS2547">
        <v>1.161529</v>
      </c>
    </row>
    <row r="2548" spans="1:45" x14ac:dyDescent="0.25">
      <c r="A2548">
        <v>449</v>
      </c>
      <c r="B2548">
        <v>1998</v>
      </c>
      <c r="C2548" s="8">
        <v>0</v>
      </c>
      <c r="D2548">
        <v>0.18174299999999999</v>
      </c>
      <c r="E2548">
        <v>-0.1159582</v>
      </c>
      <c r="F2548">
        <v>-2.3987999999999999E-2</v>
      </c>
      <c r="G2548">
        <v>1.805722</v>
      </c>
      <c r="H2548">
        <v>0.1489104</v>
      </c>
      <c r="Q2548" s="10">
        <f t="shared" si="98"/>
        <v>7.4432148650581424E-3</v>
      </c>
      <c r="AI2548">
        <v>0.25210719999999998</v>
      </c>
      <c r="AJ2548">
        <f t="shared" si="97"/>
        <v>0.25210719999999998</v>
      </c>
      <c r="AO2548">
        <v>0.25210719999999998</v>
      </c>
      <c r="AR2548" s="8">
        <v>0</v>
      </c>
      <c r="AS2548">
        <v>1.3828020000000001</v>
      </c>
    </row>
    <row r="2549" spans="1:45" x14ac:dyDescent="0.25">
      <c r="A2549">
        <v>449</v>
      </c>
      <c r="B2549">
        <v>1999</v>
      </c>
      <c r="C2549" s="8">
        <v>0</v>
      </c>
      <c r="D2549">
        <v>0.13653970000000001</v>
      </c>
      <c r="E2549">
        <v>-0.29553600000000002</v>
      </c>
      <c r="F2549">
        <v>7.4897999999999996E-3</v>
      </c>
      <c r="G2549">
        <v>1.626028</v>
      </c>
      <c r="H2549">
        <v>0.14995549999999999</v>
      </c>
      <c r="Q2549" s="10">
        <f t="shared" si="98"/>
        <v>9.8013124025593742E-3</v>
      </c>
      <c r="AI2549">
        <v>0.22252479999999999</v>
      </c>
      <c r="AJ2549">
        <f t="shared" si="97"/>
        <v>0.22252479999999999</v>
      </c>
      <c r="AO2549">
        <v>0.22252479999999999</v>
      </c>
      <c r="AR2549" s="8">
        <v>0</v>
      </c>
      <c r="AS2549">
        <v>6.3655220000000003</v>
      </c>
    </row>
    <row r="2550" spans="1:45" x14ac:dyDescent="0.25">
      <c r="A2550">
        <v>449</v>
      </c>
      <c r="B2550">
        <v>2000</v>
      </c>
      <c r="C2550" s="8">
        <v>0</v>
      </c>
      <c r="D2550">
        <v>0.25210719999999998</v>
      </c>
      <c r="E2550">
        <v>-0.2482703</v>
      </c>
      <c r="F2550">
        <v>5.7575500000000002E-2</v>
      </c>
      <c r="G2550">
        <v>2.7161580000000001</v>
      </c>
      <c r="H2550">
        <v>0.18769079999999999</v>
      </c>
      <c r="Q2550" s="10">
        <f t="shared" si="98"/>
        <v>1.1686903574497955E-3</v>
      </c>
      <c r="AI2550">
        <v>0.2512702</v>
      </c>
      <c r="AJ2550">
        <f t="shared" si="97"/>
        <v>0.2512702</v>
      </c>
      <c r="AO2550">
        <v>0.2512702</v>
      </c>
      <c r="AR2550" s="8">
        <v>0</v>
      </c>
      <c r="AS2550">
        <v>1.805722</v>
      </c>
    </row>
    <row r="2551" spans="1:45" x14ac:dyDescent="0.25">
      <c r="A2551">
        <v>449</v>
      </c>
      <c r="B2551">
        <v>2001</v>
      </c>
      <c r="C2551" s="8">
        <v>0</v>
      </c>
      <c r="D2551">
        <v>0.22252479999999999</v>
      </c>
      <c r="E2551">
        <v>-0.1839586</v>
      </c>
      <c r="F2551">
        <v>5.8230400000000002E-2</v>
      </c>
      <c r="G2551">
        <v>2.466008</v>
      </c>
      <c r="H2551">
        <v>0.20955670000000001</v>
      </c>
      <c r="Q2551" s="10">
        <f t="shared" si="98"/>
        <v>1.5787818383645271E-3</v>
      </c>
      <c r="AI2551">
        <v>0.2691114</v>
      </c>
      <c r="AJ2551">
        <f t="shared" si="97"/>
        <v>0.2691114</v>
      </c>
      <c r="AO2551">
        <v>0.2691114</v>
      </c>
      <c r="AR2551" s="8">
        <v>0</v>
      </c>
      <c r="AS2551">
        <v>1.626028</v>
      </c>
    </row>
    <row r="2552" spans="1:45" x14ac:dyDescent="0.25">
      <c r="A2552">
        <v>449</v>
      </c>
      <c r="B2552">
        <v>2002</v>
      </c>
      <c r="C2552" s="8">
        <v>0</v>
      </c>
      <c r="D2552">
        <v>0.2512702</v>
      </c>
      <c r="E2552">
        <v>-0.18132580000000001</v>
      </c>
      <c r="F2552">
        <v>4.1841299999999998E-2</v>
      </c>
      <c r="G2552">
        <v>1.4056949999999999</v>
      </c>
      <c r="H2552">
        <v>0.20031189999999999</v>
      </c>
      <c r="Q2552" s="10">
        <f t="shared" si="98"/>
        <v>9.6953996621489905E-3</v>
      </c>
      <c r="AI2552">
        <v>0.27363850000000001</v>
      </c>
      <c r="AJ2552">
        <f t="shared" si="97"/>
        <v>0.27363850000000001</v>
      </c>
      <c r="AO2552">
        <v>0.27363850000000001</v>
      </c>
      <c r="AR2552" s="8">
        <v>0</v>
      </c>
      <c r="AS2552">
        <v>2.7161580000000001</v>
      </c>
    </row>
    <row r="2553" spans="1:45" x14ac:dyDescent="0.25">
      <c r="A2553">
        <v>449</v>
      </c>
      <c r="B2553">
        <v>2003</v>
      </c>
      <c r="C2553" s="8">
        <v>0</v>
      </c>
      <c r="D2553">
        <v>0.2691114</v>
      </c>
      <c r="E2553">
        <v>-0.1534913</v>
      </c>
      <c r="F2553">
        <v>3.3379300000000001E-2</v>
      </c>
      <c r="G2553">
        <v>1.5137370000000001</v>
      </c>
      <c r="H2553">
        <v>0.205426</v>
      </c>
      <c r="Q2553" s="10">
        <f t="shared" si="98"/>
        <v>8.4864868436697969E-3</v>
      </c>
      <c r="AI2553">
        <v>5.83621E-2</v>
      </c>
      <c r="AJ2553">
        <f t="shared" si="97"/>
        <v>5.83621E-2</v>
      </c>
      <c r="AO2553">
        <v>5.83621E-2</v>
      </c>
      <c r="AR2553" s="8">
        <v>0</v>
      </c>
      <c r="AS2553">
        <v>2.466008</v>
      </c>
    </row>
    <row r="2554" spans="1:45" x14ac:dyDescent="0.25">
      <c r="A2554">
        <v>449</v>
      </c>
      <c r="B2554">
        <v>2004</v>
      </c>
      <c r="C2554" s="8">
        <v>0</v>
      </c>
      <c r="D2554">
        <v>0.27363850000000001</v>
      </c>
      <c r="E2554">
        <v>-0.15168690000000001</v>
      </c>
      <c r="F2554">
        <v>2.8397499999999999E-2</v>
      </c>
      <c r="G2554">
        <v>1.6511849999999999</v>
      </c>
      <c r="H2554">
        <v>0.2309862</v>
      </c>
      <c r="Q2554" s="10">
        <f t="shared" si="98"/>
        <v>7.211422304323002E-3</v>
      </c>
      <c r="AI2554">
        <v>6.6994100000000001E-2</v>
      </c>
      <c r="AJ2554">
        <f t="shared" si="97"/>
        <v>6.6994100000000001E-2</v>
      </c>
      <c r="AO2554">
        <v>6.6994100000000001E-2</v>
      </c>
      <c r="AR2554" s="8">
        <v>0</v>
      </c>
      <c r="AS2554">
        <v>1.4056949999999999</v>
      </c>
    </row>
    <row r="2555" spans="1:45" x14ac:dyDescent="0.25">
      <c r="A2555">
        <v>450</v>
      </c>
      <c r="B2555">
        <v>1995</v>
      </c>
      <c r="C2555" s="8">
        <v>0</v>
      </c>
      <c r="D2555">
        <v>5.83621E-2</v>
      </c>
      <c r="E2555">
        <v>7.9676200000000003E-2</v>
      </c>
      <c r="F2555">
        <v>3.3581100000000003E-2</v>
      </c>
      <c r="G2555">
        <v>0.23204630000000001</v>
      </c>
      <c r="H2555">
        <v>0.12850690000000001</v>
      </c>
      <c r="Q2555" s="10">
        <f t="shared" si="98"/>
        <v>3.939559056198047E-2</v>
      </c>
      <c r="AI2555">
        <v>9.8483600000000004E-2</v>
      </c>
      <c r="AJ2555">
        <f t="shared" si="97"/>
        <v>9.8483600000000004E-2</v>
      </c>
      <c r="AO2555">
        <v>9.8483600000000004E-2</v>
      </c>
      <c r="AR2555" s="8">
        <v>0</v>
      </c>
      <c r="AS2555">
        <v>1.5137370000000001</v>
      </c>
    </row>
    <row r="2556" spans="1:45" x14ac:dyDescent="0.25">
      <c r="A2556">
        <v>450</v>
      </c>
      <c r="B2556">
        <v>1996</v>
      </c>
      <c r="C2556" s="8">
        <v>0</v>
      </c>
      <c r="D2556">
        <v>6.6994100000000001E-2</v>
      </c>
      <c r="E2556">
        <v>8.88602E-2</v>
      </c>
      <c r="F2556">
        <v>2.60974E-2</v>
      </c>
      <c r="G2556">
        <v>0.2638066</v>
      </c>
      <c r="H2556">
        <v>0.13466310000000001</v>
      </c>
      <c r="Q2556" s="10">
        <f t="shared" si="98"/>
        <v>3.9520208124271199E-2</v>
      </c>
      <c r="AI2556">
        <v>3.80519E-2</v>
      </c>
      <c r="AJ2556">
        <f t="shared" si="97"/>
        <v>3.80519E-2</v>
      </c>
      <c r="AO2556">
        <v>3.80519E-2</v>
      </c>
      <c r="AR2556" s="8">
        <v>0</v>
      </c>
      <c r="AS2556">
        <v>1.6511849999999999</v>
      </c>
    </row>
    <row r="2557" spans="1:45" x14ac:dyDescent="0.25">
      <c r="A2557">
        <v>450</v>
      </c>
      <c r="B2557">
        <v>1997</v>
      </c>
      <c r="C2557" s="8">
        <v>0</v>
      </c>
      <c r="D2557">
        <v>9.8483600000000004E-2</v>
      </c>
      <c r="E2557">
        <v>0.1221018</v>
      </c>
      <c r="F2557">
        <v>3.7000600000000002E-2</v>
      </c>
      <c r="G2557">
        <v>0.26645380000000002</v>
      </c>
      <c r="H2557">
        <v>0.14382900000000001</v>
      </c>
      <c r="Q2557" s="10">
        <f t="shared" si="98"/>
        <v>3.5173364640457255E-2</v>
      </c>
      <c r="AI2557">
        <v>-4.5166E-3</v>
      </c>
      <c r="AJ2557">
        <f t="shared" si="97"/>
        <v>-4.5166E-3</v>
      </c>
      <c r="AO2557">
        <v>-4.5166E-3</v>
      </c>
      <c r="AR2557" s="8">
        <v>0</v>
      </c>
      <c r="AS2557">
        <v>0.23204630000000001</v>
      </c>
    </row>
    <row r="2558" spans="1:45" x14ac:dyDescent="0.25">
      <c r="A2558">
        <v>450</v>
      </c>
      <c r="B2558">
        <v>1998</v>
      </c>
      <c r="C2558" s="8">
        <v>0</v>
      </c>
      <c r="D2558">
        <v>3.80519E-2</v>
      </c>
      <c r="E2558">
        <v>7.8237399999999999E-2</v>
      </c>
      <c r="F2558">
        <v>2.9988000000000001E-2</v>
      </c>
      <c r="G2558">
        <v>0.33068419999999998</v>
      </c>
      <c r="H2558">
        <v>0.1024718</v>
      </c>
      <c r="Q2558" s="10">
        <f t="shared" si="98"/>
        <v>3.4065363795805319E-2</v>
      </c>
      <c r="AI2558">
        <v>-2.7093200000000001E-2</v>
      </c>
      <c r="AJ2558">
        <f t="shared" si="97"/>
        <v>-2.7093200000000001E-2</v>
      </c>
      <c r="AO2558">
        <v>-2.7093200000000001E-2</v>
      </c>
      <c r="AR2558" s="8">
        <v>0</v>
      </c>
      <c r="AS2558">
        <v>0.2638066</v>
      </c>
    </row>
    <row r="2559" spans="1:45" x14ac:dyDescent="0.25">
      <c r="A2559">
        <v>450</v>
      </c>
      <c r="B2559">
        <v>1999</v>
      </c>
      <c r="C2559" s="8">
        <v>0</v>
      </c>
      <c r="D2559">
        <v>-4.5166E-3</v>
      </c>
      <c r="E2559">
        <v>8.7674100000000005E-2</v>
      </c>
      <c r="F2559">
        <v>4.5173400000000002E-2</v>
      </c>
      <c r="G2559">
        <v>0.31459409999999999</v>
      </c>
      <c r="H2559">
        <v>9.9903900000000004E-2</v>
      </c>
      <c r="Q2559" s="10">
        <f t="shared" si="98"/>
        <v>3.0072927870033614E-2</v>
      </c>
      <c r="AI2559">
        <v>0.2687812</v>
      </c>
      <c r="AJ2559">
        <f t="shared" si="97"/>
        <v>0.2687812</v>
      </c>
      <c r="AO2559">
        <v>0.2687812</v>
      </c>
      <c r="AR2559" s="8">
        <v>0</v>
      </c>
      <c r="AS2559">
        <v>0.26645380000000002</v>
      </c>
    </row>
    <row r="2560" spans="1:45" x14ac:dyDescent="0.25">
      <c r="A2560">
        <v>450</v>
      </c>
      <c r="B2560">
        <v>2000</v>
      </c>
      <c r="C2560" s="8">
        <v>0</v>
      </c>
      <c r="D2560">
        <v>-2.7093200000000001E-2</v>
      </c>
      <c r="E2560">
        <v>8.1805299999999997E-2</v>
      </c>
      <c r="F2560">
        <v>2.9571E-2</v>
      </c>
      <c r="G2560">
        <v>0.3101082</v>
      </c>
      <c r="H2560">
        <v>0.1208423</v>
      </c>
      <c r="Q2560" s="10">
        <f t="shared" si="98"/>
        <v>3.4573296163225187E-2</v>
      </c>
      <c r="AI2560">
        <v>0.36288589999999998</v>
      </c>
      <c r="AJ2560">
        <f t="shared" si="97"/>
        <v>0.36288589999999998</v>
      </c>
      <c r="AO2560">
        <v>0.36288589999999998</v>
      </c>
      <c r="AR2560" s="8">
        <v>0</v>
      </c>
      <c r="AS2560">
        <v>0.33068419999999998</v>
      </c>
    </row>
    <row r="2561" spans="1:45" x14ac:dyDescent="0.25">
      <c r="A2561">
        <v>451</v>
      </c>
      <c r="B2561">
        <v>1999</v>
      </c>
      <c r="C2561" s="8">
        <v>0</v>
      </c>
      <c r="D2561">
        <v>0.2687812</v>
      </c>
      <c r="E2561">
        <v>0.49969580000000002</v>
      </c>
      <c r="F2561">
        <v>7.2231699999999996E-2</v>
      </c>
      <c r="G2561">
        <v>2.7620100000000001</v>
      </c>
      <c r="H2561">
        <v>0.41739009999999999</v>
      </c>
      <c r="Q2561" s="10">
        <f t="shared" si="98"/>
        <v>3.7835222659396385E-4</v>
      </c>
      <c r="AI2561">
        <v>0.38800220000000002</v>
      </c>
      <c r="AJ2561">
        <f t="shared" si="97"/>
        <v>0.38800220000000002</v>
      </c>
      <c r="AO2561">
        <v>0.38800220000000002</v>
      </c>
      <c r="AR2561" s="8">
        <v>0</v>
      </c>
      <c r="AS2561">
        <v>0.31459409999999999</v>
      </c>
    </row>
    <row r="2562" spans="1:45" x14ac:dyDescent="0.25">
      <c r="A2562">
        <v>451</v>
      </c>
      <c r="B2562">
        <v>2000</v>
      </c>
      <c r="C2562" s="8">
        <v>0</v>
      </c>
      <c r="D2562">
        <v>0.36288589999999998</v>
      </c>
      <c r="E2562">
        <v>0.55014379999999996</v>
      </c>
      <c r="F2562">
        <v>8.3461999999999995E-2</v>
      </c>
      <c r="G2562">
        <v>3.081893</v>
      </c>
      <c r="H2562">
        <v>0.45403450000000001</v>
      </c>
      <c r="Q2562" s="10">
        <f t="shared" si="98"/>
        <v>2.0535832551881548E-4</v>
      </c>
      <c r="AI2562">
        <v>0.4247456</v>
      </c>
      <c r="AJ2562">
        <f t="shared" si="97"/>
        <v>0.4247456</v>
      </c>
      <c r="AO2562">
        <v>0.4247456</v>
      </c>
      <c r="AR2562" s="8">
        <v>0</v>
      </c>
      <c r="AS2562">
        <v>0.3101082</v>
      </c>
    </row>
    <row r="2563" spans="1:45" x14ac:dyDescent="0.25">
      <c r="A2563">
        <v>451</v>
      </c>
      <c r="B2563">
        <v>2001</v>
      </c>
      <c r="C2563" s="8">
        <v>0</v>
      </c>
      <c r="D2563">
        <v>0.38800220000000002</v>
      </c>
      <c r="E2563">
        <v>0.54539899999999997</v>
      </c>
      <c r="F2563">
        <v>8.4487099999999996E-2</v>
      </c>
      <c r="G2563">
        <v>3.5365769999999999</v>
      </c>
      <c r="H2563">
        <v>0.45055319999999999</v>
      </c>
      <c r="Q2563" s="10">
        <f t="shared" si="98"/>
        <v>1.0020615114612122E-4</v>
      </c>
      <c r="AI2563">
        <v>0.47697919999999999</v>
      </c>
      <c r="AJ2563">
        <f t="shared" si="97"/>
        <v>0.47697919999999999</v>
      </c>
      <c r="AO2563">
        <v>0.47697919999999999</v>
      </c>
      <c r="AR2563" s="8">
        <v>0</v>
      </c>
      <c r="AS2563">
        <v>2.7620100000000001</v>
      </c>
    </row>
    <row r="2564" spans="1:45" x14ac:dyDescent="0.25">
      <c r="A2564">
        <v>451</v>
      </c>
      <c r="B2564">
        <v>2002</v>
      </c>
      <c r="C2564" s="8">
        <v>0</v>
      </c>
      <c r="D2564">
        <v>0.4247456</v>
      </c>
      <c r="E2564">
        <v>0.53319439999999996</v>
      </c>
      <c r="F2564">
        <v>0.1005089</v>
      </c>
      <c r="G2564">
        <v>3.4527649999999999</v>
      </c>
      <c r="H2564">
        <v>0.46999590000000002</v>
      </c>
      <c r="Q2564" s="10">
        <f t="shared" si="98"/>
        <v>1.053879615912719E-4</v>
      </c>
      <c r="AI2564">
        <v>6.6047700000000001E-2</v>
      </c>
      <c r="AJ2564">
        <f t="shared" si="97"/>
        <v>6.6047700000000001E-2</v>
      </c>
      <c r="AO2564">
        <v>6.6047700000000001E-2</v>
      </c>
      <c r="AR2564" s="8">
        <v>0</v>
      </c>
      <c r="AS2564">
        <v>3.081893</v>
      </c>
    </row>
    <row r="2565" spans="1:45" x14ac:dyDescent="0.25">
      <c r="A2565">
        <v>451</v>
      </c>
      <c r="B2565">
        <v>2003</v>
      </c>
      <c r="C2565" s="8">
        <v>0</v>
      </c>
      <c r="D2565">
        <v>0.47697919999999999</v>
      </c>
      <c r="E2565">
        <v>0.53616229999999998</v>
      </c>
      <c r="F2565">
        <v>8.5619600000000004E-2</v>
      </c>
      <c r="G2565">
        <v>4.2940009999999997</v>
      </c>
      <c r="H2565">
        <v>0.474966</v>
      </c>
      <c r="Q2565" s="10">
        <f t="shared" si="98"/>
        <v>3.1710366807791172E-5</v>
      </c>
      <c r="AI2565">
        <v>5.1002499999999999E-2</v>
      </c>
      <c r="AJ2565">
        <f t="shared" ref="AJ2565:AJ2628" si="99">MAX(MIN(AI2565,AM$5),AM$4)</f>
        <v>5.1002499999999999E-2</v>
      </c>
      <c r="AO2565">
        <v>5.1002499999999999E-2</v>
      </c>
      <c r="AR2565" s="8">
        <v>0</v>
      </c>
      <c r="AS2565">
        <v>3.5365769999999999</v>
      </c>
    </row>
    <row r="2566" spans="1:45" x14ac:dyDescent="0.25">
      <c r="A2566">
        <v>452</v>
      </c>
      <c r="B2566">
        <v>2004</v>
      </c>
      <c r="C2566" s="8">
        <v>0</v>
      </c>
      <c r="D2566">
        <v>6.6047700000000001E-2</v>
      </c>
      <c r="E2566">
        <v>0.21462010000000001</v>
      </c>
      <c r="F2566">
        <v>2.7777699999999999E-2</v>
      </c>
      <c r="G2566">
        <v>0.63445110000000005</v>
      </c>
      <c r="H2566">
        <v>0.1479549</v>
      </c>
      <c r="Q2566" s="10">
        <f t="shared" si="98"/>
        <v>1.8528715804653203E-2</v>
      </c>
      <c r="AI2566">
        <v>5.6511899999999997E-2</v>
      </c>
      <c r="AJ2566">
        <f t="shared" si="99"/>
        <v>5.6511899999999997E-2</v>
      </c>
      <c r="AO2566">
        <v>5.6511899999999997E-2</v>
      </c>
      <c r="AR2566" s="8">
        <v>0</v>
      </c>
      <c r="AS2566">
        <v>3.4527649999999999</v>
      </c>
    </row>
    <row r="2567" spans="1:45" x14ac:dyDescent="0.25">
      <c r="A2567">
        <v>453</v>
      </c>
      <c r="B2567">
        <v>1995</v>
      </c>
      <c r="C2567" s="8">
        <v>0</v>
      </c>
      <c r="D2567">
        <v>5.1002499999999999E-2</v>
      </c>
      <c r="E2567">
        <v>0.1417079</v>
      </c>
      <c r="F2567">
        <v>5.6405900000000002E-2</v>
      </c>
      <c r="G2567">
        <v>2.6316069999999998</v>
      </c>
      <c r="H2567">
        <v>0.1701676</v>
      </c>
      <c r="Q2567" s="10">
        <f t="shared" ref="Q2567:Q2630" si="100">1/(1+EXP(-(J$6+SUMPRODUCT(K$6:O$6,D2567:H2567))))</f>
        <v>6.9713165640882034E-4</v>
      </c>
      <c r="AI2567">
        <v>5.1717899999999997E-2</v>
      </c>
      <c r="AJ2567">
        <f t="shared" si="99"/>
        <v>5.1717899999999997E-2</v>
      </c>
      <c r="AO2567">
        <v>5.1717899999999997E-2</v>
      </c>
      <c r="AR2567" s="8">
        <v>0</v>
      </c>
      <c r="AS2567">
        <v>4.2940009999999997</v>
      </c>
    </row>
    <row r="2568" spans="1:45" x14ac:dyDescent="0.25">
      <c r="A2568">
        <v>453</v>
      </c>
      <c r="B2568">
        <v>1996</v>
      </c>
      <c r="C2568" s="8">
        <v>0</v>
      </c>
      <c r="D2568">
        <v>5.6511899999999997E-2</v>
      </c>
      <c r="E2568">
        <v>0.12630720000000001</v>
      </c>
      <c r="F2568">
        <v>5.1754099999999997E-2</v>
      </c>
      <c r="G2568">
        <v>2.2341389999999999</v>
      </c>
      <c r="H2568">
        <v>0.1813284</v>
      </c>
      <c r="Q2568" s="10">
        <f t="shared" si="100"/>
        <v>1.4059521268735206E-3</v>
      </c>
      <c r="AI2568">
        <v>6.6991800000000004E-2</v>
      </c>
      <c r="AJ2568">
        <f t="shared" si="99"/>
        <v>6.6991800000000004E-2</v>
      </c>
      <c r="AO2568">
        <v>6.6991800000000004E-2</v>
      </c>
      <c r="AR2568" s="8">
        <v>0</v>
      </c>
      <c r="AS2568">
        <v>0.63445110000000005</v>
      </c>
    </row>
    <row r="2569" spans="1:45" x14ac:dyDescent="0.25">
      <c r="A2569">
        <v>453</v>
      </c>
      <c r="B2569">
        <v>1997</v>
      </c>
      <c r="C2569" s="8">
        <v>0</v>
      </c>
      <c r="D2569">
        <v>5.1717899999999997E-2</v>
      </c>
      <c r="E2569">
        <v>0.173763</v>
      </c>
      <c r="F2569">
        <v>4.7139100000000003E-2</v>
      </c>
      <c r="G2569">
        <v>1.9273439999999999</v>
      </c>
      <c r="H2569">
        <v>0.18380260000000001</v>
      </c>
      <c r="Q2569" s="10">
        <f t="shared" si="100"/>
        <v>2.217253702550743E-3</v>
      </c>
      <c r="AI2569">
        <v>7.3539E-3</v>
      </c>
      <c r="AJ2569">
        <f t="shared" si="99"/>
        <v>7.3539E-3</v>
      </c>
      <c r="AO2569">
        <v>7.3539E-3</v>
      </c>
      <c r="AR2569" s="8">
        <v>0</v>
      </c>
      <c r="AS2569">
        <v>2.6316069999999998</v>
      </c>
    </row>
    <row r="2570" spans="1:45" x14ac:dyDescent="0.25">
      <c r="A2570">
        <v>453</v>
      </c>
      <c r="B2570">
        <v>1998</v>
      </c>
      <c r="C2570" s="8">
        <v>0</v>
      </c>
      <c r="D2570">
        <v>6.6991800000000004E-2</v>
      </c>
      <c r="E2570">
        <v>9.8084000000000005E-2</v>
      </c>
      <c r="F2570">
        <v>-0.11098379999999999</v>
      </c>
      <c r="G2570">
        <v>1.3805689999999999</v>
      </c>
      <c r="H2570">
        <v>0.1499529</v>
      </c>
      <c r="Q2570" s="10">
        <f t="shared" si="100"/>
        <v>2.0278574895121027E-2</v>
      </c>
      <c r="AI2570">
        <v>-2.5682000000000001E-3</v>
      </c>
      <c r="AJ2570">
        <f t="shared" si="99"/>
        <v>-2.5682000000000001E-3</v>
      </c>
      <c r="AO2570">
        <v>-2.5682000000000001E-3</v>
      </c>
      <c r="AR2570" s="8">
        <v>0</v>
      </c>
      <c r="AS2570">
        <v>2.2341389999999999</v>
      </c>
    </row>
    <row r="2571" spans="1:45" x14ac:dyDescent="0.25">
      <c r="A2571">
        <v>453</v>
      </c>
      <c r="B2571">
        <v>1999</v>
      </c>
      <c r="C2571" s="8">
        <v>0</v>
      </c>
      <c r="D2571">
        <v>7.3539E-3</v>
      </c>
      <c r="E2571">
        <v>0.12075379999999999</v>
      </c>
      <c r="F2571">
        <v>6.9060899999999995E-2</v>
      </c>
      <c r="G2571">
        <v>1.627786</v>
      </c>
      <c r="H2571">
        <v>0.20034099999999999</v>
      </c>
      <c r="Q2571" s="10">
        <f t="shared" si="100"/>
        <v>3.2098866291373892E-3</v>
      </c>
      <c r="AI2571">
        <v>1.7314300000000001E-2</v>
      </c>
      <c r="AJ2571">
        <f t="shared" si="99"/>
        <v>1.7314300000000001E-2</v>
      </c>
      <c r="AO2571">
        <v>1.7314300000000001E-2</v>
      </c>
      <c r="AR2571" s="8">
        <v>0</v>
      </c>
      <c r="AS2571">
        <v>1.9273439999999999</v>
      </c>
    </row>
    <row r="2572" spans="1:45" x14ac:dyDescent="0.25">
      <c r="A2572">
        <v>453</v>
      </c>
      <c r="B2572">
        <v>2000</v>
      </c>
      <c r="C2572" s="8">
        <v>0</v>
      </c>
      <c r="D2572">
        <v>-2.5682000000000001E-3</v>
      </c>
      <c r="E2572">
        <v>0.20209060000000001</v>
      </c>
      <c r="F2572">
        <v>9.4595399999999996E-2</v>
      </c>
      <c r="G2572">
        <v>2.5390920000000001</v>
      </c>
      <c r="H2572">
        <v>0.26456459999999998</v>
      </c>
      <c r="Q2572" s="10">
        <f t="shared" si="100"/>
        <v>5.6541505651217276E-4</v>
      </c>
      <c r="AI2572">
        <v>-1.09537E-2</v>
      </c>
      <c r="AJ2572">
        <f t="shared" si="99"/>
        <v>-1.09537E-2</v>
      </c>
      <c r="AO2572">
        <v>-1.09537E-2</v>
      </c>
      <c r="AR2572" s="8">
        <v>0</v>
      </c>
      <c r="AS2572">
        <v>1.3805689999999999</v>
      </c>
    </row>
    <row r="2573" spans="1:45" x14ac:dyDescent="0.25">
      <c r="A2573">
        <v>453</v>
      </c>
      <c r="B2573">
        <v>2001</v>
      </c>
      <c r="C2573" s="8">
        <v>0</v>
      </c>
      <c r="D2573">
        <v>1.7314300000000001E-2</v>
      </c>
      <c r="E2573">
        <v>0.2097888</v>
      </c>
      <c r="F2573">
        <v>2.93945E-2</v>
      </c>
      <c r="G2573">
        <v>1.3983220000000001</v>
      </c>
      <c r="H2573">
        <v>0.14989340000000001</v>
      </c>
      <c r="Q2573" s="10">
        <f t="shared" si="100"/>
        <v>5.421573659047137E-3</v>
      </c>
      <c r="AI2573">
        <v>-3.1887899999999997E-2</v>
      </c>
      <c r="AJ2573">
        <f t="shared" si="99"/>
        <v>-3.1887899999999997E-2</v>
      </c>
      <c r="AO2573">
        <v>-3.1887899999999997E-2</v>
      </c>
      <c r="AR2573" s="8">
        <v>0</v>
      </c>
      <c r="AS2573">
        <v>1.627786</v>
      </c>
    </row>
    <row r="2574" spans="1:45" x14ac:dyDescent="0.25">
      <c r="A2574">
        <v>453</v>
      </c>
      <c r="B2574">
        <v>2002</v>
      </c>
      <c r="C2574" s="8">
        <v>0</v>
      </c>
      <c r="D2574">
        <v>-1.09537E-2</v>
      </c>
      <c r="E2574">
        <v>0.1882788</v>
      </c>
      <c r="F2574">
        <v>4.0099799999999998E-2</v>
      </c>
      <c r="G2574">
        <v>1.2833920000000001</v>
      </c>
      <c r="H2574">
        <v>9.8600599999999997E-2</v>
      </c>
      <c r="Q2574" s="10">
        <f t="shared" si="100"/>
        <v>5.9014473825723746E-3</v>
      </c>
      <c r="AI2574">
        <v>4.7141799999999998E-2</v>
      </c>
      <c r="AJ2574">
        <f t="shared" si="99"/>
        <v>4.7141799999999998E-2</v>
      </c>
      <c r="AO2574">
        <v>4.7141799999999998E-2</v>
      </c>
      <c r="AR2574" s="8">
        <v>0</v>
      </c>
      <c r="AS2574">
        <v>2.5390920000000001</v>
      </c>
    </row>
    <row r="2575" spans="1:45" x14ac:dyDescent="0.25">
      <c r="A2575">
        <v>453</v>
      </c>
      <c r="B2575">
        <v>2003</v>
      </c>
      <c r="C2575" s="8">
        <v>0</v>
      </c>
      <c r="D2575">
        <v>-3.1887899999999997E-2</v>
      </c>
      <c r="E2575">
        <v>0.20197560000000001</v>
      </c>
      <c r="F2575">
        <v>5.0789800000000003E-2</v>
      </c>
      <c r="G2575">
        <v>1.4633080000000001</v>
      </c>
      <c r="H2575">
        <v>0.1069354</v>
      </c>
      <c r="Q2575" s="10">
        <f t="shared" si="100"/>
        <v>3.9807872683748115E-3</v>
      </c>
      <c r="AI2575">
        <v>9.6722299999999997E-2</v>
      </c>
      <c r="AJ2575">
        <f t="shared" si="99"/>
        <v>9.6722299999999997E-2</v>
      </c>
      <c r="AO2575">
        <v>9.6722299999999997E-2</v>
      </c>
      <c r="AR2575" s="8">
        <v>0</v>
      </c>
      <c r="AS2575">
        <v>1.3983220000000001</v>
      </c>
    </row>
    <row r="2576" spans="1:45" x14ac:dyDescent="0.25">
      <c r="A2576">
        <v>453</v>
      </c>
      <c r="B2576">
        <v>2004</v>
      </c>
      <c r="C2576" s="8">
        <v>0</v>
      </c>
      <c r="D2576">
        <v>4.7141799999999998E-2</v>
      </c>
      <c r="E2576">
        <v>0.27009420000000001</v>
      </c>
      <c r="F2576">
        <v>6.7621200000000006E-2</v>
      </c>
      <c r="G2576">
        <v>1.8715189999999999</v>
      </c>
      <c r="H2576">
        <v>0.1266477</v>
      </c>
      <c r="Q2576" s="10">
        <f t="shared" si="100"/>
        <v>1.723754485190589E-3</v>
      </c>
      <c r="AI2576">
        <v>0.1122153</v>
      </c>
      <c r="AJ2576">
        <f t="shared" si="99"/>
        <v>0.1122153</v>
      </c>
      <c r="AO2576">
        <v>0.1122153</v>
      </c>
      <c r="AR2576" s="8">
        <v>0</v>
      </c>
      <c r="AS2576">
        <v>1.2833920000000001</v>
      </c>
    </row>
    <row r="2577" spans="1:45" x14ac:dyDescent="0.25">
      <c r="A2577">
        <v>454</v>
      </c>
      <c r="B2577">
        <v>2001</v>
      </c>
      <c r="C2577" s="8">
        <v>0</v>
      </c>
      <c r="D2577">
        <v>9.6722299999999997E-2</v>
      </c>
      <c r="E2577">
        <v>0.11591070000000001</v>
      </c>
      <c r="F2577">
        <v>3.8040299999999999E-2</v>
      </c>
      <c r="G2577">
        <v>0.46323140000000002</v>
      </c>
      <c r="H2577">
        <v>0.13871700000000001</v>
      </c>
      <c r="Q2577" s="10">
        <f t="shared" si="100"/>
        <v>2.5870133116661431E-2</v>
      </c>
      <c r="AI2577">
        <v>0.15705820000000001</v>
      </c>
      <c r="AJ2577">
        <f t="shared" si="99"/>
        <v>0.15705820000000001</v>
      </c>
      <c r="AO2577">
        <v>0.15705820000000001</v>
      </c>
      <c r="AR2577" s="8">
        <v>0</v>
      </c>
      <c r="AS2577">
        <v>1.4633080000000001</v>
      </c>
    </row>
    <row r="2578" spans="1:45" x14ac:dyDescent="0.25">
      <c r="A2578">
        <v>454</v>
      </c>
      <c r="B2578">
        <v>2002</v>
      </c>
      <c r="C2578" s="8">
        <v>0</v>
      </c>
      <c r="D2578">
        <v>0.1122153</v>
      </c>
      <c r="E2578">
        <v>4.8098200000000001E-2</v>
      </c>
      <c r="F2578">
        <v>2.94951E-2</v>
      </c>
      <c r="G2578">
        <v>0.42154370000000002</v>
      </c>
      <c r="H2578">
        <v>0.13258880000000001</v>
      </c>
      <c r="Q2578" s="10">
        <f t="shared" si="100"/>
        <v>3.2532399510776612E-2</v>
      </c>
      <c r="AI2578">
        <v>0.18718170000000001</v>
      </c>
      <c r="AJ2578">
        <f t="shared" si="99"/>
        <v>0.18718170000000001</v>
      </c>
      <c r="AO2578">
        <v>0.18718170000000001</v>
      </c>
      <c r="AR2578" s="8">
        <v>0</v>
      </c>
      <c r="AS2578">
        <v>1.8715189999999999</v>
      </c>
    </row>
    <row r="2579" spans="1:45" x14ac:dyDescent="0.25">
      <c r="A2579">
        <v>454</v>
      </c>
      <c r="B2579">
        <v>2003</v>
      </c>
      <c r="C2579" s="8">
        <v>0</v>
      </c>
      <c r="D2579">
        <v>0.15705820000000001</v>
      </c>
      <c r="E2579">
        <v>6.5080100000000002E-2</v>
      </c>
      <c r="F2579">
        <v>6.3731099999999999E-2</v>
      </c>
      <c r="G2579">
        <v>0.85065950000000001</v>
      </c>
      <c r="H2579">
        <v>0.1883494</v>
      </c>
      <c r="Q2579" s="10">
        <f t="shared" si="100"/>
        <v>1.310343161452336E-2</v>
      </c>
      <c r="AI2579">
        <v>0.31429230000000002</v>
      </c>
      <c r="AJ2579">
        <f t="shared" si="99"/>
        <v>0.31429230000000002</v>
      </c>
      <c r="AO2579">
        <v>0.31429230000000002</v>
      </c>
      <c r="AR2579" s="8">
        <v>0</v>
      </c>
      <c r="AS2579">
        <v>0.46323140000000002</v>
      </c>
    </row>
    <row r="2580" spans="1:45" x14ac:dyDescent="0.25">
      <c r="A2580">
        <v>454</v>
      </c>
      <c r="B2580">
        <v>2004</v>
      </c>
      <c r="C2580" s="8">
        <v>0</v>
      </c>
      <c r="D2580">
        <v>0.18718170000000001</v>
      </c>
      <c r="E2580">
        <v>9.5041600000000004E-2</v>
      </c>
      <c r="F2580">
        <v>5.86618E-2</v>
      </c>
      <c r="G2580">
        <v>0.84168670000000001</v>
      </c>
      <c r="H2580">
        <v>0.23394899999999999</v>
      </c>
      <c r="Q2580" s="10">
        <f t="shared" si="100"/>
        <v>1.3793543849006039E-2</v>
      </c>
      <c r="AI2580">
        <v>0.32671460000000002</v>
      </c>
      <c r="AJ2580">
        <f t="shared" si="99"/>
        <v>0.32671460000000002</v>
      </c>
      <c r="AO2580">
        <v>0.32671460000000002</v>
      </c>
      <c r="AR2580" s="8">
        <v>0</v>
      </c>
      <c r="AS2580">
        <v>0.42154370000000002</v>
      </c>
    </row>
    <row r="2581" spans="1:45" x14ac:dyDescent="0.25">
      <c r="A2581">
        <v>455</v>
      </c>
      <c r="B2581">
        <v>1995</v>
      </c>
      <c r="C2581" s="8">
        <v>0</v>
      </c>
      <c r="D2581">
        <v>0.31429230000000002</v>
      </c>
      <c r="E2581">
        <v>0.49705159999999998</v>
      </c>
      <c r="F2581">
        <v>6.1180400000000003E-2</v>
      </c>
      <c r="G2581">
        <v>2.452048</v>
      </c>
      <c r="H2581">
        <v>0.50442739999999997</v>
      </c>
      <c r="Q2581" s="10">
        <f t="shared" si="100"/>
        <v>7.3104091005095416E-4</v>
      </c>
      <c r="AI2581">
        <v>0.25874740000000002</v>
      </c>
      <c r="AJ2581">
        <f t="shared" si="99"/>
        <v>0.25874740000000002</v>
      </c>
      <c r="AO2581">
        <v>0.25874740000000002</v>
      </c>
      <c r="AR2581" s="8">
        <v>0</v>
      </c>
      <c r="AS2581">
        <v>0.85065950000000001</v>
      </c>
    </row>
    <row r="2582" spans="1:45" x14ac:dyDescent="0.25">
      <c r="A2582">
        <v>455</v>
      </c>
      <c r="B2582">
        <v>1996</v>
      </c>
      <c r="C2582" s="8">
        <v>0</v>
      </c>
      <c r="D2582">
        <v>0.32671460000000002</v>
      </c>
      <c r="E2582">
        <v>0.50517990000000002</v>
      </c>
      <c r="F2582">
        <v>6.92387E-2</v>
      </c>
      <c r="G2582">
        <v>2.43065</v>
      </c>
      <c r="H2582">
        <v>0.53675320000000004</v>
      </c>
      <c r="Q2582" s="10">
        <f t="shared" si="100"/>
        <v>7.1872918547135332E-4</v>
      </c>
      <c r="AI2582">
        <v>0.31634699999999999</v>
      </c>
      <c r="AJ2582">
        <f t="shared" si="99"/>
        <v>0.31634699999999999</v>
      </c>
      <c r="AO2582">
        <v>0.31634699999999999</v>
      </c>
      <c r="AR2582" s="8">
        <v>0</v>
      </c>
      <c r="AS2582">
        <v>0.84168670000000001</v>
      </c>
    </row>
    <row r="2583" spans="1:45" x14ac:dyDescent="0.25">
      <c r="A2583">
        <v>455</v>
      </c>
      <c r="B2583">
        <v>1997</v>
      </c>
      <c r="C2583" s="8">
        <v>0</v>
      </c>
      <c r="D2583">
        <v>0.25874740000000002</v>
      </c>
      <c r="E2583">
        <v>0.45941680000000001</v>
      </c>
      <c r="F2583">
        <v>7.2032399999999996E-2</v>
      </c>
      <c r="G2583">
        <v>2.8350759999999999</v>
      </c>
      <c r="H2583">
        <v>0.54536720000000005</v>
      </c>
      <c r="Q2583" s="10">
        <f t="shared" si="100"/>
        <v>3.8555877394438485E-4</v>
      </c>
      <c r="AI2583">
        <v>0.26324350000000002</v>
      </c>
      <c r="AJ2583">
        <f t="shared" si="99"/>
        <v>0.26324350000000002</v>
      </c>
      <c r="AO2583">
        <v>0.26324350000000002</v>
      </c>
      <c r="AR2583" s="8">
        <v>0</v>
      </c>
      <c r="AS2583">
        <v>2.452048</v>
      </c>
    </row>
    <row r="2584" spans="1:45" x14ac:dyDescent="0.25">
      <c r="A2584">
        <v>455</v>
      </c>
      <c r="B2584">
        <v>1998</v>
      </c>
      <c r="C2584" s="8">
        <v>0</v>
      </c>
      <c r="D2584">
        <v>0.31634699999999999</v>
      </c>
      <c r="E2584">
        <v>0.38112390000000002</v>
      </c>
      <c r="F2584">
        <v>6.4574400000000004E-2</v>
      </c>
      <c r="G2584">
        <v>3.3152020000000002</v>
      </c>
      <c r="H2584">
        <v>0.49392970000000003</v>
      </c>
      <c r="Q2584" s="10">
        <f t="shared" si="100"/>
        <v>2.1171267621525696E-4</v>
      </c>
      <c r="AI2584">
        <v>0.27473760000000003</v>
      </c>
      <c r="AJ2584">
        <f t="shared" si="99"/>
        <v>0.27473760000000003</v>
      </c>
      <c r="AO2584">
        <v>0.27473760000000003</v>
      </c>
      <c r="AR2584" s="8">
        <v>0</v>
      </c>
      <c r="AS2584">
        <v>2.43065</v>
      </c>
    </row>
    <row r="2585" spans="1:45" x14ac:dyDescent="0.25">
      <c r="A2585">
        <v>455</v>
      </c>
      <c r="B2585">
        <v>1999</v>
      </c>
      <c r="C2585" s="8">
        <v>0</v>
      </c>
      <c r="D2585">
        <v>0.26324350000000002</v>
      </c>
      <c r="E2585">
        <v>0.33175280000000001</v>
      </c>
      <c r="F2585">
        <v>7.3122199999999998E-2</v>
      </c>
      <c r="G2585">
        <v>1.6146149999999999</v>
      </c>
      <c r="H2585">
        <v>0.5561545</v>
      </c>
      <c r="Q2585" s="10">
        <f t="shared" si="100"/>
        <v>3.2363913487635531E-3</v>
      </c>
      <c r="AI2585">
        <v>0.30325360000000001</v>
      </c>
      <c r="AJ2585">
        <f t="shared" si="99"/>
        <v>0.30325360000000001</v>
      </c>
      <c r="AO2585">
        <v>0.30325360000000001</v>
      </c>
      <c r="AR2585" s="8">
        <v>0</v>
      </c>
      <c r="AS2585">
        <v>2.8350759999999999</v>
      </c>
    </row>
    <row r="2586" spans="1:45" x14ac:dyDescent="0.25">
      <c r="A2586">
        <v>455</v>
      </c>
      <c r="B2586">
        <v>2000</v>
      </c>
      <c r="C2586" s="8">
        <v>0</v>
      </c>
      <c r="D2586">
        <v>0.27473760000000003</v>
      </c>
      <c r="E2586">
        <v>0.28228019999999998</v>
      </c>
      <c r="F2586">
        <v>5.6971500000000001E-2</v>
      </c>
      <c r="G2586">
        <v>1.1822710000000001</v>
      </c>
      <c r="H2586">
        <v>0.50183449999999996</v>
      </c>
      <c r="Q2586" s="10">
        <f t="shared" si="100"/>
        <v>7.6236333087522741E-3</v>
      </c>
      <c r="AI2586">
        <v>0.3326887</v>
      </c>
      <c r="AJ2586">
        <f t="shared" si="99"/>
        <v>0.3326887</v>
      </c>
      <c r="AO2586">
        <v>0.3326887</v>
      </c>
      <c r="AR2586" s="8">
        <v>0</v>
      </c>
      <c r="AS2586">
        <v>3.3152020000000002</v>
      </c>
    </row>
    <row r="2587" spans="1:45" x14ac:dyDescent="0.25">
      <c r="A2587">
        <v>455</v>
      </c>
      <c r="B2587">
        <v>2001</v>
      </c>
      <c r="C2587" s="8">
        <v>0</v>
      </c>
      <c r="D2587">
        <v>0.30325360000000001</v>
      </c>
      <c r="E2587">
        <v>0.279669</v>
      </c>
      <c r="F2587">
        <v>5.00706E-2</v>
      </c>
      <c r="G2587">
        <v>1.284181</v>
      </c>
      <c r="H2587">
        <v>0.45370240000000001</v>
      </c>
      <c r="Q2587" s="10">
        <f t="shared" si="100"/>
        <v>6.757870090870908E-3</v>
      </c>
      <c r="AI2587">
        <v>0.34789360000000003</v>
      </c>
      <c r="AJ2587">
        <f t="shared" si="99"/>
        <v>0.34789360000000003</v>
      </c>
      <c r="AO2587">
        <v>0.34789360000000003</v>
      </c>
      <c r="AR2587" s="8">
        <v>0</v>
      </c>
      <c r="AS2587">
        <v>1.6146149999999999</v>
      </c>
    </row>
    <row r="2588" spans="1:45" x14ac:dyDescent="0.25">
      <c r="A2588">
        <v>455</v>
      </c>
      <c r="B2588">
        <v>2002</v>
      </c>
      <c r="C2588" s="8">
        <v>0</v>
      </c>
      <c r="D2588">
        <v>0.3326887</v>
      </c>
      <c r="E2588">
        <v>0.29877049999999999</v>
      </c>
      <c r="F2588">
        <v>5.4125699999999999E-2</v>
      </c>
      <c r="G2588">
        <v>0.92456360000000004</v>
      </c>
      <c r="H2588">
        <v>0.46927020000000003</v>
      </c>
      <c r="Q2588" s="10">
        <f t="shared" si="100"/>
        <v>1.148061785235086E-2</v>
      </c>
      <c r="AI2588">
        <v>0.31263210000000002</v>
      </c>
      <c r="AJ2588">
        <f t="shared" si="99"/>
        <v>0.31263210000000002</v>
      </c>
      <c r="AO2588">
        <v>0.31263210000000002</v>
      </c>
      <c r="AR2588" s="8">
        <v>0</v>
      </c>
      <c r="AS2588">
        <v>1.1822710000000001</v>
      </c>
    </row>
    <row r="2589" spans="1:45" x14ac:dyDescent="0.25">
      <c r="A2589">
        <v>455</v>
      </c>
      <c r="B2589">
        <v>2003</v>
      </c>
      <c r="C2589" s="8">
        <v>0</v>
      </c>
      <c r="D2589">
        <v>0.34789360000000003</v>
      </c>
      <c r="E2589">
        <v>0.30379220000000001</v>
      </c>
      <c r="F2589">
        <v>6.8793099999999996E-2</v>
      </c>
      <c r="G2589">
        <v>1.9529000000000001</v>
      </c>
      <c r="H2589">
        <v>0.47491850000000002</v>
      </c>
      <c r="Q2589" s="10">
        <f t="shared" si="100"/>
        <v>2.0069606391782918E-3</v>
      </c>
      <c r="AI2589">
        <v>4.80195E-2</v>
      </c>
      <c r="AJ2589">
        <f t="shared" si="99"/>
        <v>4.80195E-2</v>
      </c>
      <c r="AO2589">
        <v>4.80195E-2</v>
      </c>
      <c r="AR2589" s="8">
        <v>0</v>
      </c>
      <c r="AS2589">
        <v>1.284181</v>
      </c>
    </row>
    <row r="2590" spans="1:45" x14ac:dyDescent="0.25">
      <c r="A2590">
        <v>455</v>
      </c>
      <c r="B2590">
        <v>2004</v>
      </c>
      <c r="C2590" s="8">
        <v>0</v>
      </c>
      <c r="D2590">
        <v>0.31263210000000002</v>
      </c>
      <c r="E2590">
        <v>0.29270119999999999</v>
      </c>
      <c r="F2590">
        <v>8.2152699999999995E-2</v>
      </c>
      <c r="G2590">
        <v>2.4319959999999998</v>
      </c>
      <c r="H2590">
        <v>0.49180679999999999</v>
      </c>
      <c r="Q2590" s="10">
        <f t="shared" si="100"/>
        <v>8.5164117267256655E-4</v>
      </c>
      <c r="AI2590">
        <v>4.1266400000000002E-2</v>
      </c>
      <c r="AJ2590">
        <f t="shared" si="99"/>
        <v>4.1266400000000002E-2</v>
      </c>
      <c r="AO2590">
        <v>4.1266400000000002E-2</v>
      </c>
      <c r="AR2590" s="8">
        <v>0</v>
      </c>
      <c r="AS2590">
        <v>0.92456360000000004</v>
      </c>
    </row>
    <row r="2591" spans="1:45" x14ac:dyDescent="0.25">
      <c r="A2591">
        <v>456</v>
      </c>
      <c r="B2591">
        <v>1995</v>
      </c>
      <c r="C2591" s="8">
        <v>0</v>
      </c>
      <c r="D2591">
        <v>4.80195E-2</v>
      </c>
      <c r="E2591">
        <v>0.42072530000000002</v>
      </c>
      <c r="F2591">
        <v>6.4604700000000001E-2</v>
      </c>
      <c r="G2591">
        <v>1.7069479999999999</v>
      </c>
      <c r="H2591">
        <v>0.1465138</v>
      </c>
      <c r="Q2591" s="10">
        <f t="shared" si="100"/>
        <v>1.8671329819345873E-3</v>
      </c>
      <c r="AI2591">
        <v>3.7264100000000001E-2</v>
      </c>
      <c r="AJ2591">
        <f t="shared" si="99"/>
        <v>3.7264100000000001E-2</v>
      </c>
      <c r="AO2591">
        <v>3.7264100000000001E-2</v>
      </c>
      <c r="AR2591" s="8">
        <v>0</v>
      </c>
      <c r="AS2591">
        <v>1.9529000000000001</v>
      </c>
    </row>
    <row r="2592" spans="1:45" x14ac:dyDescent="0.25">
      <c r="A2592">
        <v>456</v>
      </c>
      <c r="B2592">
        <v>1997</v>
      </c>
      <c r="C2592" s="8">
        <v>0</v>
      </c>
      <c r="D2592">
        <v>4.1266400000000002E-2</v>
      </c>
      <c r="E2592">
        <v>0.3017553</v>
      </c>
      <c r="F2592">
        <v>6.1184799999999998E-2</v>
      </c>
      <c r="G2592">
        <v>1.002194</v>
      </c>
      <c r="H2592">
        <v>9.96504E-2</v>
      </c>
      <c r="Q2592" s="10">
        <f t="shared" si="100"/>
        <v>6.7603973130297779E-3</v>
      </c>
      <c r="AI2592">
        <v>1.9719999999999998E-3</v>
      </c>
      <c r="AJ2592">
        <f t="shared" si="99"/>
        <v>1.9719999999999998E-3</v>
      </c>
      <c r="AO2592">
        <v>1.9719999999999998E-3</v>
      </c>
      <c r="AR2592" s="8">
        <v>0</v>
      </c>
      <c r="AS2592">
        <v>2.4319959999999998</v>
      </c>
    </row>
    <row r="2593" spans="1:45" x14ac:dyDescent="0.25">
      <c r="A2593">
        <v>456</v>
      </c>
      <c r="B2593">
        <v>1998</v>
      </c>
      <c r="C2593" s="8">
        <v>0</v>
      </c>
      <c r="D2593">
        <v>3.7264100000000001E-2</v>
      </c>
      <c r="E2593">
        <v>0.31050559999999999</v>
      </c>
      <c r="F2593">
        <v>5.0507900000000001E-2</v>
      </c>
      <c r="G2593">
        <v>1.0063</v>
      </c>
      <c r="H2593">
        <v>8.6196800000000004E-2</v>
      </c>
      <c r="Q2593" s="10">
        <f t="shared" si="100"/>
        <v>7.1480105522616242E-3</v>
      </c>
      <c r="AI2593">
        <v>-2.6356000000000001E-2</v>
      </c>
      <c r="AJ2593">
        <f t="shared" si="99"/>
        <v>-2.6356000000000001E-2</v>
      </c>
      <c r="AO2593">
        <v>-2.6356000000000001E-2</v>
      </c>
      <c r="AR2593" s="8">
        <v>0</v>
      </c>
      <c r="AS2593">
        <v>1.7069479999999999</v>
      </c>
    </row>
    <row r="2594" spans="1:45" x14ac:dyDescent="0.25">
      <c r="A2594">
        <v>456</v>
      </c>
      <c r="B2594">
        <v>1999</v>
      </c>
      <c r="C2594" s="8">
        <v>0</v>
      </c>
      <c r="D2594">
        <v>1.9719999999999998E-3</v>
      </c>
      <c r="E2594">
        <v>0.30781999999999998</v>
      </c>
      <c r="F2594">
        <v>3.2110300000000001E-2</v>
      </c>
      <c r="G2594">
        <v>0.62740169999999995</v>
      </c>
      <c r="H2594">
        <v>9.7783400000000006E-2</v>
      </c>
      <c r="Q2594" s="10">
        <f t="shared" si="100"/>
        <v>1.4974579934584347E-2</v>
      </c>
      <c r="AI2594">
        <v>-4.26944E-2</v>
      </c>
      <c r="AJ2594">
        <f t="shared" si="99"/>
        <v>-4.26944E-2</v>
      </c>
      <c r="AO2594">
        <v>-4.26944E-2</v>
      </c>
      <c r="AR2594" s="8">
        <v>0</v>
      </c>
      <c r="AS2594">
        <v>1.002194</v>
      </c>
    </row>
    <row r="2595" spans="1:45" x14ac:dyDescent="0.25">
      <c r="A2595">
        <v>456</v>
      </c>
      <c r="B2595">
        <v>2000</v>
      </c>
      <c r="C2595" s="8">
        <v>0</v>
      </c>
      <c r="D2595">
        <v>-2.6356000000000001E-2</v>
      </c>
      <c r="E2595">
        <v>0.30792429999999998</v>
      </c>
      <c r="F2595">
        <v>3.9312600000000003E-2</v>
      </c>
      <c r="G2595">
        <v>0.42296990000000001</v>
      </c>
      <c r="H2595">
        <v>0.10719480000000001</v>
      </c>
      <c r="Q2595" s="10">
        <f t="shared" si="100"/>
        <v>1.9375089844937458E-2</v>
      </c>
      <c r="AI2595">
        <v>-2.0462000000000002E-3</v>
      </c>
      <c r="AJ2595">
        <f t="shared" si="99"/>
        <v>-2.0462000000000002E-3</v>
      </c>
      <c r="AO2595">
        <v>-2.0462000000000002E-3</v>
      </c>
      <c r="AR2595" s="8">
        <v>0</v>
      </c>
      <c r="AS2595">
        <v>1.0063</v>
      </c>
    </row>
    <row r="2596" spans="1:45" x14ac:dyDescent="0.25">
      <c r="A2596">
        <v>456</v>
      </c>
      <c r="B2596">
        <v>2001</v>
      </c>
      <c r="C2596" s="8">
        <v>0</v>
      </c>
      <c r="D2596">
        <v>-4.26944E-2</v>
      </c>
      <c r="E2596">
        <v>0.30817549999999999</v>
      </c>
      <c r="F2596">
        <v>4.4765100000000002E-2</v>
      </c>
      <c r="G2596">
        <v>0.56638080000000002</v>
      </c>
      <c r="H2596">
        <v>0.1097451</v>
      </c>
      <c r="Q2596" s="10">
        <f t="shared" si="100"/>
        <v>1.4746244554775318E-2</v>
      </c>
      <c r="AI2596">
        <v>1.03205E-2</v>
      </c>
      <c r="AJ2596">
        <f t="shared" si="99"/>
        <v>1.03205E-2</v>
      </c>
      <c r="AO2596">
        <v>1.03205E-2</v>
      </c>
      <c r="AR2596" s="8">
        <v>0</v>
      </c>
      <c r="AS2596">
        <v>0.62740169999999995</v>
      </c>
    </row>
    <row r="2597" spans="1:45" x14ac:dyDescent="0.25">
      <c r="A2597">
        <v>456</v>
      </c>
      <c r="B2597">
        <v>2002</v>
      </c>
      <c r="C2597" s="8">
        <v>0</v>
      </c>
      <c r="D2597">
        <v>-2.0462000000000002E-3</v>
      </c>
      <c r="E2597">
        <v>0.30745899999999998</v>
      </c>
      <c r="F2597">
        <v>4.4430200000000003E-2</v>
      </c>
      <c r="G2597">
        <v>0.60209860000000004</v>
      </c>
      <c r="H2597">
        <v>0.1210817</v>
      </c>
      <c r="Q2597" s="10">
        <f t="shared" si="100"/>
        <v>1.432613741514208E-2</v>
      </c>
      <c r="AI2597">
        <v>2.5882100000000002E-2</v>
      </c>
      <c r="AJ2597">
        <f t="shared" si="99"/>
        <v>2.5882100000000002E-2</v>
      </c>
      <c r="AO2597">
        <v>2.5882100000000002E-2</v>
      </c>
      <c r="AR2597" s="8">
        <v>0</v>
      </c>
      <c r="AS2597">
        <v>0.42296990000000001</v>
      </c>
    </row>
    <row r="2598" spans="1:45" x14ac:dyDescent="0.25">
      <c r="A2598">
        <v>456</v>
      </c>
      <c r="B2598">
        <v>2003</v>
      </c>
      <c r="C2598" s="8">
        <v>0</v>
      </c>
      <c r="D2598">
        <v>1.03205E-2</v>
      </c>
      <c r="E2598">
        <v>0.33655960000000001</v>
      </c>
      <c r="F2598">
        <v>4.5101000000000002E-2</v>
      </c>
      <c r="G2598">
        <v>0.7049185</v>
      </c>
      <c r="H2598">
        <v>0.1193467</v>
      </c>
      <c r="Q2598" s="10">
        <f t="shared" si="100"/>
        <v>1.1673148741366175E-2</v>
      </c>
      <c r="AI2598">
        <v>0.28048820000000002</v>
      </c>
      <c r="AJ2598">
        <f t="shared" si="99"/>
        <v>0.28048820000000002</v>
      </c>
      <c r="AO2598">
        <v>0.28048820000000002</v>
      </c>
      <c r="AR2598" s="8">
        <v>0</v>
      </c>
      <c r="AS2598">
        <v>0.56638080000000002</v>
      </c>
    </row>
    <row r="2599" spans="1:45" x14ac:dyDescent="0.25">
      <c r="A2599">
        <v>456</v>
      </c>
      <c r="B2599">
        <v>2004</v>
      </c>
      <c r="C2599" s="8">
        <v>0</v>
      </c>
      <c r="D2599">
        <v>2.5882100000000002E-2</v>
      </c>
      <c r="E2599">
        <v>0.31988840000000002</v>
      </c>
      <c r="F2599">
        <v>4.6434200000000002E-2</v>
      </c>
      <c r="G2599">
        <v>0.87979929999999995</v>
      </c>
      <c r="H2599">
        <v>0.10331</v>
      </c>
      <c r="Q2599" s="10">
        <f t="shared" si="100"/>
        <v>8.948106189209418E-3</v>
      </c>
      <c r="AI2599">
        <v>0.29574719999999999</v>
      </c>
      <c r="AJ2599">
        <f t="shared" si="99"/>
        <v>0.29574719999999999</v>
      </c>
      <c r="AO2599">
        <v>0.29574719999999999</v>
      </c>
      <c r="AR2599" s="8">
        <v>0</v>
      </c>
      <c r="AS2599">
        <v>0.60209860000000004</v>
      </c>
    </row>
    <row r="2600" spans="1:45" x14ac:dyDescent="0.25">
      <c r="A2600">
        <v>457</v>
      </c>
      <c r="B2600">
        <v>1995</v>
      </c>
      <c r="C2600" s="8">
        <v>0</v>
      </c>
      <c r="D2600">
        <v>0.28048820000000002</v>
      </c>
      <c r="E2600">
        <v>5.3118199999999997E-2</v>
      </c>
      <c r="F2600">
        <v>5.2703100000000003E-2</v>
      </c>
      <c r="G2600">
        <v>0.33614959999999999</v>
      </c>
      <c r="H2600">
        <v>0.36807210000000001</v>
      </c>
      <c r="Q2600" s="10">
        <f t="shared" si="100"/>
        <v>3.7919302043918281E-2</v>
      </c>
      <c r="AI2600">
        <v>0.33598800000000001</v>
      </c>
      <c r="AJ2600">
        <f t="shared" si="99"/>
        <v>0.33598800000000001</v>
      </c>
      <c r="AO2600">
        <v>0.33598800000000001</v>
      </c>
      <c r="AR2600" s="8">
        <v>0</v>
      </c>
      <c r="AS2600">
        <v>0.7049185</v>
      </c>
    </row>
    <row r="2601" spans="1:45" x14ac:dyDescent="0.25">
      <c r="A2601">
        <v>457</v>
      </c>
      <c r="B2601">
        <v>1997</v>
      </c>
      <c r="C2601" s="8">
        <v>0</v>
      </c>
      <c r="D2601">
        <v>0.29574719999999999</v>
      </c>
      <c r="E2601">
        <v>7.7399499999999996E-2</v>
      </c>
      <c r="F2601">
        <v>4.51948E-2</v>
      </c>
      <c r="G2601">
        <v>0.23485519999999999</v>
      </c>
      <c r="H2601">
        <v>0.36080570000000001</v>
      </c>
      <c r="Q2601" s="10">
        <f t="shared" si="100"/>
        <v>4.5405995638821556E-2</v>
      </c>
      <c r="AI2601">
        <v>0.30977359999999998</v>
      </c>
      <c r="AJ2601">
        <f t="shared" si="99"/>
        <v>0.30977359999999998</v>
      </c>
      <c r="AO2601">
        <v>0.30977359999999998</v>
      </c>
      <c r="AR2601" s="8">
        <v>0</v>
      </c>
      <c r="AS2601">
        <v>0.87979929999999995</v>
      </c>
    </row>
    <row r="2602" spans="1:45" x14ac:dyDescent="0.25">
      <c r="A2602">
        <v>458</v>
      </c>
      <c r="B2602">
        <v>1996</v>
      </c>
      <c r="C2602" s="8">
        <v>0</v>
      </c>
      <c r="D2602">
        <v>0.33598800000000001</v>
      </c>
      <c r="E2602">
        <v>-0.23771030000000001</v>
      </c>
      <c r="F2602">
        <v>5.0487400000000002E-2</v>
      </c>
      <c r="G2602">
        <v>2.6449739999999999</v>
      </c>
      <c r="H2602">
        <v>0.36782939999999997</v>
      </c>
      <c r="Q2602" s="10">
        <f t="shared" si="100"/>
        <v>1.5787770733633657E-3</v>
      </c>
      <c r="AI2602">
        <v>0.2136025</v>
      </c>
      <c r="AJ2602">
        <f t="shared" si="99"/>
        <v>0.2136025</v>
      </c>
      <c r="AO2602">
        <v>0.2136025</v>
      </c>
      <c r="AR2602" s="8">
        <v>0</v>
      </c>
      <c r="AS2602">
        <v>0.33614959999999999</v>
      </c>
    </row>
    <row r="2603" spans="1:45" x14ac:dyDescent="0.25">
      <c r="A2603">
        <v>458</v>
      </c>
      <c r="B2603">
        <v>1997</v>
      </c>
      <c r="C2603" s="8">
        <v>0</v>
      </c>
      <c r="D2603">
        <v>0.30977359999999998</v>
      </c>
      <c r="E2603">
        <v>-0.25673679999999999</v>
      </c>
      <c r="F2603">
        <v>3.4948000000000002E-3</v>
      </c>
      <c r="G2603">
        <v>0.82114980000000004</v>
      </c>
      <c r="H2603">
        <v>0.30280899999999999</v>
      </c>
      <c r="Q2603" s="10">
        <f t="shared" si="100"/>
        <v>3.9517768172913817E-2</v>
      </c>
      <c r="AI2603">
        <v>0.2024803</v>
      </c>
      <c r="AJ2603">
        <f t="shared" si="99"/>
        <v>0.2024803</v>
      </c>
      <c r="AO2603">
        <v>0.2024803</v>
      </c>
      <c r="AR2603" s="8">
        <v>0</v>
      </c>
      <c r="AS2603">
        <v>0.23485519999999999</v>
      </c>
    </row>
    <row r="2604" spans="1:45" x14ac:dyDescent="0.25">
      <c r="A2604">
        <v>458</v>
      </c>
      <c r="B2604">
        <v>1998</v>
      </c>
      <c r="C2604" s="8">
        <v>0</v>
      </c>
      <c r="D2604">
        <v>0.2136025</v>
      </c>
      <c r="E2604">
        <v>-0.37053829999999999</v>
      </c>
      <c r="F2604">
        <v>2.9567400000000001E-2</v>
      </c>
      <c r="G2604">
        <v>0.60274119999999998</v>
      </c>
      <c r="H2604">
        <v>0.31211100000000003</v>
      </c>
      <c r="Q2604" s="10">
        <f t="shared" si="100"/>
        <v>5.1183167708190688E-2</v>
      </c>
      <c r="AI2604">
        <v>0.2081404</v>
      </c>
      <c r="AJ2604">
        <f t="shared" si="99"/>
        <v>0.2081404</v>
      </c>
      <c r="AO2604">
        <v>0.2081404</v>
      </c>
      <c r="AR2604" s="8">
        <v>0</v>
      </c>
      <c r="AS2604">
        <v>2.6449739999999999</v>
      </c>
    </row>
    <row r="2605" spans="1:45" x14ac:dyDescent="0.25">
      <c r="A2605">
        <v>458</v>
      </c>
      <c r="B2605">
        <v>1999</v>
      </c>
      <c r="C2605" s="8">
        <v>0</v>
      </c>
      <c r="D2605">
        <v>0.2024803</v>
      </c>
      <c r="E2605">
        <v>-0.35690329999999998</v>
      </c>
      <c r="F2605">
        <v>3.7426399999999999E-2</v>
      </c>
      <c r="G2605">
        <v>1.069423</v>
      </c>
      <c r="H2605">
        <v>0.319303</v>
      </c>
      <c r="Q2605" s="10">
        <f t="shared" si="100"/>
        <v>2.3059485009510182E-2</v>
      </c>
      <c r="AI2605">
        <v>0.50266500000000003</v>
      </c>
      <c r="AJ2605">
        <f t="shared" si="99"/>
        <v>0.50266500000000003</v>
      </c>
      <c r="AO2605">
        <v>0.50266500000000003</v>
      </c>
      <c r="AR2605" s="8">
        <v>0</v>
      </c>
      <c r="AS2605">
        <v>0.82114980000000004</v>
      </c>
    </row>
    <row r="2606" spans="1:45" x14ac:dyDescent="0.25">
      <c r="A2606">
        <v>458</v>
      </c>
      <c r="B2606">
        <v>2000</v>
      </c>
      <c r="C2606" s="8">
        <v>0</v>
      </c>
      <c r="D2606">
        <v>0.2081404</v>
      </c>
      <c r="E2606">
        <v>-0.32949830000000002</v>
      </c>
      <c r="F2606">
        <v>3.9883200000000001E-2</v>
      </c>
      <c r="G2606">
        <v>1.2218290000000001</v>
      </c>
      <c r="H2606">
        <v>0.32041150000000002</v>
      </c>
      <c r="Q2606" s="10">
        <f t="shared" si="100"/>
        <v>1.7196742908122918E-2</v>
      </c>
      <c r="AI2606">
        <v>-4.4067099999999998E-2</v>
      </c>
      <c r="AJ2606">
        <f t="shared" si="99"/>
        <v>-4.4067099999999998E-2</v>
      </c>
      <c r="AO2606">
        <v>-4.4067099999999998E-2</v>
      </c>
      <c r="AR2606" s="8">
        <v>0</v>
      </c>
      <c r="AS2606">
        <v>0.60274119999999998</v>
      </c>
    </row>
    <row r="2607" spans="1:45" x14ac:dyDescent="0.25">
      <c r="A2607">
        <v>458</v>
      </c>
      <c r="B2607">
        <v>2001</v>
      </c>
      <c r="C2607" s="8">
        <v>0</v>
      </c>
      <c r="D2607">
        <v>0.50266500000000003</v>
      </c>
      <c r="E2607">
        <v>0.1100718</v>
      </c>
      <c r="F2607">
        <v>4.8390299999999997E-2</v>
      </c>
      <c r="G2607">
        <v>3.2275689999999999</v>
      </c>
      <c r="H2607">
        <v>0.2114066</v>
      </c>
      <c r="Q2607" s="10">
        <f t="shared" si="100"/>
        <v>3.7256710651950613E-4</v>
      </c>
      <c r="AI2607">
        <v>2.3157500000000001E-2</v>
      </c>
      <c r="AJ2607">
        <f t="shared" si="99"/>
        <v>2.3157500000000001E-2</v>
      </c>
      <c r="AO2607">
        <v>2.3157500000000001E-2</v>
      </c>
      <c r="AR2607" s="8">
        <v>0</v>
      </c>
      <c r="AS2607">
        <v>1.069423</v>
      </c>
    </row>
    <row r="2608" spans="1:45" x14ac:dyDescent="0.25">
      <c r="A2608">
        <v>459</v>
      </c>
      <c r="B2608">
        <v>1995</v>
      </c>
      <c r="C2608" s="8">
        <v>1</v>
      </c>
      <c r="D2608">
        <v>-4.4067099999999998E-2</v>
      </c>
      <c r="E2608">
        <v>-0.25792500000000002</v>
      </c>
      <c r="F2608">
        <v>5.03978E-2</v>
      </c>
      <c r="G2608">
        <v>0.30961729999999998</v>
      </c>
      <c r="H2608">
        <v>0.17560439999999999</v>
      </c>
      <c r="Q2608" s="10">
        <f t="shared" si="100"/>
        <v>4.8594828420585552E-2</v>
      </c>
      <c r="AI2608">
        <v>9.9755E-3</v>
      </c>
      <c r="AJ2608">
        <f t="shared" si="99"/>
        <v>9.9755E-3</v>
      </c>
      <c r="AO2608">
        <v>9.9755E-3</v>
      </c>
      <c r="AR2608" s="8">
        <v>0</v>
      </c>
      <c r="AS2608">
        <v>1.2218290000000001</v>
      </c>
    </row>
    <row r="2609" spans="1:45" x14ac:dyDescent="0.25">
      <c r="A2609">
        <v>460</v>
      </c>
      <c r="B2609">
        <v>1995</v>
      </c>
      <c r="C2609" s="8">
        <v>0</v>
      </c>
      <c r="D2609">
        <v>2.3157500000000001E-2</v>
      </c>
      <c r="E2609">
        <v>0.12608079999999999</v>
      </c>
      <c r="F2609">
        <v>6.1205099999999998E-2</v>
      </c>
      <c r="G2609">
        <v>0.42947380000000002</v>
      </c>
      <c r="H2609">
        <v>0.12390619999999999</v>
      </c>
      <c r="Q2609" s="10">
        <f t="shared" si="100"/>
        <v>2.1575038003644874E-2</v>
      </c>
      <c r="AI2609">
        <v>7.7464999999999999E-3</v>
      </c>
      <c r="AJ2609">
        <f t="shared" si="99"/>
        <v>7.7464999999999999E-3</v>
      </c>
      <c r="AO2609">
        <v>7.7464999999999999E-3</v>
      </c>
      <c r="AR2609" s="8">
        <v>0</v>
      </c>
      <c r="AS2609">
        <v>3.2275689999999999</v>
      </c>
    </row>
    <row r="2610" spans="1:45" x14ac:dyDescent="0.25">
      <c r="A2610">
        <v>460</v>
      </c>
      <c r="B2610">
        <v>1996</v>
      </c>
      <c r="C2610" s="8">
        <v>0</v>
      </c>
      <c r="D2610">
        <v>9.9755E-3</v>
      </c>
      <c r="E2610">
        <v>0.1161832</v>
      </c>
      <c r="F2610">
        <v>3.1430600000000003E-2</v>
      </c>
      <c r="G2610">
        <v>0.24628559999999999</v>
      </c>
      <c r="H2610">
        <v>0.1210233</v>
      </c>
      <c r="Q2610" s="10">
        <f t="shared" si="100"/>
        <v>3.6362776615678133E-2</v>
      </c>
      <c r="AI2610">
        <v>1.47064E-2</v>
      </c>
      <c r="AJ2610">
        <f t="shared" si="99"/>
        <v>1.47064E-2</v>
      </c>
      <c r="AO2610">
        <v>1.47064E-2</v>
      </c>
      <c r="AR2610" s="8">
        <v>1</v>
      </c>
      <c r="AS2610">
        <v>0.30961729999999998</v>
      </c>
    </row>
    <row r="2611" spans="1:45" x14ac:dyDescent="0.25">
      <c r="A2611">
        <v>460</v>
      </c>
      <c r="B2611">
        <v>1997</v>
      </c>
      <c r="C2611" s="8">
        <v>0</v>
      </c>
      <c r="D2611">
        <v>7.7464999999999999E-3</v>
      </c>
      <c r="E2611">
        <v>9.7737900000000003E-2</v>
      </c>
      <c r="F2611">
        <v>3.1436600000000002E-2</v>
      </c>
      <c r="G2611">
        <v>0.22952800000000001</v>
      </c>
      <c r="H2611">
        <v>0.1184125</v>
      </c>
      <c r="Q2611" s="10">
        <f t="shared" si="100"/>
        <v>3.819032955073863E-2</v>
      </c>
      <c r="AI2611">
        <v>-2.3732900000000001E-2</v>
      </c>
      <c r="AJ2611">
        <f t="shared" si="99"/>
        <v>-2.3732900000000001E-2</v>
      </c>
      <c r="AO2611">
        <v>-2.3732900000000001E-2</v>
      </c>
      <c r="AR2611" s="8">
        <v>0</v>
      </c>
      <c r="AS2611">
        <v>0.42947380000000002</v>
      </c>
    </row>
    <row r="2612" spans="1:45" x14ac:dyDescent="0.25">
      <c r="A2612">
        <v>460</v>
      </c>
      <c r="B2612">
        <v>1998</v>
      </c>
      <c r="C2612" s="8">
        <v>0</v>
      </c>
      <c r="D2612">
        <v>1.47064E-2</v>
      </c>
      <c r="E2612">
        <v>7.9379199999999997E-2</v>
      </c>
      <c r="F2612">
        <v>3.9423699999999999E-2</v>
      </c>
      <c r="G2612">
        <v>0.29907450000000002</v>
      </c>
      <c r="H2612">
        <v>0.1247496</v>
      </c>
      <c r="Q2612" s="10">
        <f t="shared" si="100"/>
        <v>3.3328458205964716E-2</v>
      </c>
      <c r="AI2612">
        <v>-0.1041908</v>
      </c>
      <c r="AJ2612">
        <f t="shared" si="99"/>
        <v>-0.1041908</v>
      </c>
      <c r="AO2612">
        <v>-0.1041908</v>
      </c>
      <c r="AR2612" s="8">
        <v>0</v>
      </c>
      <c r="AS2612">
        <v>0.24628559999999999</v>
      </c>
    </row>
    <row r="2613" spans="1:45" x14ac:dyDescent="0.25">
      <c r="A2613">
        <v>460</v>
      </c>
      <c r="B2613">
        <v>1999</v>
      </c>
      <c r="C2613" s="8">
        <v>0</v>
      </c>
      <c r="D2613">
        <v>-2.3732900000000001E-2</v>
      </c>
      <c r="E2613">
        <v>9.9453700000000006E-2</v>
      </c>
      <c r="F2613">
        <v>4.3780800000000002E-2</v>
      </c>
      <c r="G2613">
        <v>0.39842499999999997</v>
      </c>
      <c r="H2613">
        <v>0.16221340000000001</v>
      </c>
      <c r="Q2613" s="10">
        <f t="shared" si="100"/>
        <v>2.70531795570235E-2</v>
      </c>
      <c r="AI2613">
        <v>2.427E-2</v>
      </c>
      <c r="AJ2613">
        <f t="shared" si="99"/>
        <v>2.427E-2</v>
      </c>
      <c r="AO2613">
        <v>2.427E-2</v>
      </c>
      <c r="AR2613" s="8">
        <v>0</v>
      </c>
      <c r="AS2613">
        <v>0.22952800000000001</v>
      </c>
    </row>
    <row r="2614" spans="1:45" x14ac:dyDescent="0.25">
      <c r="A2614">
        <v>460</v>
      </c>
      <c r="B2614">
        <v>2000</v>
      </c>
      <c r="C2614" s="8">
        <v>0</v>
      </c>
      <c r="D2614">
        <v>-0.1041908</v>
      </c>
      <c r="E2614">
        <v>7.2909699999999994E-2</v>
      </c>
      <c r="F2614">
        <v>5.1640600000000002E-2</v>
      </c>
      <c r="G2614">
        <v>0.48425299999999999</v>
      </c>
      <c r="H2614">
        <v>0.1804133</v>
      </c>
      <c r="Q2614" s="10">
        <f t="shared" si="100"/>
        <v>2.2628917067452646E-2</v>
      </c>
      <c r="AI2614">
        <v>4.7185600000000001E-2</v>
      </c>
      <c r="AJ2614">
        <f t="shared" si="99"/>
        <v>4.7185600000000001E-2</v>
      </c>
      <c r="AO2614">
        <v>4.7185600000000001E-2</v>
      </c>
      <c r="AR2614" s="8">
        <v>0</v>
      </c>
      <c r="AS2614">
        <v>0.29907450000000002</v>
      </c>
    </row>
    <row r="2615" spans="1:45" x14ac:dyDescent="0.25">
      <c r="A2615">
        <v>460</v>
      </c>
      <c r="B2615">
        <v>2001</v>
      </c>
      <c r="C2615" s="8">
        <v>0</v>
      </c>
      <c r="D2615">
        <v>2.427E-2</v>
      </c>
      <c r="E2615">
        <v>8.2949700000000001E-2</v>
      </c>
      <c r="F2615">
        <v>4.1299000000000002E-2</v>
      </c>
      <c r="G2615">
        <v>0.32309650000000001</v>
      </c>
      <c r="H2615">
        <v>0.15789010000000001</v>
      </c>
      <c r="Q2615" s="10">
        <f t="shared" si="100"/>
        <v>3.225112441081255E-2</v>
      </c>
      <c r="AI2615">
        <v>5.6000000000000001E-2</v>
      </c>
      <c r="AJ2615">
        <f t="shared" si="99"/>
        <v>5.6000000000000001E-2</v>
      </c>
      <c r="AO2615">
        <v>5.6000000000000001E-2</v>
      </c>
      <c r="AR2615" s="8">
        <v>0</v>
      </c>
      <c r="AS2615">
        <v>0.39842499999999997</v>
      </c>
    </row>
    <row r="2616" spans="1:45" x14ac:dyDescent="0.25">
      <c r="A2616">
        <v>460</v>
      </c>
      <c r="B2616">
        <v>2002</v>
      </c>
      <c r="C2616" s="8">
        <v>0</v>
      </c>
      <c r="D2616">
        <v>4.7185600000000001E-2</v>
      </c>
      <c r="E2616">
        <v>0.1201318</v>
      </c>
      <c r="F2616">
        <v>4.6927499999999997E-2</v>
      </c>
      <c r="G2616">
        <v>0.28577370000000002</v>
      </c>
      <c r="H2616">
        <v>0.1645886</v>
      </c>
      <c r="Q2616" s="10">
        <f t="shared" si="100"/>
        <v>3.1450604487000662E-2</v>
      </c>
      <c r="AI2616">
        <v>3.6098400000000003E-2</v>
      </c>
      <c r="AJ2616">
        <f t="shared" si="99"/>
        <v>3.6098400000000003E-2</v>
      </c>
      <c r="AO2616">
        <v>3.6098400000000003E-2</v>
      </c>
      <c r="AR2616" s="8">
        <v>0</v>
      </c>
      <c r="AS2616">
        <v>0.48425299999999999</v>
      </c>
    </row>
    <row r="2617" spans="1:45" x14ac:dyDescent="0.25">
      <c r="A2617">
        <v>460</v>
      </c>
      <c r="B2617">
        <v>2003</v>
      </c>
      <c r="C2617" s="8">
        <v>0</v>
      </c>
      <c r="D2617">
        <v>5.6000000000000001E-2</v>
      </c>
      <c r="E2617">
        <v>0.1043299</v>
      </c>
      <c r="F2617">
        <v>3.3343299999999999E-2</v>
      </c>
      <c r="G2617">
        <v>0.32903500000000002</v>
      </c>
      <c r="H2617">
        <v>0.15446589999999999</v>
      </c>
      <c r="Q2617" s="10">
        <f t="shared" si="100"/>
        <v>3.3333014126620264E-2</v>
      </c>
      <c r="AI2617">
        <v>-7.3064599999999993E-2</v>
      </c>
      <c r="AJ2617">
        <f t="shared" si="99"/>
        <v>-7.3064599999999993E-2</v>
      </c>
      <c r="AO2617">
        <v>-7.3064599999999993E-2</v>
      </c>
      <c r="AR2617" s="8">
        <v>0</v>
      </c>
      <c r="AS2617">
        <v>0.32309650000000001</v>
      </c>
    </row>
    <row r="2618" spans="1:45" x14ac:dyDescent="0.25">
      <c r="A2618">
        <v>460</v>
      </c>
      <c r="B2618">
        <v>2004</v>
      </c>
      <c r="C2618" s="8">
        <v>0</v>
      </c>
      <c r="D2618">
        <v>3.6098400000000003E-2</v>
      </c>
      <c r="E2618">
        <v>0.1020982</v>
      </c>
      <c r="F2618">
        <v>4.9940100000000001E-2</v>
      </c>
      <c r="G2618">
        <v>0.28940909999999997</v>
      </c>
      <c r="H2618">
        <v>0.18824750000000001</v>
      </c>
      <c r="Q2618" s="10">
        <f t="shared" si="100"/>
        <v>3.1646062317419323E-2</v>
      </c>
      <c r="AI2618">
        <v>-8.2842899999999997E-2</v>
      </c>
      <c r="AJ2618">
        <f t="shared" si="99"/>
        <v>-8.2842899999999997E-2</v>
      </c>
      <c r="AO2618">
        <v>-8.2842899999999997E-2</v>
      </c>
      <c r="AR2618" s="8">
        <v>0</v>
      </c>
      <c r="AS2618">
        <v>0.28577370000000002</v>
      </c>
    </row>
    <row r="2619" spans="1:45" x14ac:dyDescent="0.25">
      <c r="A2619">
        <v>461</v>
      </c>
      <c r="B2619">
        <v>1999</v>
      </c>
      <c r="C2619" s="8">
        <v>0</v>
      </c>
      <c r="D2619">
        <v>-7.3064599999999993E-2</v>
      </c>
      <c r="E2619">
        <v>0.13478190000000001</v>
      </c>
      <c r="F2619">
        <v>4.3366000000000002E-2</v>
      </c>
      <c r="G2619">
        <v>0.44584570000000001</v>
      </c>
      <c r="H2619">
        <v>0.14862130000000001</v>
      </c>
      <c r="Q2619" s="10">
        <f t="shared" si="100"/>
        <v>2.3316298539773316E-2</v>
      </c>
      <c r="AI2619">
        <v>-8.6544599999999999E-2</v>
      </c>
      <c r="AJ2619">
        <f t="shared" si="99"/>
        <v>-8.6544599999999999E-2</v>
      </c>
      <c r="AO2619">
        <v>-8.6544599999999999E-2</v>
      </c>
      <c r="AR2619" s="8">
        <v>0</v>
      </c>
      <c r="AS2619">
        <v>0.32903500000000002</v>
      </c>
    </row>
    <row r="2620" spans="1:45" x14ac:dyDescent="0.25">
      <c r="A2620">
        <v>461</v>
      </c>
      <c r="B2620">
        <v>2000</v>
      </c>
      <c r="C2620" s="8">
        <v>0</v>
      </c>
      <c r="D2620">
        <v>-8.2842899999999997E-2</v>
      </c>
      <c r="E2620">
        <v>6.2715400000000004E-2</v>
      </c>
      <c r="F2620">
        <v>3.3337199999999997E-2</v>
      </c>
      <c r="G2620">
        <v>0.42322470000000001</v>
      </c>
      <c r="H2620">
        <v>0.1741163</v>
      </c>
      <c r="Q2620" s="10">
        <f t="shared" si="100"/>
        <v>2.9249509254232083E-2</v>
      </c>
      <c r="AI2620">
        <v>-0.1114052</v>
      </c>
      <c r="AJ2620">
        <f t="shared" si="99"/>
        <v>-0.1114052</v>
      </c>
      <c r="AO2620">
        <v>-0.1114052</v>
      </c>
      <c r="AR2620" s="8">
        <v>0</v>
      </c>
      <c r="AS2620">
        <v>0.28940909999999997</v>
      </c>
    </row>
    <row r="2621" spans="1:45" x14ac:dyDescent="0.25">
      <c r="A2621">
        <v>461</v>
      </c>
      <c r="B2621">
        <v>2001</v>
      </c>
      <c r="C2621" s="8">
        <v>0</v>
      </c>
      <c r="D2621">
        <v>-8.6544599999999999E-2</v>
      </c>
      <c r="E2621">
        <v>8.5035600000000003E-2</v>
      </c>
      <c r="F2621">
        <v>5.0113699999999997E-2</v>
      </c>
      <c r="G2621">
        <v>0.38127939999999999</v>
      </c>
      <c r="H2621">
        <v>0.14493039999999999</v>
      </c>
      <c r="Q2621" s="10">
        <f t="shared" si="100"/>
        <v>2.6042592180455501E-2</v>
      </c>
      <c r="AI2621">
        <v>-1.6239E-3</v>
      </c>
      <c r="AJ2621">
        <f t="shared" si="99"/>
        <v>-1.6239E-3</v>
      </c>
      <c r="AO2621">
        <v>-1.6239E-3</v>
      </c>
      <c r="AR2621" s="8">
        <v>0</v>
      </c>
      <c r="AS2621">
        <v>0.44584570000000001</v>
      </c>
    </row>
    <row r="2622" spans="1:45" x14ac:dyDescent="0.25">
      <c r="A2622">
        <v>461</v>
      </c>
      <c r="B2622">
        <v>2002</v>
      </c>
      <c r="C2622" s="8">
        <v>0</v>
      </c>
      <c r="D2622">
        <v>-0.1114052</v>
      </c>
      <c r="E2622">
        <v>6.9658300000000006E-2</v>
      </c>
      <c r="F2622">
        <v>4.8197299999999998E-2</v>
      </c>
      <c r="G2622">
        <v>0.47049299999999999</v>
      </c>
      <c r="H2622">
        <v>0.12432310000000001</v>
      </c>
      <c r="Q2622" s="10">
        <f t="shared" si="100"/>
        <v>2.2995582535129983E-2</v>
      </c>
      <c r="AI2622">
        <v>-5.6448900000000003E-2</v>
      </c>
      <c r="AJ2622">
        <f t="shared" si="99"/>
        <v>-5.6448900000000003E-2</v>
      </c>
      <c r="AO2622">
        <v>-5.6448900000000003E-2</v>
      </c>
      <c r="AR2622" s="8">
        <v>0</v>
      </c>
      <c r="AS2622">
        <v>0.42322470000000001</v>
      </c>
    </row>
    <row r="2623" spans="1:45" x14ac:dyDescent="0.25">
      <c r="A2623">
        <v>461</v>
      </c>
      <c r="B2623">
        <v>2003</v>
      </c>
      <c r="C2623" s="8">
        <v>0</v>
      </c>
      <c r="D2623">
        <v>-1.6239E-3</v>
      </c>
      <c r="E2623">
        <v>7.7733300000000005E-2</v>
      </c>
      <c r="F2623">
        <v>4.49132E-2</v>
      </c>
      <c r="G2623">
        <v>0.53450640000000005</v>
      </c>
      <c r="H2623">
        <v>0.1320133</v>
      </c>
      <c r="Q2623" s="10">
        <f t="shared" si="100"/>
        <v>2.2173954028212282E-2</v>
      </c>
      <c r="AI2623">
        <v>-3.6909200000000003E-2</v>
      </c>
      <c r="AJ2623">
        <f t="shared" si="99"/>
        <v>-3.6909200000000003E-2</v>
      </c>
      <c r="AO2623">
        <v>-3.6909200000000003E-2</v>
      </c>
      <c r="AR2623" s="8">
        <v>0</v>
      </c>
      <c r="AS2623">
        <v>0.38127939999999999</v>
      </c>
    </row>
    <row r="2624" spans="1:45" x14ac:dyDescent="0.25">
      <c r="A2624">
        <v>461</v>
      </c>
      <c r="B2624">
        <v>2004</v>
      </c>
      <c r="C2624" s="8">
        <v>0</v>
      </c>
      <c r="D2624">
        <v>-5.6448900000000003E-2</v>
      </c>
      <c r="E2624">
        <v>7.6405100000000004E-2</v>
      </c>
      <c r="F2624">
        <v>6.1131900000000003E-2</v>
      </c>
      <c r="G2624">
        <v>0.52773460000000005</v>
      </c>
      <c r="H2624">
        <v>0.1616679</v>
      </c>
      <c r="Q2624" s="10">
        <f t="shared" si="100"/>
        <v>1.9689832584401917E-2</v>
      </c>
      <c r="AI2624">
        <v>-4.8681599999999998E-2</v>
      </c>
      <c r="AJ2624">
        <f t="shared" si="99"/>
        <v>-4.8681599999999998E-2</v>
      </c>
      <c r="AO2624">
        <v>-4.8681599999999998E-2</v>
      </c>
      <c r="AR2624" s="8">
        <v>0</v>
      </c>
      <c r="AS2624">
        <v>0.47049299999999999</v>
      </c>
    </row>
    <row r="2625" spans="1:45" x14ac:dyDescent="0.25">
      <c r="A2625">
        <v>462</v>
      </c>
      <c r="B2625">
        <v>2000</v>
      </c>
      <c r="C2625" s="8">
        <v>0</v>
      </c>
      <c r="D2625">
        <v>-3.6909200000000003E-2</v>
      </c>
      <c r="E2625">
        <v>0.13483410000000001</v>
      </c>
      <c r="F2625">
        <v>4.07205E-2</v>
      </c>
      <c r="G2625">
        <v>0.636131</v>
      </c>
      <c r="H2625">
        <v>0.20361580000000001</v>
      </c>
      <c r="Q2625" s="10">
        <f t="shared" si="100"/>
        <v>1.8558429895810455E-2</v>
      </c>
      <c r="AI2625">
        <v>-0.29682550000000002</v>
      </c>
      <c r="AJ2625">
        <f t="shared" si="99"/>
        <v>-0.113345184</v>
      </c>
      <c r="AO2625">
        <v>-0.113345184</v>
      </c>
      <c r="AR2625" s="8">
        <v>0</v>
      </c>
      <c r="AS2625">
        <v>0.53450640000000005</v>
      </c>
    </row>
    <row r="2626" spans="1:45" x14ac:dyDescent="0.25">
      <c r="A2626">
        <v>462</v>
      </c>
      <c r="B2626">
        <v>2001</v>
      </c>
      <c r="C2626" s="8">
        <v>0</v>
      </c>
      <c r="D2626">
        <v>-4.8681599999999998E-2</v>
      </c>
      <c r="E2626">
        <v>0.1096583</v>
      </c>
      <c r="F2626">
        <v>4.2596000000000002E-2</v>
      </c>
      <c r="G2626">
        <v>0.4562001</v>
      </c>
      <c r="H2626">
        <v>0.1023183</v>
      </c>
      <c r="Q2626" s="10">
        <f t="shared" si="100"/>
        <v>2.3489954113491029E-2</v>
      </c>
      <c r="AI2626">
        <v>5.3957499999999999E-2</v>
      </c>
      <c r="AJ2626">
        <f t="shared" si="99"/>
        <v>5.3957499999999999E-2</v>
      </c>
      <c r="AO2626">
        <v>5.3957499999999999E-2</v>
      </c>
      <c r="AR2626" s="8">
        <v>0</v>
      </c>
      <c r="AS2626">
        <v>0.52773460000000005</v>
      </c>
    </row>
    <row r="2627" spans="1:45" x14ac:dyDescent="0.25">
      <c r="A2627">
        <v>462</v>
      </c>
      <c r="B2627">
        <v>2002</v>
      </c>
      <c r="C2627" s="8">
        <v>0</v>
      </c>
      <c r="D2627">
        <v>-0.29682550000000002</v>
      </c>
      <c r="E2627">
        <v>2.5428800000000001E-2</v>
      </c>
      <c r="F2627">
        <v>3.1231399999999999E-2</v>
      </c>
      <c r="G2627">
        <v>0.23725060000000001</v>
      </c>
      <c r="H2627">
        <v>0.1038138</v>
      </c>
      <c r="Q2627" s="10">
        <f t="shared" si="100"/>
        <v>3.6720070468176894E-2</v>
      </c>
      <c r="AI2627">
        <v>2.9545399999999999E-2</v>
      </c>
      <c r="AJ2627">
        <f t="shared" si="99"/>
        <v>2.9545399999999999E-2</v>
      </c>
      <c r="AO2627">
        <v>2.9545399999999999E-2</v>
      </c>
      <c r="AR2627" s="8">
        <v>0</v>
      </c>
      <c r="AS2627">
        <v>0.636131</v>
      </c>
    </row>
    <row r="2628" spans="1:45" x14ac:dyDescent="0.25">
      <c r="A2628">
        <v>462</v>
      </c>
      <c r="B2628">
        <v>2003</v>
      </c>
      <c r="C2628" s="8">
        <v>0</v>
      </c>
      <c r="D2628">
        <v>5.3957499999999999E-2</v>
      </c>
      <c r="E2628">
        <v>3.6774599999999998E-2</v>
      </c>
      <c r="F2628">
        <v>4.2874500000000003E-2</v>
      </c>
      <c r="G2628">
        <v>0.4889174</v>
      </c>
      <c r="H2628">
        <v>0.1256428</v>
      </c>
      <c r="Q2628" s="10">
        <f t="shared" si="100"/>
        <v>2.6114172263872013E-2</v>
      </c>
      <c r="AI2628">
        <v>9.7838599999999998E-2</v>
      </c>
      <c r="AJ2628">
        <f t="shared" si="99"/>
        <v>9.7838599999999998E-2</v>
      </c>
      <c r="AO2628">
        <v>9.7838599999999998E-2</v>
      </c>
      <c r="AR2628" s="8">
        <v>0</v>
      </c>
      <c r="AS2628">
        <v>0.4562001</v>
      </c>
    </row>
    <row r="2629" spans="1:45" x14ac:dyDescent="0.25">
      <c r="A2629">
        <v>462</v>
      </c>
      <c r="B2629">
        <v>2004</v>
      </c>
      <c r="C2629" s="8">
        <v>0</v>
      </c>
      <c r="D2629">
        <v>2.9545399999999999E-2</v>
      </c>
      <c r="E2629">
        <v>5.6256E-2</v>
      </c>
      <c r="F2629">
        <v>3.6356699999999999E-2</v>
      </c>
      <c r="G2629">
        <v>0.52731450000000002</v>
      </c>
      <c r="H2629">
        <v>0.1378105</v>
      </c>
      <c r="Q2629" s="10">
        <f t="shared" si="100"/>
        <v>2.5117036894492475E-2</v>
      </c>
      <c r="AI2629">
        <v>3.1183800000000001E-2</v>
      </c>
      <c r="AJ2629">
        <f t="shared" ref="AJ2629:AJ2692" si="101">MAX(MIN(AI2629,AM$5),AM$4)</f>
        <v>3.1183800000000001E-2</v>
      </c>
      <c r="AO2629">
        <v>3.1183800000000001E-2</v>
      </c>
      <c r="AR2629" s="8">
        <v>0</v>
      </c>
      <c r="AS2629">
        <v>0.23725060000000001</v>
      </c>
    </row>
    <row r="2630" spans="1:45" x14ac:dyDescent="0.25">
      <c r="A2630">
        <v>463</v>
      </c>
      <c r="B2630">
        <v>1995</v>
      </c>
      <c r="C2630" s="8">
        <v>0</v>
      </c>
      <c r="D2630">
        <v>9.7838599999999998E-2</v>
      </c>
      <c r="E2630">
        <v>0.25053399999999998</v>
      </c>
      <c r="F2630">
        <v>5.5086999999999997E-2</v>
      </c>
      <c r="G2630">
        <v>0.81967880000000004</v>
      </c>
      <c r="H2630">
        <v>0.35610619999999998</v>
      </c>
      <c r="Q2630" s="10">
        <f t="shared" si="100"/>
        <v>1.2207677291543796E-2</v>
      </c>
      <c r="AI2630">
        <v>4.7902899999999998E-2</v>
      </c>
      <c r="AJ2630">
        <f t="shared" si="101"/>
        <v>4.7902899999999998E-2</v>
      </c>
      <c r="AO2630">
        <v>4.7902899999999998E-2</v>
      </c>
      <c r="AR2630" s="8">
        <v>0</v>
      </c>
      <c r="AS2630">
        <v>0.4889174</v>
      </c>
    </row>
    <row r="2631" spans="1:45" x14ac:dyDescent="0.25">
      <c r="A2631">
        <v>463</v>
      </c>
      <c r="B2631">
        <v>1996</v>
      </c>
      <c r="C2631" s="8">
        <v>0</v>
      </c>
      <c r="D2631">
        <v>3.1183800000000001E-2</v>
      </c>
      <c r="E2631">
        <v>0.16933110000000001</v>
      </c>
      <c r="F2631">
        <v>5.3587200000000001E-2</v>
      </c>
      <c r="G2631">
        <v>0.68796610000000002</v>
      </c>
      <c r="H2631">
        <v>0.28659089999999998</v>
      </c>
      <c r="Q2631" s="10">
        <f t="shared" ref="Q2631:Q2694" si="102">1/(1+EXP(-(J$6+SUMPRODUCT(K$6:O$6,D2631:H2631))))</f>
        <v>1.5919787351276766E-2</v>
      </c>
      <c r="AI2631">
        <v>0.1045879</v>
      </c>
      <c r="AJ2631">
        <f t="shared" si="101"/>
        <v>0.1045879</v>
      </c>
      <c r="AO2631">
        <v>0.1045879</v>
      </c>
      <c r="AR2631" s="8">
        <v>0</v>
      </c>
      <c r="AS2631">
        <v>0.52731450000000002</v>
      </c>
    </row>
    <row r="2632" spans="1:45" x14ac:dyDescent="0.25">
      <c r="A2632">
        <v>463</v>
      </c>
      <c r="B2632">
        <v>1997</v>
      </c>
      <c r="C2632" s="8">
        <v>0</v>
      </c>
      <c r="D2632">
        <v>4.7902899999999998E-2</v>
      </c>
      <c r="E2632">
        <v>0.21172779999999999</v>
      </c>
      <c r="F2632">
        <v>6.08111E-2</v>
      </c>
      <c r="G2632">
        <v>1.1299360000000001</v>
      </c>
      <c r="H2632">
        <v>0.29454639999999999</v>
      </c>
      <c r="Q2632" s="10">
        <f t="shared" si="102"/>
        <v>7.1317816605210383E-3</v>
      </c>
      <c r="AI2632">
        <v>7.0150699999999996E-2</v>
      </c>
      <c r="AJ2632">
        <f t="shared" si="101"/>
        <v>7.0150699999999996E-2</v>
      </c>
      <c r="AO2632">
        <v>7.0150699999999996E-2</v>
      </c>
      <c r="AR2632" s="8">
        <v>0</v>
      </c>
      <c r="AS2632">
        <v>0.81967880000000004</v>
      </c>
    </row>
    <row r="2633" spans="1:45" x14ac:dyDescent="0.25">
      <c r="A2633">
        <v>463</v>
      </c>
      <c r="B2633">
        <v>1998</v>
      </c>
      <c r="C2633" s="8">
        <v>0</v>
      </c>
      <c r="D2633">
        <v>0.1045879</v>
      </c>
      <c r="E2633">
        <v>0.23037489999999999</v>
      </c>
      <c r="F2633">
        <v>5.2080500000000002E-2</v>
      </c>
      <c r="G2633">
        <v>0.78326609999999997</v>
      </c>
      <c r="H2633">
        <v>0.31630999999999998</v>
      </c>
      <c r="Q2633" s="10">
        <f t="shared" si="102"/>
        <v>1.3335701328921137E-2</v>
      </c>
      <c r="AI2633">
        <v>1.68022E-2</v>
      </c>
      <c r="AJ2633">
        <f t="shared" si="101"/>
        <v>1.68022E-2</v>
      </c>
      <c r="AO2633">
        <v>1.68022E-2</v>
      </c>
      <c r="AR2633" s="8">
        <v>0</v>
      </c>
      <c r="AS2633">
        <v>0.68796610000000002</v>
      </c>
    </row>
    <row r="2634" spans="1:45" x14ac:dyDescent="0.25">
      <c r="A2634">
        <v>463</v>
      </c>
      <c r="B2634">
        <v>1999</v>
      </c>
      <c r="C2634" s="8">
        <v>0</v>
      </c>
      <c r="D2634">
        <v>7.0150699999999996E-2</v>
      </c>
      <c r="E2634">
        <v>0.26247510000000002</v>
      </c>
      <c r="F2634">
        <v>5.3447799999999997E-2</v>
      </c>
      <c r="G2634">
        <v>0.66837219999999997</v>
      </c>
      <c r="H2634">
        <v>0.25583669999999997</v>
      </c>
      <c r="Q2634" s="10">
        <f t="shared" si="102"/>
        <v>1.4341543229540546E-2</v>
      </c>
      <c r="AI2634">
        <v>-5.6705000000000002E-3</v>
      </c>
      <c r="AJ2634">
        <f t="shared" si="101"/>
        <v>-5.6705000000000002E-3</v>
      </c>
      <c r="AO2634">
        <v>-5.6705000000000002E-3</v>
      </c>
      <c r="AR2634" s="8">
        <v>0</v>
      </c>
      <c r="AS2634">
        <v>1.1299360000000001</v>
      </c>
    </row>
    <row r="2635" spans="1:45" x14ac:dyDescent="0.25">
      <c r="A2635">
        <v>463</v>
      </c>
      <c r="B2635">
        <v>2000</v>
      </c>
      <c r="C2635" s="8">
        <v>0</v>
      </c>
      <c r="D2635">
        <v>1.68022E-2</v>
      </c>
      <c r="E2635">
        <v>0.30050900000000003</v>
      </c>
      <c r="F2635">
        <v>6.3611899999999999E-2</v>
      </c>
      <c r="G2635">
        <v>1.0361560000000001</v>
      </c>
      <c r="H2635">
        <v>0.26278040000000003</v>
      </c>
      <c r="Q2635" s="10">
        <f t="shared" si="102"/>
        <v>6.890775259496041E-3</v>
      </c>
      <c r="AI2635">
        <v>0.13164020000000001</v>
      </c>
      <c r="AJ2635">
        <f t="shared" si="101"/>
        <v>0.13164020000000001</v>
      </c>
      <c r="AO2635">
        <v>0.13164020000000001</v>
      </c>
      <c r="AR2635" s="8">
        <v>0</v>
      </c>
      <c r="AS2635">
        <v>0.78326609999999997</v>
      </c>
    </row>
    <row r="2636" spans="1:45" x14ac:dyDescent="0.25">
      <c r="A2636">
        <v>463</v>
      </c>
      <c r="B2636">
        <v>2001</v>
      </c>
      <c r="C2636" s="8">
        <v>0</v>
      </c>
      <c r="D2636">
        <v>-5.6705000000000002E-3</v>
      </c>
      <c r="E2636">
        <v>0.1710913</v>
      </c>
      <c r="F2636">
        <v>4.8714199999999999E-2</v>
      </c>
      <c r="G2636">
        <v>0.8816119</v>
      </c>
      <c r="H2636">
        <v>0.23584379999999999</v>
      </c>
      <c r="Q2636" s="10">
        <f t="shared" si="102"/>
        <v>1.1623456203191525E-2</v>
      </c>
      <c r="AI2636">
        <v>1.24682E-2</v>
      </c>
      <c r="AJ2636">
        <f t="shared" si="101"/>
        <v>1.24682E-2</v>
      </c>
      <c r="AO2636">
        <v>1.24682E-2</v>
      </c>
      <c r="AR2636" s="8">
        <v>0</v>
      </c>
      <c r="AS2636">
        <v>0.66837219999999997</v>
      </c>
    </row>
    <row r="2637" spans="1:45" x14ac:dyDescent="0.25">
      <c r="A2637">
        <v>463</v>
      </c>
      <c r="B2637">
        <v>2002</v>
      </c>
      <c r="C2637" s="8">
        <v>0</v>
      </c>
      <c r="D2637">
        <v>0.13164020000000001</v>
      </c>
      <c r="E2637">
        <v>6.6606299999999993E-2</v>
      </c>
      <c r="F2637">
        <v>3.8161500000000001E-2</v>
      </c>
      <c r="G2637">
        <v>0.70199579999999995</v>
      </c>
      <c r="H2637">
        <v>0.14424390000000001</v>
      </c>
      <c r="Q2637" s="10">
        <f t="shared" si="102"/>
        <v>1.9448713715451212E-2</v>
      </c>
      <c r="AI2637">
        <v>4.9253900000000003E-2</v>
      </c>
      <c r="AJ2637">
        <f t="shared" si="101"/>
        <v>4.9253900000000003E-2</v>
      </c>
      <c r="AO2637">
        <v>4.9253900000000003E-2</v>
      </c>
      <c r="AR2637" s="8">
        <v>0</v>
      </c>
      <c r="AS2637">
        <v>1.0361560000000001</v>
      </c>
    </row>
    <row r="2638" spans="1:45" x14ac:dyDescent="0.25">
      <c r="A2638">
        <v>463</v>
      </c>
      <c r="B2638">
        <v>2003</v>
      </c>
      <c r="C2638" s="8">
        <v>0</v>
      </c>
      <c r="D2638">
        <v>1.24682E-2</v>
      </c>
      <c r="E2638">
        <v>0.14152519999999999</v>
      </c>
      <c r="F2638">
        <v>4.5240099999999998E-2</v>
      </c>
      <c r="G2638">
        <v>1.08158</v>
      </c>
      <c r="H2638">
        <v>0.25337290000000001</v>
      </c>
      <c r="Q2638" s="10">
        <f t="shared" si="102"/>
        <v>9.2618392000563821E-3</v>
      </c>
      <c r="AI2638">
        <v>0.243003</v>
      </c>
      <c r="AJ2638">
        <f t="shared" si="101"/>
        <v>0.243003</v>
      </c>
      <c r="AO2638">
        <v>0.243003</v>
      </c>
      <c r="AR2638" s="8">
        <v>0</v>
      </c>
      <c r="AS2638">
        <v>0.8816119</v>
      </c>
    </row>
    <row r="2639" spans="1:45" x14ac:dyDescent="0.25">
      <c r="A2639">
        <v>463</v>
      </c>
      <c r="B2639">
        <v>2004</v>
      </c>
      <c r="C2639" s="8">
        <v>0</v>
      </c>
      <c r="D2639">
        <v>4.9253900000000003E-2</v>
      </c>
      <c r="E2639">
        <v>0.15080569999999999</v>
      </c>
      <c r="F2639">
        <v>5.0950599999999999E-2</v>
      </c>
      <c r="G2639">
        <v>1.2232050000000001</v>
      </c>
      <c r="H2639">
        <v>0.2584939</v>
      </c>
      <c r="Q2639" s="10">
        <f t="shared" si="102"/>
        <v>7.1108607568592325E-3</v>
      </c>
      <c r="AI2639">
        <v>0.45181320000000003</v>
      </c>
      <c r="AJ2639">
        <f t="shared" si="101"/>
        <v>0.45181320000000003</v>
      </c>
      <c r="AO2639">
        <v>0.45181320000000003</v>
      </c>
      <c r="AR2639" s="8">
        <v>0</v>
      </c>
      <c r="AS2639">
        <v>0.70199579999999995</v>
      </c>
    </row>
    <row r="2640" spans="1:45" x14ac:dyDescent="0.25">
      <c r="A2640">
        <v>464</v>
      </c>
      <c r="B2640">
        <v>1995</v>
      </c>
      <c r="C2640" s="8">
        <v>0</v>
      </c>
      <c r="D2640">
        <v>0.243003</v>
      </c>
      <c r="E2640">
        <v>-0.1941156</v>
      </c>
      <c r="F2640">
        <v>4.8196599999999999E-2</v>
      </c>
      <c r="G2640">
        <v>8.2669099999999995E-2</v>
      </c>
      <c r="H2640">
        <v>0.2601849</v>
      </c>
      <c r="Q2640" s="10">
        <f t="shared" si="102"/>
        <v>7.470567779345344E-2</v>
      </c>
      <c r="AI2640">
        <v>0.351493</v>
      </c>
      <c r="AJ2640">
        <f t="shared" si="101"/>
        <v>0.351493</v>
      </c>
      <c r="AO2640">
        <v>0.351493</v>
      </c>
      <c r="AR2640" s="8">
        <v>0</v>
      </c>
      <c r="AS2640">
        <v>1.08158</v>
      </c>
    </row>
    <row r="2641" spans="1:45" x14ac:dyDescent="0.25">
      <c r="A2641">
        <v>464</v>
      </c>
      <c r="B2641">
        <v>1996</v>
      </c>
      <c r="C2641" s="8">
        <v>0</v>
      </c>
      <c r="D2641">
        <v>0.45181320000000003</v>
      </c>
      <c r="E2641">
        <v>-0.2423582</v>
      </c>
      <c r="F2641">
        <v>4.09956E-2</v>
      </c>
      <c r="G2641">
        <v>0.29704170000000002</v>
      </c>
      <c r="H2641">
        <v>0.36288009999999998</v>
      </c>
      <c r="Q2641" s="10">
        <f t="shared" si="102"/>
        <v>7.0419729930297159E-2</v>
      </c>
      <c r="AI2641">
        <v>0.34093309999999999</v>
      </c>
      <c r="AJ2641">
        <f t="shared" si="101"/>
        <v>0.34093309999999999</v>
      </c>
      <c r="AO2641">
        <v>0.34093309999999999</v>
      </c>
      <c r="AR2641" s="8">
        <v>0</v>
      </c>
      <c r="AS2641">
        <v>1.2232050000000001</v>
      </c>
    </row>
    <row r="2642" spans="1:45" x14ac:dyDescent="0.25">
      <c r="A2642">
        <v>464</v>
      </c>
      <c r="B2642">
        <v>1997</v>
      </c>
      <c r="C2642" s="8">
        <v>0</v>
      </c>
      <c r="D2642">
        <v>0.351493</v>
      </c>
      <c r="E2642">
        <v>-0.16210769999999999</v>
      </c>
      <c r="F2642">
        <v>5.5988200000000002E-2</v>
      </c>
      <c r="G2642">
        <v>0.94566380000000005</v>
      </c>
      <c r="H2642">
        <v>0.40840530000000003</v>
      </c>
      <c r="Q2642" s="10">
        <f t="shared" si="102"/>
        <v>2.0555201078117157E-2</v>
      </c>
      <c r="AI2642">
        <v>0.36343510000000001</v>
      </c>
      <c r="AJ2642">
        <f t="shared" si="101"/>
        <v>0.36343510000000001</v>
      </c>
      <c r="AO2642">
        <v>0.36343510000000001</v>
      </c>
      <c r="AR2642" s="8">
        <v>0</v>
      </c>
      <c r="AS2642">
        <v>8.2669099999999995E-2</v>
      </c>
    </row>
    <row r="2643" spans="1:45" x14ac:dyDescent="0.25">
      <c r="A2643">
        <v>464</v>
      </c>
      <c r="B2643">
        <v>1998</v>
      </c>
      <c r="C2643" s="8">
        <v>0</v>
      </c>
      <c r="D2643">
        <v>0.34093309999999999</v>
      </c>
      <c r="E2643">
        <v>-4.9398600000000001E-2</v>
      </c>
      <c r="F2643">
        <v>7.4256799999999998E-2</v>
      </c>
      <c r="G2643">
        <v>0.59813989999999995</v>
      </c>
      <c r="H2643">
        <v>0.31574180000000002</v>
      </c>
      <c r="Q2643" s="10">
        <f t="shared" si="102"/>
        <v>2.4557492179432833E-2</v>
      </c>
      <c r="AI2643">
        <v>0.36860540000000003</v>
      </c>
      <c r="AJ2643">
        <f t="shared" si="101"/>
        <v>0.36860540000000003</v>
      </c>
      <c r="AO2643">
        <v>0.36860540000000003</v>
      </c>
      <c r="AR2643" s="8">
        <v>0</v>
      </c>
      <c r="AS2643">
        <v>0.29704170000000002</v>
      </c>
    </row>
    <row r="2644" spans="1:45" x14ac:dyDescent="0.25">
      <c r="A2644">
        <v>464</v>
      </c>
      <c r="B2644">
        <v>1999</v>
      </c>
      <c r="C2644" s="8">
        <v>0</v>
      </c>
      <c r="D2644">
        <v>0.36343510000000001</v>
      </c>
      <c r="E2644">
        <v>5.9813100000000001E-2</v>
      </c>
      <c r="F2644">
        <v>4.2708599999999999E-2</v>
      </c>
      <c r="G2644">
        <v>0.46780840000000001</v>
      </c>
      <c r="H2644">
        <v>0.25325199999999998</v>
      </c>
      <c r="Q2644" s="10">
        <f t="shared" si="102"/>
        <v>3.198376652266529E-2</v>
      </c>
      <c r="AI2644">
        <v>0.34918979999999999</v>
      </c>
      <c r="AJ2644">
        <f t="shared" si="101"/>
        <v>0.34918979999999999</v>
      </c>
      <c r="AO2644">
        <v>0.34918979999999999</v>
      </c>
      <c r="AR2644" s="8">
        <v>0</v>
      </c>
      <c r="AS2644">
        <v>0.94566380000000005</v>
      </c>
    </row>
    <row r="2645" spans="1:45" x14ac:dyDescent="0.25">
      <c r="A2645">
        <v>464</v>
      </c>
      <c r="B2645">
        <v>2000</v>
      </c>
      <c r="C2645" s="8">
        <v>0</v>
      </c>
      <c r="D2645">
        <v>0.36860540000000003</v>
      </c>
      <c r="E2645">
        <v>9.4823099999999994E-2</v>
      </c>
      <c r="F2645">
        <v>3.7645999999999999E-2</v>
      </c>
      <c r="G2645">
        <v>0.30787949999999997</v>
      </c>
      <c r="H2645">
        <v>0.25894220000000001</v>
      </c>
      <c r="Q2645" s="10">
        <f t="shared" si="102"/>
        <v>4.0702998703884836E-2</v>
      </c>
      <c r="AI2645">
        <v>0.3426109</v>
      </c>
      <c r="AJ2645">
        <f t="shared" si="101"/>
        <v>0.3426109</v>
      </c>
      <c r="AO2645">
        <v>0.3426109</v>
      </c>
      <c r="AR2645" s="8">
        <v>0</v>
      </c>
      <c r="AS2645">
        <v>0.59813989999999995</v>
      </c>
    </row>
    <row r="2646" spans="1:45" x14ac:dyDescent="0.25">
      <c r="A2646">
        <v>464</v>
      </c>
      <c r="B2646">
        <v>2001</v>
      </c>
      <c r="C2646" s="8">
        <v>0</v>
      </c>
      <c r="D2646">
        <v>0.34918979999999999</v>
      </c>
      <c r="E2646">
        <v>7.1815299999999999E-2</v>
      </c>
      <c r="F2646">
        <v>2.9683899999999999E-2</v>
      </c>
      <c r="G2646">
        <v>0.39016919999999999</v>
      </c>
      <c r="H2646">
        <v>0.22339200000000001</v>
      </c>
      <c r="Q2646" s="10">
        <f t="shared" si="102"/>
        <v>3.8273618870514663E-2</v>
      </c>
      <c r="AI2646">
        <v>0.30420589999999997</v>
      </c>
      <c r="AJ2646">
        <f t="shared" si="101"/>
        <v>0.30420589999999997</v>
      </c>
      <c r="AO2646">
        <v>0.30420589999999997</v>
      </c>
      <c r="AR2646" s="8">
        <v>0</v>
      </c>
      <c r="AS2646">
        <v>0.46780840000000001</v>
      </c>
    </row>
    <row r="2647" spans="1:45" x14ac:dyDescent="0.25">
      <c r="A2647">
        <v>464</v>
      </c>
      <c r="B2647">
        <v>2002</v>
      </c>
      <c r="C2647" s="8">
        <v>0</v>
      </c>
      <c r="D2647">
        <v>0.3426109</v>
      </c>
      <c r="E2647">
        <v>3.3025100000000002E-2</v>
      </c>
      <c r="F2647">
        <v>3.4838500000000001E-2</v>
      </c>
      <c r="G2647">
        <v>0.20451659999999999</v>
      </c>
      <c r="H2647">
        <v>0.26755119999999999</v>
      </c>
      <c r="Q2647" s="10">
        <f t="shared" si="102"/>
        <v>5.2734760747609598E-2</v>
      </c>
      <c r="AI2647">
        <v>-4.3067000000000001E-3</v>
      </c>
      <c r="AJ2647">
        <f t="shared" si="101"/>
        <v>-4.3067000000000001E-3</v>
      </c>
      <c r="AO2647">
        <v>-4.3067000000000001E-3</v>
      </c>
      <c r="AR2647" s="8">
        <v>0</v>
      </c>
      <c r="AS2647">
        <v>0.30787949999999997</v>
      </c>
    </row>
    <row r="2648" spans="1:45" x14ac:dyDescent="0.25">
      <c r="A2648">
        <v>464</v>
      </c>
      <c r="B2648">
        <v>2003</v>
      </c>
      <c r="C2648" s="8">
        <v>0</v>
      </c>
      <c r="D2648">
        <v>0.30420589999999997</v>
      </c>
      <c r="E2648">
        <v>6.2367600000000002E-2</v>
      </c>
      <c r="F2648">
        <v>4.5458999999999999E-2</v>
      </c>
      <c r="G2648">
        <v>0.51703100000000002</v>
      </c>
      <c r="H2648">
        <v>0.29960759999999997</v>
      </c>
      <c r="Q2648" s="10">
        <f t="shared" si="102"/>
        <v>2.9029237594659751E-2</v>
      </c>
      <c r="AI2648">
        <v>-4.0450600000000003E-2</v>
      </c>
      <c r="AJ2648">
        <f t="shared" si="101"/>
        <v>-4.0450600000000003E-2</v>
      </c>
      <c r="AO2648">
        <v>-4.0450600000000003E-2</v>
      </c>
      <c r="AR2648" s="8">
        <v>0</v>
      </c>
      <c r="AS2648">
        <v>0.39016919999999999</v>
      </c>
    </row>
    <row r="2649" spans="1:45" x14ac:dyDescent="0.25">
      <c r="A2649">
        <v>465</v>
      </c>
      <c r="B2649">
        <v>1995</v>
      </c>
      <c r="C2649" s="8">
        <v>0</v>
      </c>
      <c r="D2649">
        <v>-4.3067000000000001E-3</v>
      </c>
      <c r="E2649">
        <v>0.1430275</v>
      </c>
      <c r="F2649">
        <v>6.4665E-2</v>
      </c>
      <c r="G2649">
        <v>0.8964763</v>
      </c>
      <c r="H2649">
        <v>0.1505553</v>
      </c>
      <c r="Q2649" s="10">
        <f t="shared" si="102"/>
        <v>9.8947946656028161E-3</v>
      </c>
      <c r="AI2649">
        <v>-5.0379300000000002E-2</v>
      </c>
      <c r="AJ2649">
        <f t="shared" si="101"/>
        <v>-5.0379300000000002E-2</v>
      </c>
      <c r="AO2649">
        <v>-5.0379300000000002E-2</v>
      </c>
      <c r="AR2649" s="8">
        <v>0</v>
      </c>
      <c r="AS2649">
        <v>0.20451659999999999</v>
      </c>
    </row>
    <row r="2650" spans="1:45" x14ac:dyDescent="0.25">
      <c r="A2650">
        <v>465</v>
      </c>
      <c r="B2650">
        <v>1996</v>
      </c>
      <c r="C2650" s="8">
        <v>0</v>
      </c>
      <c r="D2650">
        <v>-4.0450600000000003E-2</v>
      </c>
      <c r="E2650">
        <v>0.1272761</v>
      </c>
      <c r="F2650">
        <v>5.8614899999999998E-2</v>
      </c>
      <c r="G2650">
        <v>0.931369</v>
      </c>
      <c r="H2650">
        <v>0.1601215</v>
      </c>
      <c r="Q2650" s="10">
        <f t="shared" si="102"/>
        <v>9.9600948274556327E-3</v>
      </c>
      <c r="AI2650">
        <v>-2.47729E-2</v>
      </c>
      <c r="AJ2650">
        <f t="shared" si="101"/>
        <v>-2.47729E-2</v>
      </c>
      <c r="AO2650">
        <v>-2.47729E-2</v>
      </c>
      <c r="AR2650" s="8">
        <v>0</v>
      </c>
      <c r="AS2650">
        <v>0.51703100000000002</v>
      </c>
    </row>
    <row r="2651" spans="1:45" x14ac:dyDescent="0.25">
      <c r="A2651">
        <v>465</v>
      </c>
      <c r="B2651">
        <v>1997</v>
      </c>
      <c r="C2651" s="8">
        <v>0</v>
      </c>
      <c r="D2651">
        <v>-5.0379300000000002E-2</v>
      </c>
      <c r="E2651">
        <v>0.1195369</v>
      </c>
      <c r="F2651">
        <v>4.4671799999999998E-2</v>
      </c>
      <c r="G2651">
        <v>1.021898</v>
      </c>
      <c r="H2651">
        <v>0.1282816</v>
      </c>
      <c r="Q2651" s="10">
        <f t="shared" si="102"/>
        <v>9.5229054214127466E-3</v>
      </c>
      <c r="AI2651">
        <v>1.0637300000000001E-2</v>
      </c>
      <c r="AJ2651">
        <f t="shared" si="101"/>
        <v>1.0637300000000001E-2</v>
      </c>
      <c r="AO2651">
        <v>1.0637300000000001E-2</v>
      </c>
      <c r="AR2651" s="8">
        <v>0</v>
      </c>
      <c r="AS2651">
        <v>0.8964763</v>
      </c>
    </row>
    <row r="2652" spans="1:45" x14ac:dyDescent="0.25">
      <c r="A2652">
        <v>465</v>
      </c>
      <c r="B2652">
        <v>1998</v>
      </c>
      <c r="C2652" s="8">
        <v>0</v>
      </c>
      <c r="D2652">
        <v>-2.47729E-2</v>
      </c>
      <c r="E2652">
        <v>0.1190706</v>
      </c>
      <c r="F2652">
        <v>4.6613399999999999E-2</v>
      </c>
      <c r="G2652">
        <v>0.90277609999999997</v>
      </c>
      <c r="H2652">
        <v>0.14124529999999999</v>
      </c>
      <c r="Q2652" s="10">
        <f t="shared" si="102"/>
        <v>1.1533912500087456E-2</v>
      </c>
      <c r="AI2652">
        <v>3.0341999999999999E-3</v>
      </c>
      <c r="AJ2652">
        <f t="shared" si="101"/>
        <v>3.0341999999999999E-3</v>
      </c>
      <c r="AO2652">
        <v>3.0341999999999999E-3</v>
      </c>
      <c r="AR2652" s="8">
        <v>0</v>
      </c>
      <c r="AS2652">
        <v>0.931369</v>
      </c>
    </row>
    <row r="2653" spans="1:45" x14ac:dyDescent="0.25">
      <c r="A2653">
        <v>465</v>
      </c>
      <c r="B2653">
        <v>1999</v>
      </c>
      <c r="C2653" s="8">
        <v>0</v>
      </c>
      <c r="D2653">
        <v>1.0637300000000001E-2</v>
      </c>
      <c r="E2653">
        <v>0.12615100000000001</v>
      </c>
      <c r="F2653">
        <v>5.4833100000000003E-2</v>
      </c>
      <c r="G2653">
        <v>0.74098679999999995</v>
      </c>
      <c r="H2653">
        <v>0.1360479</v>
      </c>
      <c r="Q2653" s="10">
        <f t="shared" si="102"/>
        <v>1.3958245250916818E-2</v>
      </c>
      <c r="AI2653">
        <v>-1.59609E-2</v>
      </c>
      <c r="AJ2653">
        <f t="shared" si="101"/>
        <v>-1.59609E-2</v>
      </c>
      <c r="AO2653">
        <v>-1.59609E-2</v>
      </c>
      <c r="AR2653" s="8">
        <v>0</v>
      </c>
      <c r="AS2653">
        <v>1.021898</v>
      </c>
    </row>
    <row r="2654" spans="1:45" x14ac:dyDescent="0.25">
      <c r="A2654">
        <v>465</v>
      </c>
      <c r="B2654">
        <v>2000</v>
      </c>
      <c r="C2654" s="8">
        <v>0</v>
      </c>
      <c r="D2654">
        <v>3.0341999999999999E-3</v>
      </c>
      <c r="E2654">
        <v>0.1317402</v>
      </c>
      <c r="F2654">
        <v>6.9402800000000001E-2</v>
      </c>
      <c r="G2654">
        <v>0.87281050000000004</v>
      </c>
      <c r="H2654">
        <v>0.18552769999999999</v>
      </c>
      <c r="Q2654" s="10">
        <f t="shared" si="102"/>
        <v>1.0304062523209015E-2</v>
      </c>
      <c r="AI2654">
        <v>1.4702700000000001E-2</v>
      </c>
      <c r="AJ2654">
        <f t="shared" si="101"/>
        <v>1.4702700000000001E-2</v>
      </c>
      <c r="AO2654">
        <v>1.4702700000000001E-2</v>
      </c>
      <c r="AR2654" s="8">
        <v>0</v>
      </c>
      <c r="AS2654">
        <v>0.90277609999999997</v>
      </c>
    </row>
    <row r="2655" spans="1:45" x14ac:dyDescent="0.25">
      <c r="A2655">
        <v>465</v>
      </c>
      <c r="B2655">
        <v>2001</v>
      </c>
      <c r="C2655" s="8">
        <v>0</v>
      </c>
      <c r="D2655">
        <v>-1.59609E-2</v>
      </c>
      <c r="E2655">
        <v>0.13065550000000001</v>
      </c>
      <c r="F2655">
        <v>5.4707199999999997E-2</v>
      </c>
      <c r="G2655">
        <v>0.72426579999999996</v>
      </c>
      <c r="H2655">
        <v>0.19104570000000001</v>
      </c>
      <c r="Q2655" s="10">
        <f t="shared" si="102"/>
        <v>1.4579338898435238E-2</v>
      </c>
      <c r="AI2655">
        <v>2.4907499999999999E-2</v>
      </c>
      <c r="AJ2655">
        <f t="shared" si="101"/>
        <v>2.4907499999999999E-2</v>
      </c>
      <c r="AO2655">
        <v>2.4907499999999999E-2</v>
      </c>
      <c r="AR2655" s="8">
        <v>0</v>
      </c>
      <c r="AS2655">
        <v>0.74098679999999995</v>
      </c>
    </row>
    <row r="2656" spans="1:45" x14ac:dyDescent="0.25">
      <c r="A2656">
        <v>465</v>
      </c>
      <c r="B2656">
        <v>2002</v>
      </c>
      <c r="C2656" s="8">
        <v>0</v>
      </c>
      <c r="D2656">
        <v>1.4702700000000001E-2</v>
      </c>
      <c r="E2656">
        <v>0.12899679999999999</v>
      </c>
      <c r="F2656">
        <v>6.3521300000000003E-2</v>
      </c>
      <c r="G2656">
        <v>0.83917249999999999</v>
      </c>
      <c r="H2656">
        <v>0.17705689999999999</v>
      </c>
      <c r="Q2656" s="10">
        <f t="shared" si="102"/>
        <v>1.1423053315638275E-2</v>
      </c>
      <c r="AI2656">
        <v>1.10172E-2</v>
      </c>
      <c r="AJ2656">
        <f t="shared" si="101"/>
        <v>1.10172E-2</v>
      </c>
      <c r="AO2656">
        <v>1.10172E-2</v>
      </c>
      <c r="AR2656" s="8">
        <v>0</v>
      </c>
      <c r="AS2656">
        <v>0.87281050000000004</v>
      </c>
    </row>
    <row r="2657" spans="1:45" x14ac:dyDescent="0.25">
      <c r="A2657">
        <v>465</v>
      </c>
      <c r="B2657">
        <v>2003</v>
      </c>
      <c r="C2657" s="8">
        <v>0</v>
      </c>
      <c r="D2657">
        <v>2.4907499999999999E-2</v>
      </c>
      <c r="E2657">
        <v>0.1442861</v>
      </c>
      <c r="F2657">
        <v>6.2717999999999996E-2</v>
      </c>
      <c r="G2657">
        <v>0.75641190000000003</v>
      </c>
      <c r="H2657">
        <v>0.17533499999999999</v>
      </c>
      <c r="Q2657" s="10">
        <f t="shared" si="102"/>
        <v>1.2851122103542159E-2</v>
      </c>
      <c r="AI2657">
        <v>8.4318100000000007E-2</v>
      </c>
      <c r="AJ2657">
        <f t="shared" si="101"/>
        <v>8.4318100000000007E-2</v>
      </c>
      <c r="AO2657">
        <v>8.4318100000000007E-2</v>
      </c>
      <c r="AR2657" s="8">
        <v>0</v>
      </c>
      <c r="AS2657">
        <v>0.72426579999999996</v>
      </c>
    </row>
    <row r="2658" spans="1:45" x14ac:dyDescent="0.25">
      <c r="A2658">
        <v>465</v>
      </c>
      <c r="B2658">
        <v>2004</v>
      </c>
      <c r="C2658" s="8">
        <v>0</v>
      </c>
      <c r="D2658">
        <v>1.10172E-2</v>
      </c>
      <c r="E2658">
        <v>0.14340269999999999</v>
      </c>
      <c r="F2658">
        <v>6.3345100000000001E-2</v>
      </c>
      <c r="G2658">
        <v>0.82974219999999999</v>
      </c>
      <c r="H2658">
        <v>0.1875397</v>
      </c>
      <c r="Q2658" s="10">
        <f t="shared" si="102"/>
        <v>1.1428251199460213E-2</v>
      </c>
      <c r="AI2658">
        <v>7.4628799999999995E-2</v>
      </c>
      <c r="AJ2658">
        <f t="shared" si="101"/>
        <v>7.4628799999999995E-2</v>
      </c>
      <c r="AO2658">
        <v>7.4628799999999995E-2</v>
      </c>
      <c r="AR2658" s="8">
        <v>0</v>
      </c>
      <c r="AS2658">
        <v>0.83917249999999999</v>
      </c>
    </row>
    <row r="2659" spans="1:45" x14ac:dyDescent="0.25">
      <c r="A2659">
        <v>466</v>
      </c>
      <c r="B2659">
        <v>1995</v>
      </c>
      <c r="C2659" s="8">
        <v>0</v>
      </c>
      <c r="D2659">
        <v>8.4318100000000007E-2</v>
      </c>
      <c r="E2659">
        <v>0.1568069</v>
      </c>
      <c r="F2659">
        <v>6.0716300000000001E-2</v>
      </c>
      <c r="G2659">
        <v>0.65640270000000001</v>
      </c>
      <c r="H2659">
        <v>0.1470786</v>
      </c>
      <c r="Q2659" s="10">
        <f t="shared" si="102"/>
        <v>1.5111072553372256E-2</v>
      </c>
      <c r="AI2659">
        <v>3.0240699999999999E-2</v>
      </c>
      <c r="AJ2659">
        <f t="shared" si="101"/>
        <v>3.0240699999999999E-2</v>
      </c>
      <c r="AO2659">
        <v>3.0240699999999999E-2</v>
      </c>
      <c r="AR2659" s="8">
        <v>0</v>
      </c>
      <c r="AS2659">
        <v>0.75641190000000003</v>
      </c>
    </row>
    <row r="2660" spans="1:45" x14ac:dyDescent="0.25">
      <c r="A2660">
        <v>466</v>
      </c>
      <c r="B2660">
        <v>1996</v>
      </c>
      <c r="C2660" s="8">
        <v>0</v>
      </c>
      <c r="D2660">
        <v>7.4628799999999995E-2</v>
      </c>
      <c r="E2660">
        <v>9.3975000000000003E-2</v>
      </c>
      <c r="F2660">
        <v>5.0389400000000001E-2</v>
      </c>
      <c r="G2660">
        <v>0.34975980000000001</v>
      </c>
      <c r="H2660">
        <v>0.17004449999999999</v>
      </c>
      <c r="Q2660" s="10">
        <f t="shared" si="102"/>
        <v>2.9191401321416913E-2</v>
      </c>
      <c r="AI2660">
        <v>0.23621600000000001</v>
      </c>
      <c r="AJ2660">
        <f t="shared" si="101"/>
        <v>0.23621600000000001</v>
      </c>
      <c r="AO2660">
        <v>0.23621600000000001</v>
      </c>
      <c r="AR2660" s="8">
        <v>0</v>
      </c>
      <c r="AS2660">
        <v>0.82974219999999999</v>
      </c>
    </row>
    <row r="2661" spans="1:45" x14ac:dyDescent="0.25">
      <c r="A2661">
        <v>466</v>
      </c>
      <c r="B2661">
        <v>1997</v>
      </c>
      <c r="C2661" s="8">
        <v>0</v>
      </c>
      <c r="D2661">
        <v>3.0240699999999999E-2</v>
      </c>
      <c r="E2661">
        <v>9.6723699999999996E-2</v>
      </c>
      <c r="F2661">
        <v>3.8989200000000002E-2</v>
      </c>
      <c r="G2661">
        <v>0.46223799999999998</v>
      </c>
      <c r="H2661">
        <v>0.28598109999999999</v>
      </c>
      <c r="Q2661" s="10">
        <f t="shared" si="102"/>
        <v>2.8117264114923202E-2</v>
      </c>
      <c r="AI2661">
        <v>-0.32837169999999999</v>
      </c>
      <c r="AJ2661">
        <f t="shared" si="101"/>
        <v>-0.113345184</v>
      </c>
      <c r="AO2661">
        <v>-0.113345184</v>
      </c>
      <c r="AR2661" s="8">
        <v>0</v>
      </c>
      <c r="AS2661">
        <v>0.65640270000000001</v>
      </c>
    </row>
    <row r="2662" spans="1:45" x14ac:dyDescent="0.25">
      <c r="A2662">
        <v>467</v>
      </c>
      <c r="B2662">
        <v>1999</v>
      </c>
      <c r="C2662" s="8">
        <v>0</v>
      </c>
      <c r="D2662">
        <v>0.23621600000000001</v>
      </c>
      <c r="E2662">
        <v>-0.2023268</v>
      </c>
      <c r="F2662">
        <v>-6.3933999999999996E-3</v>
      </c>
      <c r="G2662">
        <v>0.1018863</v>
      </c>
      <c r="H2662">
        <v>0.27015899999999998</v>
      </c>
      <c r="Q2662" s="10">
        <f t="shared" si="102"/>
        <v>0.10956387886091447</v>
      </c>
      <c r="AI2662">
        <v>6.7222799999999999E-2</v>
      </c>
      <c r="AJ2662">
        <f t="shared" si="101"/>
        <v>6.7222799999999999E-2</v>
      </c>
      <c r="AO2662">
        <v>6.7222799999999999E-2</v>
      </c>
      <c r="AR2662" s="8">
        <v>0</v>
      </c>
      <c r="AS2662">
        <v>0.34975980000000001</v>
      </c>
    </row>
    <row r="2663" spans="1:45" x14ac:dyDescent="0.25">
      <c r="A2663">
        <v>467</v>
      </c>
      <c r="B2663">
        <v>2000</v>
      </c>
      <c r="C2663" s="8">
        <v>0</v>
      </c>
      <c r="D2663">
        <v>-0.32837169999999999</v>
      </c>
      <c r="E2663">
        <v>-0.56967500000000004</v>
      </c>
      <c r="F2663">
        <v>1.59036E-2</v>
      </c>
      <c r="G2663">
        <v>6.4009700000000003E-2</v>
      </c>
      <c r="H2663">
        <v>0.38763599999999998</v>
      </c>
      <c r="Q2663" s="10">
        <f t="shared" si="102"/>
        <v>0.13702459858427171</v>
      </c>
      <c r="AI2663">
        <v>7.2279099999999999E-2</v>
      </c>
      <c r="AJ2663">
        <f t="shared" si="101"/>
        <v>7.2279099999999999E-2</v>
      </c>
      <c r="AO2663">
        <v>7.2279099999999999E-2</v>
      </c>
      <c r="AR2663" s="8">
        <v>0</v>
      </c>
      <c r="AS2663">
        <v>0.46223799999999998</v>
      </c>
    </row>
    <row r="2664" spans="1:45" x14ac:dyDescent="0.25">
      <c r="A2664">
        <v>468</v>
      </c>
      <c r="B2664">
        <v>1995</v>
      </c>
      <c r="C2664" s="8">
        <v>0</v>
      </c>
      <c r="D2664">
        <v>6.7222799999999999E-2</v>
      </c>
      <c r="E2664">
        <v>0.15389259999999999</v>
      </c>
      <c r="F2664">
        <v>5.4611399999999997E-2</v>
      </c>
      <c r="G2664">
        <v>0.99485789999999996</v>
      </c>
      <c r="H2664">
        <v>0.1309631</v>
      </c>
      <c r="Q2664" s="10">
        <f t="shared" si="102"/>
        <v>9.1895001415718269E-3</v>
      </c>
      <c r="AI2664">
        <v>8.0400000000000003E-5</v>
      </c>
      <c r="AJ2664">
        <f t="shared" si="101"/>
        <v>8.0400000000000003E-5</v>
      </c>
      <c r="AO2664">
        <v>8.0400000000000003E-5</v>
      </c>
      <c r="AR2664" s="8">
        <v>0</v>
      </c>
      <c r="AS2664">
        <v>0.1018863</v>
      </c>
    </row>
    <row r="2665" spans="1:45" x14ac:dyDescent="0.25">
      <c r="A2665">
        <v>468</v>
      </c>
      <c r="B2665">
        <v>1996</v>
      </c>
      <c r="C2665" s="8">
        <v>0</v>
      </c>
      <c r="D2665">
        <v>7.2279099999999999E-2</v>
      </c>
      <c r="E2665">
        <v>0.16343969999999999</v>
      </c>
      <c r="F2665">
        <v>6.3396900000000006E-2</v>
      </c>
      <c r="G2665">
        <v>0.94051470000000004</v>
      </c>
      <c r="H2665">
        <v>0.14028080000000001</v>
      </c>
      <c r="Q2665" s="10">
        <f t="shared" si="102"/>
        <v>9.2838798612370835E-3</v>
      </c>
      <c r="AI2665">
        <v>8.4608000000000003E-2</v>
      </c>
      <c r="AJ2665">
        <f t="shared" si="101"/>
        <v>8.4608000000000003E-2</v>
      </c>
      <c r="AO2665">
        <v>8.4608000000000003E-2</v>
      </c>
      <c r="AR2665" s="8">
        <v>0</v>
      </c>
      <c r="AS2665">
        <v>6.4009700000000003E-2</v>
      </c>
    </row>
    <row r="2666" spans="1:45" x14ac:dyDescent="0.25">
      <c r="A2666">
        <v>468</v>
      </c>
      <c r="B2666">
        <v>1997</v>
      </c>
      <c r="C2666" s="8">
        <v>0</v>
      </c>
      <c r="D2666">
        <v>8.0400000000000003E-5</v>
      </c>
      <c r="E2666">
        <v>0.16326589999999999</v>
      </c>
      <c r="F2666">
        <v>3.9397300000000003E-2</v>
      </c>
      <c r="G2666">
        <v>0.98065579999999997</v>
      </c>
      <c r="H2666">
        <v>0.117012</v>
      </c>
      <c r="Q2666" s="10">
        <f t="shared" si="102"/>
        <v>1.0088403478888595E-2</v>
      </c>
      <c r="AI2666">
        <v>8.9238300000000007E-2</v>
      </c>
      <c r="AJ2666">
        <f t="shared" si="101"/>
        <v>8.9238300000000007E-2</v>
      </c>
      <c r="AO2666">
        <v>8.9238300000000007E-2</v>
      </c>
      <c r="AR2666" s="8">
        <v>0</v>
      </c>
      <c r="AS2666">
        <v>0.99485789999999996</v>
      </c>
    </row>
    <row r="2667" spans="1:45" x14ac:dyDescent="0.25">
      <c r="A2667">
        <v>468</v>
      </c>
      <c r="B2667">
        <v>1998</v>
      </c>
      <c r="C2667" s="8">
        <v>0</v>
      </c>
      <c r="D2667">
        <v>8.4608000000000003E-2</v>
      </c>
      <c r="E2667">
        <v>0.2029581</v>
      </c>
      <c r="F2667">
        <v>3.6020999999999997E-2</v>
      </c>
      <c r="G2667">
        <v>0.60359660000000004</v>
      </c>
      <c r="H2667">
        <v>0.1614968</v>
      </c>
      <c r="Q2667" s="10">
        <f t="shared" si="102"/>
        <v>1.8826943339717638E-2</v>
      </c>
      <c r="AI2667">
        <v>0.1043766</v>
      </c>
      <c r="AJ2667">
        <f t="shared" si="101"/>
        <v>0.1043766</v>
      </c>
      <c r="AO2667">
        <v>0.1043766</v>
      </c>
      <c r="AR2667" s="8">
        <v>0</v>
      </c>
      <c r="AS2667">
        <v>0.94051470000000004</v>
      </c>
    </row>
    <row r="2668" spans="1:45" x14ac:dyDescent="0.25">
      <c r="A2668">
        <v>468</v>
      </c>
      <c r="B2668">
        <v>1999</v>
      </c>
      <c r="C2668" s="8">
        <v>0</v>
      </c>
      <c r="D2668">
        <v>8.9238300000000007E-2</v>
      </c>
      <c r="E2668">
        <v>0.22014400000000001</v>
      </c>
      <c r="F2668">
        <v>4.90716E-2</v>
      </c>
      <c r="G2668">
        <v>0.71973160000000003</v>
      </c>
      <c r="H2668">
        <v>0.20435600000000001</v>
      </c>
      <c r="Q2668" s="10">
        <f t="shared" si="102"/>
        <v>1.4210893997875113E-2</v>
      </c>
      <c r="AI2668">
        <v>4.1598599999999999E-2</v>
      </c>
      <c r="AJ2668">
        <f t="shared" si="101"/>
        <v>4.1598599999999999E-2</v>
      </c>
      <c r="AO2668">
        <v>4.1598599999999999E-2</v>
      </c>
      <c r="AR2668" s="8">
        <v>0</v>
      </c>
      <c r="AS2668">
        <v>0.98065579999999997</v>
      </c>
    </row>
    <row r="2669" spans="1:45" x14ac:dyDescent="0.25">
      <c r="A2669">
        <v>468</v>
      </c>
      <c r="B2669">
        <v>2000</v>
      </c>
      <c r="C2669" s="8">
        <v>0</v>
      </c>
      <c r="D2669">
        <v>0.1043766</v>
      </c>
      <c r="E2669">
        <v>0.2200638</v>
      </c>
      <c r="F2669">
        <v>3.6898399999999998E-2</v>
      </c>
      <c r="G2669">
        <v>0.66461979999999998</v>
      </c>
      <c r="H2669">
        <v>0.25264940000000002</v>
      </c>
      <c r="Q2669" s="10">
        <f t="shared" si="102"/>
        <v>1.7672494105404883E-2</v>
      </c>
      <c r="AI2669">
        <v>2.9756600000000001E-2</v>
      </c>
      <c r="AJ2669">
        <f t="shared" si="101"/>
        <v>2.9756600000000001E-2</v>
      </c>
      <c r="AO2669">
        <v>2.9756600000000001E-2</v>
      </c>
      <c r="AR2669" s="8">
        <v>0</v>
      </c>
      <c r="AS2669">
        <v>0.60359660000000004</v>
      </c>
    </row>
    <row r="2670" spans="1:45" x14ac:dyDescent="0.25">
      <c r="A2670">
        <v>468</v>
      </c>
      <c r="B2670">
        <v>2001</v>
      </c>
      <c r="C2670" s="8">
        <v>0</v>
      </c>
      <c r="D2670">
        <v>4.1598599999999999E-2</v>
      </c>
      <c r="E2670">
        <v>0.16074949999999999</v>
      </c>
      <c r="F2670">
        <v>2.4770999999999999E-3</v>
      </c>
      <c r="G2670">
        <v>0.64261000000000001</v>
      </c>
      <c r="H2670">
        <v>0.17025699999999999</v>
      </c>
      <c r="Q2670" s="10">
        <f t="shared" si="102"/>
        <v>2.4166289742545418E-2</v>
      </c>
      <c r="AI2670">
        <v>0.1163305</v>
      </c>
      <c r="AJ2670">
        <f t="shared" si="101"/>
        <v>0.1163305</v>
      </c>
      <c r="AO2670">
        <v>0.1163305</v>
      </c>
      <c r="AR2670" s="8">
        <v>0</v>
      </c>
      <c r="AS2670">
        <v>0.71973160000000003</v>
      </c>
    </row>
    <row r="2671" spans="1:45" x14ac:dyDescent="0.25">
      <c r="A2671">
        <v>468</v>
      </c>
      <c r="B2671">
        <v>2002</v>
      </c>
      <c r="C2671" s="8">
        <v>0</v>
      </c>
      <c r="D2671">
        <v>2.9756600000000001E-2</v>
      </c>
      <c r="E2671">
        <v>0.14190949999999999</v>
      </c>
      <c r="F2671">
        <v>4.5566299999999997E-2</v>
      </c>
      <c r="G2671">
        <v>0.63732460000000002</v>
      </c>
      <c r="H2671">
        <v>0.22117809999999999</v>
      </c>
      <c r="Q2671" s="10">
        <f t="shared" si="102"/>
        <v>1.8333161636438736E-2</v>
      </c>
      <c r="AI2671">
        <v>0.14020650000000001</v>
      </c>
      <c r="AJ2671">
        <f t="shared" si="101"/>
        <v>0.14020650000000001</v>
      </c>
      <c r="AO2671">
        <v>0.14020650000000001</v>
      </c>
      <c r="AR2671" s="8">
        <v>0</v>
      </c>
      <c r="AS2671">
        <v>0.66461979999999998</v>
      </c>
    </row>
    <row r="2672" spans="1:45" x14ac:dyDescent="0.25">
      <c r="A2672">
        <v>468</v>
      </c>
      <c r="B2672">
        <v>2003</v>
      </c>
      <c r="C2672" s="8">
        <v>0</v>
      </c>
      <c r="D2672">
        <v>0.1163305</v>
      </c>
      <c r="E2672">
        <v>0.214166</v>
      </c>
      <c r="F2672">
        <v>2.3969899999999999E-2</v>
      </c>
      <c r="G2672">
        <v>0.96756560000000003</v>
      </c>
      <c r="H2672">
        <v>0.27055869999999999</v>
      </c>
      <c r="Q2672" s="10">
        <f t="shared" si="102"/>
        <v>1.246060583005244E-2</v>
      </c>
      <c r="AI2672">
        <v>0.23342979999999999</v>
      </c>
      <c r="AJ2672">
        <f t="shared" si="101"/>
        <v>0.23342979999999999</v>
      </c>
      <c r="AO2672">
        <v>0.23342979999999999</v>
      </c>
      <c r="AR2672" s="8">
        <v>0</v>
      </c>
      <c r="AS2672">
        <v>0.64261000000000001</v>
      </c>
    </row>
    <row r="2673" spans="1:45" x14ac:dyDescent="0.25">
      <c r="A2673">
        <v>468</v>
      </c>
      <c r="B2673">
        <v>2004</v>
      </c>
      <c r="C2673" s="8">
        <v>0</v>
      </c>
      <c r="D2673">
        <v>0.14020650000000001</v>
      </c>
      <c r="E2673">
        <v>0.21907740000000001</v>
      </c>
      <c r="F2673">
        <v>3.3387E-2</v>
      </c>
      <c r="G2673">
        <v>1.25196</v>
      </c>
      <c r="H2673">
        <v>0.32675179999999998</v>
      </c>
      <c r="Q2673" s="10">
        <f t="shared" si="102"/>
        <v>7.6634150214791863E-3</v>
      </c>
      <c r="AI2673">
        <v>0.30016330000000002</v>
      </c>
      <c r="AJ2673">
        <f t="shared" si="101"/>
        <v>0.30016330000000002</v>
      </c>
      <c r="AO2673">
        <v>0.30016330000000002</v>
      </c>
      <c r="AR2673" s="8">
        <v>0</v>
      </c>
      <c r="AS2673">
        <v>0.63732460000000002</v>
      </c>
    </row>
    <row r="2674" spans="1:45" x14ac:dyDescent="0.25">
      <c r="A2674">
        <v>469</v>
      </c>
      <c r="B2674">
        <v>1998</v>
      </c>
      <c r="C2674" s="8">
        <v>0</v>
      </c>
      <c r="D2674">
        <v>0.23342979999999999</v>
      </c>
      <c r="E2674">
        <v>0.64753249999999996</v>
      </c>
      <c r="F2674">
        <v>4.2443399999999999E-2</v>
      </c>
      <c r="G2674">
        <v>3.309857</v>
      </c>
      <c r="H2674">
        <v>0.300645</v>
      </c>
      <c r="Q2674" s="10">
        <f t="shared" si="102"/>
        <v>1.4831403224689214E-4</v>
      </c>
      <c r="AI2674">
        <v>0.2436265</v>
      </c>
      <c r="AJ2674">
        <f t="shared" si="101"/>
        <v>0.2436265</v>
      </c>
      <c r="AO2674">
        <v>0.2436265</v>
      </c>
      <c r="AR2674" s="8">
        <v>0</v>
      </c>
      <c r="AS2674">
        <v>0.96756560000000003</v>
      </c>
    </row>
    <row r="2675" spans="1:45" x14ac:dyDescent="0.25">
      <c r="A2675">
        <v>469</v>
      </c>
      <c r="B2675">
        <v>1999</v>
      </c>
      <c r="C2675" s="8">
        <v>0</v>
      </c>
      <c r="D2675">
        <v>0.30016330000000002</v>
      </c>
      <c r="E2675">
        <v>0.61269130000000005</v>
      </c>
      <c r="F2675">
        <v>6.9634399999999999E-2</v>
      </c>
      <c r="G2675">
        <v>3.290991</v>
      </c>
      <c r="H2675">
        <v>0.3197643</v>
      </c>
      <c r="Q2675" s="10">
        <f t="shared" si="102"/>
        <v>1.3456809524463017E-4</v>
      </c>
      <c r="AI2675">
        <v>0.26457310000000001</v>
      </c>
      <c r="AJ2675">
        <f t="shared" si="101"/>
        <v>0.26457310000000001</v>
      </c>
      <c r="AO2675">
        <v>0.26457310000000001</v>
      </c>
      <c r="AR2675" s="8">
        <v>0</v>
      </c>
      <c r="AS2675">
        <v>1.25196</v>
      </c>
    </row>
    <row r="2676" spans="1:45" x14ac:dyDescent="0.25">
      <c r="A2676">
        <v>469</v>
      </c>
      <c r="B2676">
        <v>2000</v>
      </c>
      <c r="C2676" s="8">
        <v>0</v>
      </c>
      <c r="D2676">
        <v>0.2436265</v>
      </c>
      <c r="E2676">
        <v>0.70055199999999995</v>
      </c>
      <c r="F2676">
        <v>6.01275E-2</v>
      </c>
      <c r="G2676">
        <v>2.0583019999999999</v>
      </c>
      <c r="H2676">
        <v>0.30265419999999998</v>
      </c>
      <c r="Q2676" s="10">
        <f t="shared" si="102"/>
        <v>8.8006302122807642E-4</v>
      </c>
      <c r="AI2676">
        <v>0.21784490000000001</v>
      </c>
      <c r="AJ2676">
        <f t="shared" si="101"/>
        <v>0.21784490000000001</v>
      </c>
      <c r="AO2676">
        <v>0.21784490000000001</v>
      </c>
      <c r="AR2676" s="8">
        <v>0</v>
      </c>
      <c r="AS2676">
        <v>3.309857</v>
      </c>
    </row>
    <row r="2677" spans="1:45" x14ac:dyDescent="0.25">
      <c r="A2677">
        <v>469</v>
      </c>
      <c r="B2677">
        <v>2001</v>
      </c>
      <c r="C2677" s="8">
        <v>0</v>
      </c>
      <c r="D2677">
        <v>0.26457310000000001</v>
      </c>
      <c r="E2677">
        <v>0.71859729999999999</v>
      </c>
      <c r="F2677">
        <v>3.8996599999999999E-2</v>
      </c>
      <c r="G2677">
        <v>2.6743410000000001</v>
      </c>
      <c r="H2677">
        <v>0.29371130000000001</v>
      </c>
      <c r="Q2677" s="10">
        <f t="shared" si="102"/>
        <v>3.8172601858952801E-4</v>
      </c>
      <c r="AI2677">
        <v>0.2311087</v>
      </c>
      <c r="AJ2677">
        <f t="shared" si="101"/>
        <v>0.2311087</v>
      </c>
      <c r="AO2677">
        <v>0.2311087</v>
      </c>
      <c r="AR2677" s="8">
        <v>0</v>
      </c>
      <c r="AS2677">
        <v>3.290991</v>
      </c>
    </row>
    <row r="2678" spans="1:45" x14ac:dyDescent="0.25">
      <c r="A2678">
        <v>469</v>
      </c>
      <c r="B2678">
        <v>2002</v>
      </c>
      <c r="C2678" s="8">
        <v>0</v>
      </c>
      <c r="D2678">
        <v>0.21784490000000001</v>
      </c>
      <c r="E2678">
        <v>0.61937379999999997</v>
      </c>
      <c r="F2678">
        <v>5.7260900000000003E-2</v>
      </c>
      <c r="G2678">
        <v>1.6068899999999999</v>
      </c>
      <c r="H2678">
        <v>0.32489820000000003</v>
      </c>
      <c r="Q2678" s="10">
        <f t="shared" si="102"/>
        <v>2.0843684456292632E-3</v>
      </c>
      <c r="AI2678">
        <v>0.36150979999999999</v>
      </c>
      <c r="AJ2678">
        <f t="shared" si="101"/>
        <v>0.36150979999999999</v>
      </c>
      <c r="AO2678">
        <v>0.36150979999999999</v>
      </c>
      <c r="AR2678" s="8">
        <v>0</v>
      </c>
      <c r="AS2678">
        <v>2.0583019999999999</v>
      </c>
    </row>
    <row r="2679" spans="1:45" x14ac:dyDescent="0.25">
      <c r="A2679">
        <v>469</v>
      </c>
      <c r="B2679">
        <v>2003</v>
      </c>
      <c r="C2679" s="8">
        <v>0</v>
      </c>
      <c r="D2679">
        <v>0.2311087</v>
      </c>
      <c r="E2679">
        <v>0.62943550000000004</v>
      </c>
      <c r="F2679">
        <v>3.8009399999999999E-2</v>
      </c>
      <c r="G2679">
        <v>2.0611079999999999</v>
      </c>
      <c r="H2679">
        <v>0.4014375</v>
      </c>
      <c r="Q2679" s="10">
        <f t="shared" si="102"/>
        <v>1.2260282776869495E-3</v>
      </c>
      <c r="AI2679">
        <v>1.53118E-2</v>
      </c>
      <c r="AJ2679">
        <f t="shared" si="101"/>
        <v>1.53118E-2</v>
      </c>
      <c r="AO2679">
        <v>1.53118E-2</v>
      </c>
      <c r="AR2679" s="8">
        <v>0</v>
      </c>
      <c r="AS2679">
        <v>2.6743410000000001</v>
      </c>
    </row>
    <row r="2680" spans="1:45" x14ac:dyDescent="0.25">
      <c r="A2680">
        <v>469</v>
      </c>
      <c r="B2680">
        <v>2004</v>
      </c>
      <c r="C2680" s="8">
        <v>0</v>
      </c>
      <c r="D2680">
        <v>0.36150979999999999</v>
      </c>
      <c r="E2680">
        <v>0.6405267</v>
      </c>
      <c r="F2680">
        <v>0.1071737</v>
      </c>
      <c r="G2680">
        <v>3.1480060000000001</v>
      </c>
      <c r="H2680">
        <v>0.52960560000000001</v>
      </c>
      <c r="Q2680" s="10">
        <f t="shared" si="102"/>
        <v>1.4041985071312966E-4</v>
      </c>
      <c r="AI2680">
        <v>3.4916599999999999E-2</v>
      </c>
      <c r="AJ2680">
        <f t="shared" si="101"/>
        <v>3.4916599999999999E-2</v>
      </c>
      <c r="AO2680">
        <v>3.4916599999999999E-2</v>
      </c>
      <c r="AR2680" s="8">
        <v>0</v>
      </c>
      <c r="AS2680">
        <v>1.6068899999999999</v>
      </c>
    </row>
    <row r="2681" spans="1:45" x14ac:dyDescent="0.25">
      <c r="A2681">
        <v>470</v>
      </c>
      <c r="B2681">
        <v>1995</v>
      </c>
      <c r="C2681" s="8">
        <v>0</v>
      </c>
      <c r="D2681">
        <v>1.53118E-2</v>
      </c>
      <c r="E2681">
        <v>3.7521800000000001E-2</v>
      </c>
      <c r="F2681">
        <v>6.5557000000000004E-2</v>
      </c>
      <c r="G2681">
        <v>1.17946</v>
      </c>
      <c r="H2681">
        <v>0.1708952</v>
      </c>
      <c r="Q2681" s="10">
        <f t="shared" si="102"/>
        <v>7.467078116115947E-3</v>
      </c>
      <c r="AI2681">
        <v>0.2933405</v>
      </c>
      <c r="AJ2681">
        <f t="shared" si="101"/>
        <v>0.2933405</v>
      </c>
      <c r="AO2681">
        <v>0.2933405</v>
      </c>
      <c r="AR2681" s="8">
        <v>0</v>
      </c>
      <c r="AS2681">
        <v>2.0611079999999999</v>
      </c>
    </row>
    <row r="2682" spans="1:45" x14ac:dyDescent="0.25">
      <c r="A2682">
        <v>470</v>
      </c>
      <c r="B2682">
        <v>1996</v>
      </c>
      <c r="C2682" s="8">
        <v>0</v>
      </c>
      <c r="D2682">
        <v>3.4916599999999999E-2</v>
      </c>
      <c r="E2682">
        <v>4.8678899999999997E-2</v>
      </c>
      <c r="F2682">
        <v>6.0071800000000002E-2</v>
      </c>
      <c r="G2682">
        <v>1.054584</v>
      </c>
      <c r="H2682">
        <v>0.1517636</v>
      </c>
      <c r="Q2682" s="10">
        <f t="shared" si="102"/>
        <v>9.3144235427025206E-3</v>
      </c>
      <c r="AI2682">
        <v>0.24418670000000001</v>
      </c>
      <c r="AJ2682">
        <f t="shared" si="101"/>
        <v>0.24418670000000001</v>
      </c>
      <c r="AO2682">
        <v>0.24418670000000001</v>
      </c>
      <c r="AR2682" s="8">
        <v>0</v>
      </c>
      <c r="AS2682">
        <v>3.1480060000000001</v>
      </c>
    </row>
    <row r="2683" spans="1:45" x14ac:dyDescent="0.25">
      <c r="A2683">
        <v>471</v>
      </c>
      <c r="B2683">
        <v>1995</v>
      </c>
      <c r="C2683" s="8">
        <v>1</v>
      </c>
      <c r="D2683">
        <v>0.2933405</v>
      </c>
      <c r="E2683">
        <v>-0.48168539999999999</v>
      </c>
      <c r="F2683">
        <v>8.2482600000000003E-2</v>
      </c>
      <c r="G2683">
        <v>1.7309209999999999</v>
      </c>
      <c r="H2683">
        <v>0.24845690000000001</v>
      </c>
      <c r="Q2683" s="10">
        <f t="shared" si="102"/>
        <v>6.7883740610477673E-3</v>
      </c>
      <c r="AI2683">
        <v>0.25482500000000002</v>
      </c>
      <c r="AJ2683">
        <f t="shared" si="101"/>
        <v>0.25482500000000002</v>
      </c>
      <c r="AO2683">
        <v>0.25482500000000002</v>
      </c>
      <c r="AR2683" s="8">
        <v>0</v>
      </c>
      <c r="AS2683">
        <v>1.17946</v>
      </c>
    </row>
    <row r="2684" spans="1:45" x14ac:dyDescent="0.25">
      <c r="A2684">
        <v>471</v>
      </c>
      <c r="B2684">
        <v>1997</v>
      </c>
      <c r="C2684" s="8">
        <v>0</v>
      </c>
      <c r="D2684">
        <v>0.24418670000000001</v>
      </c>
      <c r="E2684">
        <v>-0.22265879999999999</v>
      </c>
      <c r="F2684">
        <v>6.2970100000000001E-2</v>
      </c>
      <c r="G2684">
        <v>2.5979350000000001</v>
      </c>
      <c r="H2684">
        <v>0.25398470000000001</v>
      </c>
      <c r="Q2684" s="10">
        <f t="shared" si="102"/>
        <v>1.3518985523753198E-3</v>
      </c>
      <c r="AI2684">
        <v>2.20967E-2</v>
      </c>
      <c r="AJ2684">
        <f t="shared" si="101"/>
        <v>2.20967E-2</v>
      </c>
      <c r="AO2684">
        <v>2.20967E-2</v>
      </c>
      <c r="AR2684" s="8">
        <v>0</v>
      </c>
      <c r="AS2684">
        <v>1.054584</v>
      </c>
    </row>
    <row r="2685" spans="1:45" x14ac:dyDescent="0.25">
      <c r="A2685">
        <v>471</v>
      </c>
      <c r="B2685">
        <v>1998</v>
      </c>
      <c r="C2685" s="8">
        <v>0</v>
      </c>
      <c r="D2685">
        <v>0.25482500000000002</v>
      </c>
      <c r="E2685">
        <v>-0.1291889</v>
      </c>
      <c r="F2685">
        <v>5.6925999999999997E-2</v>
      </c>
      <c r="G2685">
        <v>2.215894</v>
      </c>
      <c r="H2685">
        <v>0.21758710000000001</v>
      </c>
      <c r="Q2685" s="10">
        <f t="shared" si="102"/>
        <v>2.2338727926274372E-3</v>
      </c>
      <c r="AI2685">
        <v>2.7862399999999999E-2</v>
      </c>
      <c r="AJ2685">
        <f t="shared" si="101"/>
        <v>2.7862399999999999E-2</v>
      </c>
      <c r="AO2685">
        <v>2.7862399999999999E-2</v>
      </c>
      <c r="AR2685" s="8">
        <v>1</v>
      </c>
      <c r="AS2685">
        <v>1.7309209999999999</v>
      </c>
    </row>
    <row r="2686" spans="1:45" x14ac:dyDescent="0.25">
      <c r="A2686">
        <v>472</v>
      </c>
      <c r="B2686">
        <v>1995</v>
      </c>
      <c r="C2686" s="8">
        <v>0</v>
      </c>
      <c r="D2686">
        <v>2.20967E-2</v>
      </c>
      <c r="E2686">
        <v>-5.0216900000000002E-2</v>
      </c>
      <c r="F2686">
        <v>3.2364499999999997E-2</v>
      </c>
      <c r="G2686">
        <v>0.55021059999999999</v>
      </c>
      <c r="H2686">
        <v>0.1704089</v>
      </c>
      <c r="Q2686" s="10">
        <f t="shared" si="102"/>
        <v>2.9558054781727898E-2</v>
      </c>
      <c r="AI2686">
        <v>2.2653099999999999E-2</v>
      </c>
      <c r="AJ2686">
        <f t="shared" si="101"/>
        <v>2.2653099999999999E-2</v>
      </c>
      <c r="AO2686">
        <v>2.2653099999999999E-2</v>
      </c>
      <c r="AR2686" s="8">
        <v>0</v>
      </c>
      <c r="AS2686">
        <v>2.5979350000000001</v>
      </c>
    </row>
    <row r="2687" spans="1:45" x14ac:dyDescent="0.25">
      <c r="A2687">
        <v>472</v>
      </c>
      <c r="B2687">
        <v>1996</v>
      </c>
      <c r="C2687" s="8">
        <v>0</v>
      </c>
      <c r="D2687">
        <v>2.7862399999999999E-2</v>
      </c>
      <c r="E2687">
        <v>-1.9510799999999998E-2</v>
      </c>
      <c r="F2687">
        <v>5.9935599999999999E-2</v>
      </c>
      <c r="G2687">
        <v>0.64617500000000005</v>
      </c>
      <c r="H2687">
        <v>0.19441330000000001</v>
      </c>
      <c r="Q2687" s="10">
        <f t="shared" si="102"/>
        <v>1.999160934537739E-2</v>
      </c>
      <c r="AI2687">
        <v>2.5277999999999998E-2</v>
      </c>
      <c r="AJ2687">
        <f t="shared" si="101"/>
        <v>2.5277999999999998E-2</v>
      </c>
      <c r="AO2687">
        <v>2.5277999999999998E-2</v>
      </c>
      <c r="AR2687" s="8">
        <v>0</v>
      </c>
      <c r="AS2687">
        <v>2.215894</v>
      </c>
    </row>
    <row r="2688" spans="1:45" x14ac:dyDescent="0.25">
      <c r="A2688">
        <v>472</v>
      </c>
      <c r="B2688">
        <v>1997</v>
      </c>
      <c r="C2688" s="8">
        <v>0</v>
      </c>
      <c r="D2688">
        <v>2.2653099999999999E-2</v>
      </c>
      <c r="E2688">
        <v>-3.7506699999999997E-2</v>
      </c>
      <c r="F2688">
        <v>2.1306200000000001E-2</v>
      </c>
      <c r="G2688">
        <v>0.95263249999999999</v>
      </c>
      <c r="H2688">
        <v>0.15681809999999999</v>
      </c>
      <c r="Q2688" s="10">
        <f t="shared" si="102"/>
        <v>1.6775642829440378E-2</v>
      </c>
      <c r="AI2688">
        <v>1.58516E-2</v>
      </c>
      <c r="AJ2688">
        <f t="shared" si="101"/>
        <v>1.58516E-2</v>
      </c>
      <c r="AO2688">
        <v>1.58516E-2</v>
      </c>
      <c r="AR2688" s="8">
        <v>0</v>
      </c>
      <c r="AS2688">
        <v>0.55021059999999999</v>
      </c>
    </row>
    <row r="2689" spans="1:45" x14ac:dyDescent="0.25">
      <c r="A2689">
        <v>472</v>
      </c>
      <c r="B2689">
        <v>1998</v>
      </c>
      <c r="C2689" s="8">
        <v>0</v>
      </c>
      <c r="D2689">
        <v>2.5277999999999998E-2</v>
      </c>
      <c r="E2689">
        <v>-1.62507E-2</v>
      </c>
      <c r="F2689">
        <v>3.0195900000000001E-2</v>
      </c>
      <c r="G2689">
        <v>0.53979100000000002</v>
      </c>
      <c r="H2689">
        <v>0.14690420000000001</v>
      </c>
      <c r="Q2689" s="10">
        <f t="shared" si="102"/>
        <v>2.8746275834478641E-2</v>
      </c>
      <c r="AI2689">
        <v>2.9989000000000001E-3</v>
      </c>
      <c r="AJ2689">
        <f t="shared" si="101"/>
        <v>2.9989000000000001E-3</v>
      </c>
      <c r="AO2689">
        <v>2.9989000000000001E-3</v>
      </c>
      <c r="AR2689" s="8">
        <v>0</v>
      </c>
      <c r="AS2689">
        <v>0.64617500000000005</v>
      </c>
    </row>
    <row r="2690" spans="1:45" x14ac:dyDescent="0.25">
      <c r="A2690">
        <v>472</v>
      </c>
      <c r="B2690">
        <v>1999</v>
      </c>
      <c r="C2690" s="8">
        <v>0</v>
      </c>
      <c r="D2690">
        <v>1.58516E-2</v>
      </c>
      <c r="E2690">
        <v>1.5391999999999999E-3</v>
      </c>
      <c r="F2690">
        <v>6.9044700000000001E-2</v>
      </c>
      <c r="G2690">
        <v>0.77781029999999995</v>
      </c>
      <c r="H2690">
        <v>0.21690319999999999</v>
      </c>
      <c r="Q2690" s="10">
        <f t="shared" si="102"/>
        <v>1.4824583739034817E-2</v>
      </c>
      <c r="AI2690">
        <v>9.1982000000000001E-3</v>
      </c>
      <c r="AJ2690">
        <f t="shared" si="101"/>
        <v>9.1982000000000001E-3</v>
      </c>
      <c r="AO2690">
        <v>9.1982000000000001E-3</v>
      </c>
      <c r="AR2690" s="8">
        <v>0</v>
      </c>
      <c r="AS2690">
        <v>0.95263249999999999</v>
      </c>
    </row>
    <row r="2691" spans="1:45" x14ac:dyDescent="0.25">
      <c r="A2691">
        <v>472</v>
      </c>
      <c r="B2691">
        <v>2000</v>
      </c>
      <c r="C2691" s="8">
        <v>0</v>
      </c>
      <c r="D2691">
        <v>2.9989000000000001E-3</v>
      </c>
      <c r="E2691">
        <v>8.8608800000000001E-2</v>
      </c>
      <c r="F2691">
        <v>8.2901100000000005E-2</v>
      </c>
      <c r="G2691">
        <v>0.64454120000000004</v>
      </c>
      <c r="H2691">
        <v>0.22437489999999999</v>
      </c>
      <c r="Q2691" s="10">
        <f t="shared" si="102"/>
        <v>1.4453056280003757E-2</v>
      </c>
      <c r="AI2691">
        <v>1.26386E-2</v>
      </c>
      <c r="AJ2691">
        <f t="shared" si="101"/>
        <v>1.26386E-2</v>
      </c>
      <c r="AO2691">
        <v>1.26386E-2</v>
      </c>
      <c r="AR2691" s="8">
        <v>0</v>
      </c>
      <c r="AS2691">
        <v>0.53979100000000002</v>
      </c>
    </row>
    <row r="2692" spans="1:45" x14ac:dyDescent="0.25">
      <c r="A2692">
        <v>472</v>
      </c>
      <c r="B2692">
        <v>2001</v>
      </c>
      <c r="C2692" s="8">
        <v>0</v>
      </c>
      <c r="D2692">
        <v>9.1982000000000001E-3</v>
      </c>
      <c r="E2692">
        <v>0.12986990000000001</v>
      </c>
      <c r="F2692">
        <v>3.3117099999999997E-2</v>
      </c>
      <c r="G2692">
        <v>0.84494809999999998</v>
      </c>
      <c r="H2692">
        <v>0.1098589</v>
      </c>
      <c r="Q2692" s="10">
        <f t="shared" si="102"/>
        <v>1.3764173074944869E-2</v>
      </c>
      <c r="AI2692">
        <v>2.84833E-2</v>
      </c>
      <c r="AJ2692">
        <f t="shared" si="101"/>
        <v>2.84833E-2</v>
      </c>
      <c r="AO2692">
        <v>2.84833E-2</v>
      </c>
      <c r="AR2692" s="8">
        <v>0</v>
      </c>
      <c r="AS2692">
        <v>0.77781029999999995</v>
      </c>
    </row>
    <row r="2693" spans="1:45" x14ac:dyDescent="0.25">
      <c r="A2693">
        <v>472</v>
      </c>
      <c r="B2693">
        <v>2002</v>
      </c>
      <c r="C2693" s="8">
        <v>0</v>
      </c>
      <c r="D2693">
        <v>1.26386E-2</v>
      </c>
      <c r="E2693">
        <v>0.16588140000000001</v>
      </c>
      <c r="F2693">
        <v>8.6468100000000006E-2</v>
      </c>
      <c r="G2693">
        <v>1.0771310000000001</v>
      </c>
      <c r="H2693">
        <v>0.15559000000000001</v>
      </c>
      <c r="Q2693" s="10">
        <f t="shared" si="102"/>
        <v>6.1131276462859478E-3</v>
      </c>
      <c r="AI2693">
        <v>0.19904179999999999</v>
      </c>
      <c r="AJ2693">
        <f t="shared" ref="AJ2693:AJ2756" si="103">MAX(MIN(AI2693,AM$5),AM$4)</f>
        <v>0.19904179999999999</v>
      </c>
      <c r="AO2693">
        <v>0.19904179999999999</v>
      </c>
      <c r="AR2693" s="8">
        <v>0</v>
      </c>
      <c r="AS2693">
        <v>0.64454120000000004</v>
      </c>
    </row>
    <row r="2694" spans="1:45" x14ac:dyDescent="0.25">
      <c r="A2694">
        <v>472</v>
      </c>
      <c r="B2694">
        <v>2003</v>
      </c>
      <c r="C2694" s="8">
        <v>0</v>
      </c>
      <c r="D2694">
        <v>2.84833E-2</v>
      </c>
      <c r="E2694">
        <v>0.23458380000000001</v>
      </c>
      <c r="F2694">
        <v>7.2260699999999997E-2</v>
      </c>
      <c r="G2694">
        <v>1.617405</v>
      </c>
      <c r="H2694">
        <v>0.15378820000000001</v>
      </c>
      <c r="Q2694" s="10">
        <f t="shared" si="102"/>
        <v>2.643612247496823E-3</v>
      </c>
      <c r="AI2694">
        <v>0.2251302</v>
      </c>
      <c r="AJ2694">
        <f t="shared" si="103"/>
        <v>0.2251302</v>
      </c>
      <c r="AO2694">
        <v>0.2251302</v>
      </c>
      <c r="AR2694" s="8">
        <v>0</v>
      </c>
      <c r="AS2694">
        <v>0.84494809999999998</v>
      </c>
    </row>
    <row r="2695" spans="1:45" x14ac:dyDescent="0.25">
      <c r="A2695">
        <v>473</v>
      </c>
      <c r="B2695">
        <v>1997</v>
      </c>
      <c r="C2695" s="8">
        <v>0</v>
      </c>
      <c r="D2695">
        <v>0.19904179999999999</v>
      </c>
      <c r="E2695">
        <v>0.2356374</v>
      </c>
      <c r="F2695">
        <v>4.5775900000000001E-2</v>
      </c>
      <c r="G2695">
        <v>0.97379970000000005</v>
      </c>
      <c r="H2695">
        <v>0.17857999999999999</v>
      </c>
      <c r="Q2695" s="10">
        <f t="shared" ref="Q2695:Q2758" si="104">1/(1+EXP(-(J$6+SUMPRODUCT(K$6:O$6,D2695:H2695))))</f>
        <v>9.8444689276068649E-3</v>
      </c>
      <c r="AI2695">
        <v>0.1731298</v>
      </c>
      <c r="AJ2695">
        <f t="shared" si="103"/>
        <v>0.1731298</v>
      </c>
      <c r="AO2695">
        <v>0.1731298</v>
      </c>
      <c r="AR2695" s="8">
        <v>0</v>
      </c>
      <c r="AS2695">
        <v>1.0771310000000001</v>
      </c>
    </row>
    <row r="2696" spans="1:45" x14ac:dyDescent="0.25">
      <c r="A2696">
        <v>473</v>
      </c>
      <c r="B2696">
        <v>1998</v>
      </c>
      <c r="C2696" s="8">
        <v>0</v>
      </c>
      <c r="D2696">
        <v>0.2251302</v>
      </c>
      <c r="E2696">
        <v>0.26403159999999998</v>
      </c>
      <c r="F2696">
        <v>3.6089000000000003E-2</v>
      </c>
      <c r="G2696">
        <v>0.60014749999999994</v>
      </c>
      <c r="H2696">
        <v>0.1720257</v>
      </c>
      <c r="Q2696" s="10">
        <f t="shared" si="104"/>
        <v>1.8477468405579598E-2</v>
      </c>
      <c r="AI2696">
        <v>0.2030081</v>
      </c>
      <c r="AJ2696">
        <f t="shared" si="103"/>
        <v>0.2030081</v>
      </c>
      <c r="AO2696">
        <v>0.2030081</v>
      </c>
      <c r="AR2696" s="8">
        <v>0</v>
      </c>
      <c r="AS2696">
        <v>1.617405</v>
      </c>
    </row>
    <row r="2697" spans="1:45" x14ac:dyDescent="0.25">
      <c r="A2697">
        <v>473</v>
      </c>
      <c r="B2697">
        <v>1999</v>
      </c>
      <c r="C2697" s="8">
        <v>0</v>
      </c>
      <c r="D2697">
        <v>0.1731298</v>
      </c>
      <c r="E2697">
        <v>0.2430891</v>
      </c>
      <c r="F2697">
        <v>3.5283799999999997E-2</v>
      </c>
      <c r="G2697">
        <v>0.67305499999999996</v>
      </c>
      <c r="H2697">
        <v>0.16916639999999999</v>
      </c>
      <c r="Q2697" s="10">
        <f t="shared" si="104"/>
        <v>1.6705562940480766E-2</v>
      </c>
      <c r="AI2697">
        <v>0.19788900000000001</v>
      </c>
      <c r="AJ2697">
        <f t="shared" si="103"/>
        <v>0.19788900000000001</v>
      </c>
      <c r="AO2697">
        <v>0.19788900000000001</v>
      </c>
      <c r="AR2697" s="8">
        <v>0</v>
      </c>
      <c r="AS2697">
        <v>0.97379970000000005</v>
      </c>
    </row>
    <row r="2698" spans="1:45" x14ac:dyDescent="0.25">
      <c r="A2698">
        <v>473</v>
      </c>
      <c r="B2698">
        <v>2000</v>
      </c>
      <c r="C2698" s="8">
        <v>0</v>
      </c>
      <c r="D2698">
        <v>0.2030081</v>
      </c>
      <c r="E2698">
        <v>0.2484653</v>
      </c>
      <c r="F2698">
        <v>4.6390300000000002E-2</v>
      </c>
      <c r="G2698">
        <v>1.1880200000000001</v>
      </c>
      <c r="H2698">
        <v>0.19260820000000001</v>
      </c>
      <c r="Q2698" s="10">
        <f t="shared" si="104"/>
        <v>6.9257301540569761E-3</v>
      </c>
      <c r="AI2698">
        <v>0.14262449999999999</v>
      </c>
      <c r="AJ2698">
        <f t="shared" si="103"/>
        <v>0.14262449999999999</v>
      </c>
      <c r="AO2698">
        <v>0.14262449999999999</v>
      </c>
      <c r="AR2698" s="8">
        <v>0</v>
      </c>
      <c r="AS2698">
        <v>0.60014749999999994</v>
      </c>
    </row>
    <row r="2699" spans="1:45" x14ac:dyDescent="0.25">
      <c r="A2699">
        <v>473</v>
      </c>
      <c r="B2699">
        <v>2001</v>
      </c>
      <c r="C2699" s="8">
        <v>0</v>
      </c>
      <c r="D2699">
        <v>0.19788900000000001</v>
      </c>
      <c r="E2699">
        <v>0.29036729999999999</v>
      </c>
      <c r="F2699">
        <v>3.9732900000000002E-2</v>
      </c>
      <c r="G2699">
        <v>1.0512790000000001</v>
      </c>
      <c r="H2699">
        <v>0.19466839999999999</v>
      </c>
      <c r="Q2699" s="10">
        <f t="shared" si="104"/>
        <v>8.5251723817842424E-3</v>
      </c>
      <c r="AI2699">
        <v>0.2811978</v>
      </c>
      <c r="AJ2699">
        <f t="shared" si="103"/>
        <v>0.2811978</v>
      </c>
      <c r="AO2699">
        <v>0.2811978</v>
      </c>
      <c r="AR2699" s="8">
        <v>0</v>
      </c>
      <c r="AS2699">
        <v>0.67305499999999996</v>
      </c>
    </row>
    <row r="2700" spans="1:45" x14ac:dyDescent="0.25">
      <c r="A2700">
        <v>473</v>
      </c>
      <c r="B2700">
        <v>2002</v>
      </c>
      <c r="C2700" s="8">
        <v>0</v>
      </c>
      <c r="D2700">
        <v>0.14262449999999999</v>
      </c>
      <c r="E2700">
        <v>0.27796539999999997</v>
      </c>
      <c r="F2700">
        <v>3.7073799999999997E-2</v>
      </c>
      <c r="G2700">
        <v>0.77854429999999997</v>
      </c>
      <c r="H2700">
        <v>0.1829094</v>
      </c>
      <c r="Q2700" s="10">
        <f t="shared" si="104"/>
        <v>1.3223767259906954E-2</v>
      </c>
      <c r="AI2700">
        <v>0.27722020000000003</v>
      </c>
      <c r="AJ2700">
        <f t="shared" si="103"/>
        <v>0.27722020000000003</v>
      </c>
      <c r="AO2700">
        <v>0.27722020000000003</v>
      </c>
      <c r="AR2700" s="8">
        <v>0</v>
      </c>
      <c r="AS2700">
        <v>1.1880200000000001</v>
      </c>
    </row>
    <row r="2701" spans="1:45" x14ac:dyDescent="0.25">
      <c r="A2701">
        <v>473</v>
      </c>
      <c r="B2701">
        <v>2003</v>
      </c>
      <c r="C2701" s="8">
        <v>0</v>
      </c>
      <c r="D2701">
        <v>0.2811978</v>
      </c>
      <c r="E2701">
        <v>0.31691200000000003</v>
      </c>
      <c r="F2701">
        <v>4.51984E-2</v>
      </c>
      <c r="G2701">
        <v>0.89833649999999998</v>
      </c>
      <c r="H2701">
        <v>0.17859439999999999</v>
      </c>
      <c r="Q2701" s="10">
        <f t="shared" si="104"/>
        <v>1.0249782182367681E-2</v>
      </c>
      <c r="AI2701">
        <v>0.12624869999999999</v>
      </c>
      <c r="AJ2701">
        <f t="shared" si="103"/>
        <v>0.12624869999999999</v>
      </c>
      <c r="AO2701">
        <v>0.12624869999999999</v>
      </c>
      <c r="AR2701" s="8">
        <v>0</v>
      </c>
      <c r="AS2701">
        <v>1.0512790000000001</v>
      </c>
    </row>
    <row r="2702" spans="1:45" x14ac:dyDescent="0.25">
      <c r="A2702">
        <v>473</v>
      </c>
      <c r="B2702">
        <v>2004</v>
      </c>
      <c r="C2702" s="8">
        <v>0</v>
      </c>
      <c r="D2702">
        <v>0.27722020000000003</v>
      </c>
      <c r="E2702">
        <v>0.33665299999999998</v>
      </c>
      <c r="F2702">
        <v>3.4217900000000002E-2</v>
      </c>
      <c r="G2702">
        <v>1.2542</v>
      </c>
      <c r="H2702">
        <v>0.18331020000000001</v>
      </c>
      <c r="Q2702" s="10">
        <f t="shared" si="104"/>
        <v>6.2005703355656507E-3</v>
      </c>
      <c r="AI2702">
        <v>0.1217107</v>
      </c>
      <c r="AJ2702">
        <f t="shared" si="103"/>
        <v>0.1217107</v>
      </c>
      <c r="AO2702">
        <v>0.1217107</v>
      </c>
      <c r="AR2702" s="8">
        <v>0</v>
      </c>
      <c r="AS2702">
        <v>0.77854429999999997</v>
      </c>
    </row>
    <row r="2703" spans="1:45" x14ac:dyDescent="0.25">
      <c r="A2703">
        <v>474</v>
      </c>
      <c r="B2703">
        <v>1995</v>
      </c>
      <c r="C2703" s="8">
        <v>0</v>
      </c>
      <c r="D2703">
        <v>0.12624869999999999</v>
      </c>
      <c r="E2703">
        <v>0.13136039999999999</v>
      </c>
      <c r="F2703">
        <v>4.41492E-2</v>
      </c>
      <c r="G2703">
        <v>0.36127930000000003</v>
      </c>
      <c r="H2703">
        <v>0.17866000000000001</v>
      </c>
      <c r="Q2703" s="10">
        <f t="shared" si="104"/>
        <v>2.9302962879430187E-2</v>
      </c>
      <c r="AI2703">
        <v>0.1029144</v>
      </c>
      <c r="AJ2703">
        <f t="shared" si="103"/>
        <v>0.1029144</v>
      </c>
      <c r="AO2703">
        <v>0.1029144</v>
      </c>
      <c r="AR2703" s="8">
        <v>0</v>
      </c>
      <c r="AS2703">
        <v>0.89833649999999998</v>
      </c>
    </row>
    <row r="2704" spans="1:45" x14ac:dyDescent="0.25">
      <c r="A2704">
        <v>474</v>
      </c>
      <c r="B2704">
        <v>1996</v>
      </c>
      <c r="C2704" s="8">
        <v>0</v>
      </c>
      <c r="D2704">
        <v>0.1217107</v>
      </c>
      <c r="E2704">
        <v>0.1029817</v>
      </c>
      <c r="F2704">
        <v>4.8257700000000001E-2</v>
      </c>
      <c r="G2704">
        <v>0.34480739999999999</v>
      </c>
      <c r="H2704">
        <v>0.1641782</v>
      </c>
      <c r="Q2704" s="10">
        <f t="shared" si="104"/>
        <v>2.9987382668378151E-2</v>
      </c>
      <c r="AI2704">
        <v>0.1123623</v>
      </c>
      <c r="AJ2704">
        <f t="shared" si="103"/>
        <v>0.1123623</v>
      </c>
      <c r="AO2704">
        <v>0.1123623</v>
      </c>
      <c r="AR2704" s="8">
        <v>0</v>
      </c>
      <c r="AS2704">
        <v>1.2542</v>
      </c>
    </row>
    <row r="2705" spans="1:45" x14ac:dyDescent="0.25">
      <c r="A2705">
        <v>474</v>
      </c>
      <c r="B2705">
        <v>1997</v>
      </c>
      <c r="C2705" s="8">
        <v>0</v>
      </c>
      <c r="D2705">
        <v>0.1029144</v>
      </c>
      <c r="E2705">
        <v>0.13014149999999999</v>
      </c>
      <c r="F2705">
        <v>4.84208E-2</v>
      </c>
      <c r="G2705">
        <v>0.49071360000000003</v>
      </c>
      <c r="H2705">
        <v>0.1357196</v>
      </c>
      <c r="Q2705" s="10">
        <f t="shared" si="104"/>
        <v>2.2416889167395326E-2</v>
      </c>
      <c r="AI2705">
        <v>0.17883779999999999</v>
      </c>
      <c r="AJ2705">
        <f t="shared" si="103"/>
        <v>0.17883779999999999</v>
      </c>
      <c r="AO2705">
        <v>0.17883779999999999</v>
      </c>
      <c r="AR2705" s="8">
        <v>0</v>
      </c>
      <c r="AS2705">
        <v>0.36127930000000003</v>
      </c>
    </row>
    <row r="2706" spans="1:45" x14ac:dyDescent="0.25">
      <c r="A2706">
        <v>474</v>
      </c>
      <c r="B2706">
        <v>1998</v>
      </c>
      <c r="C2706" s="8">
        <v>0</v>
      </c>
      <c r="D2706">
        <v>0.1123623</v>
      </c>
      <c r="E2706">
        <v>0.1106953</v>
      </c>
      <c r="F2706">
        <v>5.1487400000000003E-2</v>
      </c>
      <c r="G2706">
        <v>0.39410269999999997</v>
      </c>
      <c r="H2706">
        <v>9.7117599999999998E-2</v>
      </c>
      <c r="Q2706" s="10">
        <f t="shared" si="104"/>
        <v>2.5641376102672069E-2</v>
      </c>
      <c r="AI2706">
        <v>7.6404399999999997E-2</v>
      </c>
      <c r="AJ2706">
        <f t="shared" si="103"/>
        <v>7.6404399999999997E-2</v>
      </c>
      <c r="AO2706">
        <v>7.6404399999999997E-2</v>
      </c>
      <c r="AR2706" s="8">
        <v>0</v>
      </c>
      <c r="AS2706">
        <v>0.34480739999999999</v>
      </c>
    </row>
    <row r="2707" spans="1:45" x14ac:dyDescent="0.25">
      <c r="A2707">
        <v>474</v>
      </c>
      <c r="B2707">
        <v>1999</v>
      </c>
      <c r="C2707" s="8">
        <v>0</v>
      </c>
      <c r="D2707">
        <v>0.17883779999999999</v>
      </c>
      <c r="E2707">
        <v>9.4363100000000005E-2</v>
      </c>
      <c r="F2707">
        <v>3.33771E-2</v>
      </c>
      <c r="G2707">
        <v>0.21325540000000001</v>
      </c>
      <c r="H2707">
        <v>0.1129783</v>
      </c>
      <c r="Q2707" s="10">
        <f t="shared" si="104"/>
        <v>4.1352683106377894E-2</v>
      </c>
      <c r="AI2707">
        <v>-5.4135900000000001E-2</v>
      </c>
      <c r="AJ2707">
        <f t="shared" si="103"/>
        <v>-5.4135900000000001E-2</v>
      </c>
      <c r="AO2707">
        <v>-5.4135900000000001E-2</v>
      </c>
      <c r="AR2707" s="8">
        <v>0</v>
      </c>
      <c r="AS2707">
        <v>0.49071360000000003</v>
      </c>
    </row>
    <row r="2708" spans="1:45" x14ac:dyDescent="0.25">
      <c r="A2708">
        <v>474</v>
      </c>
      <c r="B2708">
        <v>2000</v>
      </c>
      <c r="C2708" s="8">
        <v>0</v>
      </c>
      <c r="D2708">
        <v>7.6404399999999997E-2</v>
      </c>
      <c r="E2708">
        <v>5.62671E-2</v>
      </c>
      <c r="F2708">
        <v>3.9480800000000003E-2</v>
      </c>
      <c r="G2708">
        <v>0.29221659999999999</v>
      </c>
      <c r="H2708">
        <v>0.1220295</v>
      </c>
      <c r="Q2708" s="10">
        <f t="shared" si="104"/>
        <v>3.5588753982617932E-2</v>
      </c>
      <c r="AI2708">
        <v>-2.8395699999999999E-2</v>
      </c>
      <c r="AJ2708">
        <f t="shared" si="103"/>
        <v>-2.8395699999999999E-2</v>
      </c>
      <c r="AO2708">
        <v>-2.8395699999999999E-2</v>
      </c>
      <c r="AR2708" s="8">
        <v>0</v>
      </c>
      <c r="AS2708">
        <v>0.39410269999999997</v>
      </c>
    </row>
    <row r="2709" spans="1:45" x14ac:dyDescent="0.25">
      <c r="A2709">
        <v>474</v>
      </c>
      <c r="B2709">
        <v>2001</v>
      </c>
      <c r="C2709" s="8">
        <v>1</v>
      </c>
      <c r="D2709">
        <v>-5.4135900000000001E-2</v>
      </c>
      <c r="E2709">
        <v>-3.03141E-2</v>
      </c>
      <c r="F2709">
        <v>2.9028499999999999E-2</v>
      </c>
      <c r="G2709">
        <v>8.9803400000000005E-2</v>
      </c>
      <c r="H2709">
        <v>0.1070989</v>
      </c>
      <c r="Q2709" s="10">
        <f t="shared" si="104"/>
        <v>5.5683783201761206E-2</v>
      </c>
      <c r="AI2709">
        <v>-5.6229099999999997E-2</v>
      </c>
      <c r="AJ2709">
        <f t="shared" si="103"/>
        <v>-5.6229099999999997E-2</v>
      </c>
      <c r="AO2709">
        <v>-5.6229099999999997E-2</v>
      </c>
      <c r="AR2709" s="8">
        <v>0</v>
      </c>
      <c r="AS2709">
        <v>0.21325540000000001</v>
      </c>
    </row>
    <row r="2710" spans="1:45" x14ac:dyDescent="0.25">
      <c r="A2710">
        <v>475</v>
      </c>
      <c r="B2710">
        <v>2001</v>
      </c>
      <c r="C2710" s="8">
        <v>0</v>
      </c>
      <c r="D2710">
        <v>-2.8395699999999999E-2</v>
      </c>
      <c r="E2710">
        <v>7.6872099999999999E-2</v>
      </c>
      <c r="F2710">
        <v>4.2883699999999997E-2</v>
      </c>
      <c r="G2710">
        <v>0.38456089999999998</v>
      </c>
      <c r="H2710">
        <v>8.7278900000000006E-2</v>
      </c>
      <c r="Q2710" s="10">
        <f t="shared" si="104"/>
        <v>2.7417010474920435E-2</v>
      </c>
      <c r="AI2710">
        <v>-5.33584E-2</v>
      </c>
      <c r="AJ2710">
        <f t="shared" si="103"/>
        <v>-5.33584E-2</v>
      </c>
      <c r="AO2710">
        <v>-5.33584E-2</v>
      </c>
      <c r="AR2710" s="8">
        <v>0</v>
      </c>
      <c r="AS2710">
        <v>0.29221659999999999</v>
      </c>
    </row>
    <row r="2711" spans="1:45" x14ac:dyDescent="0.25">
      <c r="A2711">
        <v>475</v>
      </c>
      <c r="B2711">
        <v>2002</v>
      </c>
      <c r="C2711" s="8">
        <v>0</v>
      </c>
      <c r="D2711">
        <v>-5.6229099999999997E-2</v>
      </c>
      <c r="E2711">
        <v>5.8316600000000003E-2</v>
      </c>
      <c r="F2711">
        <v>2.9619199999999998E-2</v>
      </c>
      <c r="G2711">
        <v>0.394065</v>
      </c>
      <c r="H2711">
        <v>0.112821</v>
      </c>
      <c r="Q2711" s="10">
        <f t="shared" si="104"/>
        <v>3.0871647127968249E-2</v>
      </c>
      <c r="AI2711">
        <v>-8.9280999999999996E-3</v>
      </c>
      <c r="AJ2711">
        <f t="shared" si="103"/>
        <v>-8.9280999999999996E-3</v>
      </c>
      <c r="AO2711">
        <v>-8.9280999999999996E-3</v>
      </c>
      <c r="AR2711" s="8">
        <v>1</v>
      </c>
      <c r="AS2711">
        <v>8.9803400000000005E-2</v>
      </c>
    </row>
    <row r="2712" spans="1:45" x14ac:dyDescent="0.25">
      <c r="A2712">
        <v>475</v>
      </c>
      <c r="B2712">
        <v>2003</v>
      </c>
      <c r="C2712" s="8">
        <v>0</v>
      </c>
      <c r="D2712">
        <v>-5.33584E-2</v>
      </c>
      <c r="E2712">
        <v>7.3850399999999997E-2</v>
      </c>
      <c r="F2712">
        <v>3.1536399999999999E-2</v>
      </c>
      <c r="G2712">
        <v>0.50049359999999998</v>
      </c>
      <c r="H2712">
        <v>0.1132674</v>
      </c>
      <c r="Q2712" s="10">
        <f t="shared" si="104"/>
        <v>2.5268120714046695E-2</v>
      </c>
      <c r="AI2712">
        <v>-0.1044914</v>
      </c>
      <c r="AJ2712">
        <f t="shared" si="103"/>
        <v>-0.1044914</v>
      </c>
      <c r="AO2712">
        <v>-0.1044914</v>
      </c>
      <c r="AR2712" s="8">
        <v>0</v>
      </c>
      <c r="AS2712">
        <v>0.38456089999999998</v>
      </c>
    </row>
    <row r="2713" spans="1:45" x14ac:dyDescent="0.25">
      <c r="A2713">
        <v>475</v>
      </c>
      <c r="B2713">
        <v>2004</v>
      </c>
      <c r="C2713" s="8">
        <v>0</v>
      </c>
      <c r="D2713">
        <v>-8.9280999999999996E-3</v>
      </c>
      <c r="E2713">
        <v>8.7687000000000001E-2</v>
      </c>
      <c r="F2713">
        <v>6.0340400000000002E-2</v>
      </c>
      <c r="G2713">
        <v>0.62621910000000003</v>
      </c>
      <c r="H2713">
        <v>0.120267</v>
      </c>
      <c r="Q2713" s="10">
        <f t="shared" si="104"/>
        <v>1.6614123013699408E-2</v>
      </c>
      <c r="AI2713">
        <v>3.4243999999999997E-2</v>
      </c>
      <c r="AJ2713">
        <f t="shared" si="103"/>
        <v>3.4243999999999997E-2</v>
      </c>
      <c r="AO2713">
        <v>3.4243999999999997E-2</v>
      </c>
      <c r="AR2713" s="8">
        <v>0</v>
      </c>
      <c r="AS2713">
        <v>0.394065</v>
      </c>
    </row>
    <row r="2714" spans="1:45" x14ac:dyDescent="0.25">
      <c r="A2714">
        <v>476</v>
      </c>
      <c r="B2714">
        <v>1999</v>
      </c>
      <c r="C2714" s="8">
        <v>0</v>
      </c>
      <c r="D2714">
        <v>-0.1044914</v>
      </c>
      <c r="E2714">
        <v>0.17157210000000001</v>
      </c>
      <c r="F2714">
        <v>3.9959700000000001E-2</v>
      </c>
      <c r="G2714">
        <v>0.53365220000000002</v>
      </c>
      <c r="H2714">
        <v>0.19003159999999999</v>
      </c>
      <c r="Q2714" s="10">
        <f t="shared" si="104"/>
        <v>2.006429819036527E-2</v>
      </c>
      <c r="AI2714">
        <v>1.2557199999999999E-2</v>
      </c>
      <c r="AJ2714">
        <f t="shared" si="103"/>
        <v>1.2557199999999999E-2</v>
      </c>
      <c r="AO2714">
        <v>1.2557199999999999E-2</v>
      </c>
      <c r="AR2714" s="8">
        <v>0</v>
      </c>
      <c r="AS2714">
        <v>0.50049359999999998</v>
      </c>
    </row>
    <row r="2715" spans="1:45" x14ac:dyDescent="0.25">
      <c r="A2715">
        <v>476</v>
      </c>
      <c r="B2715">
        <v>2000</v>
      </c>
      <c r="C2715" s="8">
        <v>0</v>
      </c>
      <c r="D2715">
        <v>3.4243999999999997E-2</v>
      </c>
      <c r="E2715">
        <v>0.1697987</v>
      </c>
      <c r="F2715">
        <v>4.0645100000000003E-2</v>
      </c>
      <c r="G2715">
        <v>0.62367110000000003</v>
      </c>
      <c r="H2715">
        <v>0.2619283</v>
      </c>
      <c r="Q2715" s="10">
        <f t="shared" si="104"/>
        <v>1.9211354259355343E-2</v>
      </c>
      <c r="AI2715">
        <v>-2.4237E-3</v>
      </c>
      <c r="AJ2715">
        <f t="shared" si="103"/>
        <v>-2.4237E-3</v>
      </c>
      <c r="AO2715">
        <v>-2.4237E-3</v>
      </c>
      <c r="AR2715" s="8">
        <v>0</v>
      </c>
      <c r="AS2715">
        <v>0.62621910000000003</v>
      </c>
    </row>
    <row r="2716" spans="1:45" x14ac:dyDescent="0.25">
      <c r="A2716">
        <v>476</v>
      </c>
      <c r="B2716">
        <v>2001</v>
      </c>
      <c r="C2716" s="8">
        <v>0</v>
      </c>
      <c r="D2716">
        <v>1.2557199999999999E-2</v>
      </c>
      <c r="E2716">
        <v>0.17880960000000001</v>
      </c>
      <c r="F2716">
        <v>3.4921899999999999E-2</v>
      </c>
      <c r="G2716">
        <v>0.63363829999999999</v>
      </c>
      <c r="H2716">
        <v>0.14766360000000001</v>
      </c>
      <c r="Q2716" s="10">
        <f t="shared" si="104"/>
        <v>1.8059477986070358E-2</v>
      </c>
      <c r="AI2716">
        <v>6.5266500000000005E-2</v>
      </c>
      <c r="AJ2716">
        <f t="shared" si="103"/>
        <v>6.5266500000000005E-2</v>
      </c>
      <c r="AO2716">
        <v>6.5266500000000005E-2</v>
      </c>
      <c r="AR2716" s="8">
        <v>0</v>
      </c>
      <c r="AS2716">
        <v>0.53365220000000002</v>
      </c>
    </row>
    <row r="2717" spans="1:45" x14ac:dyDescent="0.25">
      <c r="A2717">
        <v>476</v>
      </c>
      <c r="B2717">
        <v>2002</v>
      </c>
      <c r="C2717" s="8">
        <v>0</v>
      </c>
      <c r="D2717">
        <v>-2.4237E-3</v>
      </c>
      <c r="E2717">
        <v>0.15778890000000001</v>
      </c>
      <c r="F2717">
        <v>5.7029999999999997E-3</v>
      </c>
      <c r="G2717">
        <v>0.47258610000000001</v>
      </c>
      <c r="H2717">
        <v>0.24469859999999999</v>
      </c>
      <c r="Q2717" s="10">
        <f t="shared" si="104"/>
        <v>3.16457726594436E-2</v>
      </c>
      <c r="AI2717">
        <v>5.2537E-2</v>
      </c>
      <c r="AJ2717">
        <f t="shared" si="103"/>
        <v>5.2537E-2</v>
      </c>
      <c r="AO2717">
        <v>5.2537E-2</v>
      </c>
      <c r="AR2717" s="8">
        <v>0</v>
      </c>
      <c r="AS2717">
        <v>0.62367110000000003</v>
      </c>
    </row>
    <row r="2718" spans="1:45" x14ac:dyDescent="0.25">
      <c r="A2718">
        <v>476</v>
      </c>
      <c r="B2718">
        <v>2003</v>
      </c>
      <c r="C2718" s="8">
        <v>0</v>
      </c>
      <c r="D2718">
        <v>6.5266500000000005E-2</v>
      </c>
      <c r="E2718">
        <v>0.1518024</v>
      </c>
      <c r="F2718">
        <v>2.07783E-2</v>
      </c>
      <c r="G2718">
        <v>0.64729329999999996</v>
      </c>
      <c r="H2718">
        <v>0.2058518</v>
      </c>
      <c r="Q2718" s="10">
        <f t="shared" si="104"/>
        <v>2.1725295508871631E-2</v>
      </c>
      <c r="AI2718">
        <v>0.1596426</v>
      </c>
      <c r="AJ2718">
        <f t="shared" si="103"/>
        <v>0.1596426</v>
      </c>
      <c r="AO2718">
        <v>0.1596426</v>
      </c>
      <c r="AR2718" s="8">
        <v>0</v>
      </c>
      <c r="AS2718">
        <v>0.63363829999999999</v>
      </c>
    </row>
    <row r="2719" spans="1:45" x14ac:dyDescent="0.25">
      <c r="A2719">
        <v>476</v>
      </c>
      <c r="B2719">
        <v>2004</v>
      </c>
      <c r="C2719" s="8">
        <v>0</v>
      </c>
      <c r="D2719">
        <v>5.2537E-2</v>
      </c>
      <c r="E2719">
        <v>0.1512703</v>
      </c>
      <c r="F2719">
        <v>4.9570799999999998E-2</v>
      </c>
      <c r="G2719">
        <v>0.69898039999999995</v>
      </c>
      <c r="H2719">
        <v>0.32485140000000001</v>
      </c>
      <c r="Q2719" s="10">
        <f t="shared" si="104"/>
        <v>1.7111427443972042E-2</v>
      </c>
      <c r="AI2719">
        <v>0.24894720000000001</v>
      </c>
      <c r="AJ2719">
        <f t="shared" si="103"/>
        <v>0.24894720000000001</v>
      </c>
      <c r="AO2719">
        <v>0.24894720000000001</v>
      </c>
      <c r="AR2719" s="8">
        <v>0</v>
      </c>
      <c r="AS2719">
        <v>0.47258610000000001</v>
      </c>
    </row>
    <row r="2720" spans="1:45" x14ac:dyDescent="0.25">
      <c r="A2720">
        <v>477</v>
      </c>
      <c r="B2720">
        <v>1995</v>
      </c>
      <c r="C2720" s="8">
        <v>0</v>
      </c>
      <c r="D2720">
        <v>0.1596426</v>
      </c>
      <c r="E2720">
        <v>0.16987079999999999</v>
      </c>
      <c r="F2720">
        <v>3.6466499999999999E-2</v>
      </c>
      <c r="G2720">
        <v>1.3020970000000001</v>
      </c>
      <c r="H2720">
        <v>0.3649714</v>
      </c>
      <c r="Q2720" s="10">
        <f t="shared" si="104"/>
        <v>7.6539602845346359E-3</v>
      </c>
      <c r="AI2720">
        <v>0.24819540000000001</v>
      </c>
      <c r="AJ2720">
        <f t="shared" si="103"/>
        <v>0.24819540000000001</v>
      </c>
      <c r="AO2720">
        <v>0.24819540000000001</v>
      </c>
      <c r="AR2720" s="8">
        <v>0</v>
      </c>
      <c r="AS2720">
        <v>0.64729329999999996</v>
      </c>
    </row>
    <row r="2721" spans="1:45" x14ac:dyDescent="0.25">
      <c r="A2721">
        <v>477</v>
      </c>
      <c r="B2721">
        <v>1996</v>
      </c>
      <c r="C2721" s="8">
        <v>0</v>
      </c>
      <c r="D2721">
        <v>0.24894720000000001</v>
      </c>
      <c r="E2721">
        <v>0.20162260000000001</v>
      </c>
      <c r="F2721">
        <v>4.5160800000000001E-2</v>
      </c>
      <c r="G2721">
        <v>1.4384410000000001</v>
      </c>
      <c r="H2721">
        <v>0.27743069999999997</v>
      </c>
      <c r="Q2721" s="10">
        <f t="shared" si="104"/>
        <v>5.4046129299180935E-3</v>
      </c>
      <c r="AI2721">
        <v>0.1661292</v>
      </c>
      <c r="AJ2721">
        <f t="shared" si="103"/>
        <v>0.1661292</v>
      </c>
      <c r="AO2721">
        <v>0.1661292</v>
      </c>
      <c r="AR2721" s="8">
        <v>0</v>
      </c>
      <c r="AS2721">
        <v>0.69898039999999995</v>
      </c>
    </row>
    <row r="2722" spans="1:45" x14ac:dyDescent="0.25">
      <c r="A2722">
        <v>477</v>
      </c>
      <c r="B2722">
        <v>1997</v>
      </c>
      <c r="C2722" s="8">
        <v>0</v>
      </c>
      <c r="D2722">
        <v>0.24819540000000001</v>
      </c>
      <c r="E2722">
        <v>0.28198830000000003</v>
      </c>
      <c r="F2722">
        <v>6.8249599999999994E-2</v>
      </c>
      <c r="G2722">
        <v>2.160612</v>
      </c>
      <c r="H2722">
        <v>0.32675939999999998</v>
      </c>
      <c r="Q2722" s="10">
        <f t="shared" si="104"/>
        <v>1.3089577018441517E-3</v>
      </c>
      <c r="AI2722">
        <v>0.27185609999999999</v>
      </c>
      <c r="AJ2722">
        <f t="shared" si="103"/>
        <v>0.27185609999999999</v>
      </c>
      <c r="AO2722">
        <v>0.27185609999999999</v>
      </c>
      <c r="AR2722" s="8">
        <v>0</v>
      </c>
      <c r="AS2722">
        <v>1.3020970000000001</v>
      </c>
    </row>
    <row r="2723" spans="1:45" x14ac:dyDescent="0.25">
      <c r="A2723">
        <v>477</v>
      </c>
      <c r="B2723">
        <v>1998</v>
      </c>
      <c r="C2723" s="8">
        <v>0</v>
      </c>
      <c r="D2723">
        <v>0.1661292</v>
      </c>
      <c r="E2723">
        <v>0.35458190000000001</v>
      </c>
      <c r="F2723">
        <v>5.1373599999999998E-2</v>
      </c>
      <c r="G2723">
        <v>1.6968160000000001</v>
      </c>
      <c r="H2723">
        <v>0.23408580000000001</v>
      </c>
      <c r="Q2723" s="10">
        <f t="shared" si="104"/>
        <v>2.5729866296833655E-3</v>
      </c>
      <c r="AI2723">
        <v>0.26687090000000002</v>
      </c>
      <c r="AJ2723">
        <f t="shared" si="103"/>
        <v>0.26687090000000002</v>
      </c>
      <c r="AO2723">
        <v>0.26687090000000002</v>
      </c>
      <c r="AR2723" s="8">
        <v>0</v>
      </c>
      <c r="AS2723">
        <v>1.4384410000000001</v>
      </c>
    </row>
    <row r="2724" spans="1:45" x14ac:dyDescent="0.25">
      <c r="A2724">
        <v>477</v>
      </c>
      <c r="B2724">
        <v>1999</v>
      </c>
      <c r="C2724" s="8">
        <v>0</v>
      </c>
      <c r="D2724">
        <v>0.27185609999999999</v>
      </c>
      <c r="E2724">
        <v>5.5391799999999998E-2</v>
      </c>
      <c r="F2724">
        <v>5.4969499999999998E-2</v>
      </c>
      <c r="G2724">
        <v>1.2157199999999999</v>
      </c>
      <c r="H2724">
        <v>0.35539480000000001</v>
      </c>
      <c r="Q2724" s="10">
        <f t="shared" si="104"/>
        <v>9.3019589885917804E-3</v>
      </c>
      <c r="AI2724">
        <v>0.26563619999999999</v>
      </c>
      <c r="AJ2724">
        <f t="shared" si="103"/>
        <v>0.26563619999999999</v>
      </c>
      <c r="AO2724">
        <v>0.26563619999999999</v>
      </c>
      <c r="AR2724" s="8">
        <v>0</v>
      </c>
      <c r="AS2724">
        <v>2.160612</v>
      </c>
    </row>
    <row r="2725" spans="1:45" x14ac:dyDescent="0.25">
      <c r="A2725">
        <v>477</v>
      </c>
      <c r="B2725">
        <v>2000</v>
      </c>
      <c r="C2725" s="8">
        <v>0</v>
      </c>
      <c r="D2725">
        <v>0.26687090000000002</v>
      </c>
      <c r="E2725">
        <v>9.3008999999999994E-2</v>
      </c>
      <c r="F2725">
        <v>5.08645E-2</v>
      </c>
      <c r="G2725">
        <v>1.264052</v>
      </c>
      <c r="H2725">
        <v>0.34853849999999997</v>
      </c>
      <c r="Q2725" s="10">
        <f t="shared" si="104"/>
        <v>8.3809209356715698E-3</v>
      </c>
      <c r="AI2725">
        <v>0.30273549999999999</v>
      </c>
      <c r="AJ2725">
        <f t="shared" si="103"/>
        <v>0.30273549999999999</v>
      </c>
      <c r="AO2725">
        <v>0.30273549999999999</v>
      </c>
      <c r="AR2725" s="8">
        <v>0</v>
      </c>
      <c r="AS2725">
        <v>1.6968160000000001</v>
      </c>
    </row>
    <row r="2726" spans="1:45" x14ac:dyDescent="0.25">
      <c r="A2726">
        <v>477</v>
      </c>
      <c r="B2726">
        <v>2001</v>
      </c>
      <c r="C2726" s="8">
        <v>0</v>
      </c>
      <c r="D2726">
        <v>0.26563619999999999</v>
      </c>
      <c r="E2726">
        <v>5.30085E-2</v>
      </c>
      <c r="F2726">
        <v>3.9210500000000002E-2</v>
      </c>
      <c r="G2726">
        <v>0.77911940000000002</v>
      </c>
      <c r="H2726">
        <v>0.27309159999999999</v>
      </c>
      <c r="Q2726" s="10">
        <f t="shared" si="104"/>
        <v>1.9908863629461572E-2</v>
      </c>
      <c r="AI2726">
        <v>0.28249869999999999</v>
      </c>
      <c r="AJ2726">
        <f t="shared" si="103"/>
        <v>0.28249869999999999</v>
      </c>
      <c r="AO2726">
        <v>0.28249869999999999</v>
      </c>
      <c r="AR2726" s="8">
        <v>0</v>
      </c>
      <c r="AS2726">
        <v>1.2157199999999999</v>
      </c>
    </row>
    <row r="2727" spans="1:45" x14ac:dyDescent="0.25">
      <c r="A2727">
        <v>477</v>
      </c>
      <c r="B2727">
        <v>2002</v>
      </c>
      <c r="C2727" s="8">
        <v>0</v>
      </c>
      <c r="D2727">
        <v>0.30273549999999999</v>
      </c>
      <c r="E2727">
        <v>-0.15865860000000001</v>
      </c>
      <c r="F2727">
        <v>1.5570799999999999E-2</v>
      </c>
      <c r="G2727">
        <v>0.79014030000000002</v>
      </c>
      <c r="H2727">
        <v>0.28405829999999999</v>
      </c>
      <c r="Q2727" s="10">
        <f t="shared" si="104"/>
        <v>3.2451790263818246E-2</v>
      </c>
      <c r="AI2727">
        <v>0.27043040000000002</v>
      </c>
      <c r="AJ2727">
        <f t="shared" si="103"/>
        <v>0.27043040000000002</v>
      </c>
      <c r="AO2727">
        <v>0.27043040000000002</v>
      </c>
      <c r="AR2727" s="8">
        <v>0</v>
      </c>
      <c r="AS2727">
        <v>1.264052</v>
      </c>
    </row>
    <row r="2728" spans="1:45" x14ac:dyDescent="0.25">
      <c r="A2728">
        <v>477</v>
      </c>
      <c r="B2728">
        <v>2003</v>
      </c>
      <c r="C2728" s="8">
        <v>0</v>
      </c>
      <c r="D2728">
        <v>0.28249869999999999</v>
      </c>
      <c r="E2728">
        <v>-0.21634999999999999</v>
      </c>
      <c r="F2728">
        <v>2.0989399999999998E-2</v>
      </c>
      <c r="G2728">
        <v>0.95867400000000003</v>
      </c>
      <c r="H2728">
        <v>0.29838629999999999</v>
      </c>
      <c r="Q2728" s="10">
        <f t="shared" si="104"/>
        <v>2.6019378053348682E-2</v>
      </c>
      <c r="AI2728">
        <v>0.40255249999999998</v>
      </c>
      <c r="AJ2728">
        <f t="shared" si="103"/>
        <v>0.40255249999999998</v>
      </c>
      <c r="AO2728">
        <v>0.40255249999999998</v>
      </c>
      <c r="AR2728" s="8">
        <v>0</v>
      </c>
      <c r="AS2728">
        <v>0.77911940000000002</v>
      </c>
    </row>
    <row r="2729" spans="1:45" x14ac:dyDescent="0.25">
      <c r="A2729">
        <v>477</v>
      </c>
      <c r="B2729">
        <v>2004</v>
      </c>
      <c r="C2729" s="8">
        <v>0</v>
      </c>
      <c r="D2729">
        <v>0.27043040000000002</v>
      </c>
      <c r="E2729">
        <v>-0.19001960000000001</v>
      </c>
      <c r="F2729">
        <v>4.3197600000000003E-2</v>
      </c>
      <c r="G2729">
        <v>1.249609</v>
      </c>
      <c r="H2729">
        <v>0.34168290000000001</v>
      </c>
      <c r="Q2729" s="10">
        <f t="shared" si="104"/>
        <v>1.3649874542144971E-2</v>
      </c>
      <c r="AI2729">
        <v>0.46223619999999999</v>
      </c>
      <c r="AJ2729">
        <f t="shared" si="103"/>
        <v>0.46223619999999999</v>
      </c>
      <c r="AO2729">
        <v>0.46223619999999999</v>
      </c>
      <c r="AR2729" s="8">
        <v>0</v>
      </c>
      <c r="AS2729">
        <v>0.79014030000000002</v>
      </c>
    </row>
    <row r="2730" spans="1:45" x14ac:dyDescent="0.25">
      <c r="A2730">
        <v>478</v>
      </c>
      <c r="B2730">
        <v>1995</v>
      </c>
      <c r="C2730" s="8">
        <v>0</v>
      </c>
      <c r="D2730">
        <v>0.40255249999999998</v>
      </c>
      <c r="E2730">
        <v>0.28134199999999998</v>
      </c>
      <c r="F2730">
        <v>9.43243E-2</v>
      </c>
      <c r="G2730">
        <v>4.0562440000000004</v>
      </c>
      <c r="H2730">
        <v>0.86082990000000004</v>
      </c>
      <c r="Q2730" s="10">
        <f t="shared" si="104"/>
        <v>7.706559376934189E-5</v>
      </c>
      <c r="AI2730">
        <v>0.42533929999999998</v>
      </c>
      <c r="AJ2730">
        <f t="shared" si="103"/>
        <v>0.42533929999999998</v>
      </c>
      <c r="AO2730">
        <v>0.42533929999999998</v>
      </c>
      <c r="AR2730" s="8">
        <v>0</v>
      </c>
      <c r="AS2730">
        <v>0.95867400000000003</v>
      </c>
    </row>
    <row r="2731" spans="1:45" x14ac:dyDescent="0.25">
      <c r="A2731">
        <v>478</v>
      </c>
      <c r="B2731">
        <v>1996</v>
      </c>
      <c r="C2731" s="8">
        <v>0</v>
      </c>
      <c r="D2731">
        <v>0.46223619999999999</v>
      </c>
      <c r="E2731">
        <v>0.24459939999999999</v>
      </c>
      <c r="F2731">
        <v>5.7678500000000001E-2</v>
      </c>
      <c r="G2731">
        <v>1.8304119999999999</v>
      </c>
      <c r="H2731">
        <v>0.68141479999999999</v>
      </c>
      <c r="Q2731" s="10">
        <f t="shared" si="104"/>
        <v>3.4579967813672847E-3</v>
      </c>
      <c r="AI2731">
        <v>0.32259710000000003</v>
      </c>
      <c r="AJ2731">
        <f t="shared" si="103"/>
        <v>0.32259710000000003</v>
      </c>
      <c r="AO2731">
        <v>0.32259710000000003</v>
      </c>
      <c r="AR2731" s="8">
        <v>0</v>
      </c>
      <c r="AS2731">
        <v>1.249609</v>
      </c>
    </row>
    <row r="2732" spans="1:45" x14ac:dyDescent="0.25">
      <c r="A2732">
        <v>478</v>
      </c>
      <c r="B2732">
        <v>1997</v>
      </c>
      <c r="C2732" s="8">
        <v>0</v>
      </c>
      <c r="D2732">
        <v>0.42533929999999998</v>
      </c>
      <c r="E2732">
        <v>0.24114730000000001</v>
      </c>
      <c r="F2732">
        <v>6.0412100000000003E-2</v>
      </c>
      <c r="G2732">
        <v>1.3745339999999999</v>
      </c>
      <c r="H2732">
        <v>0.65059889999999998</v>
      </c>
      <c r="Q2732" s="10">
        <f t="shared" si="104"/>
        <v>6.7707394596383244E-3</v>
      </c>
      <c r="AI2732">
        <v>0.3135791</v>
      </c>
      <c r="AJ2732">
        <f t="shared" si="103"/>
        <v>0.3135791</v>
      </c>
      <c r="AO2732">
        <v>0.3135791</v>
      </c>
      <c r="AR2732" s="8">
        <v>0</v>
      </c>
      <c r="AS2732">
        <v>4.0562440000000004</v>
      </c>
    </row>
    <row r="2733" spans="1:45" x14ac:dyDescent="0.25">
      <c r="A2733">
        <v>478</v>
      </c>
      <c r="B2733">
        <v>1998</v>
      </c>
      <c r="C2733" s="8">
        <v>0</v>
      </c>
      <c r="D2733">
        <v>0.32259710000000003</v>
      </c>
      <c r="E2733">
        <v>0.18481790000000001</v>
      </c>
      <c r="F2733">
        <v>1.4190299999999999E-2</v>
      </c>
      <c r="G2733">
        <v>0.4151532</v>
      </c>
      <c r="H2733">
        <v>0.64811430000000003</v>
      </c>
      <c r="Q2733" s="10">
        <f t="shared" si="104"/>
        <v>4.5132585263034382E-2</v>
      </c>
      <c r="AI2733">
        <v>0.47392709999999999</v>
      </c>
      <c r="AJ2733">
        <f t="shared" si="103"/>
        <v>0.47392709999999999</v>
      </c>
      <c r="AO2733">
        <v>0.47392709999999999</v>
      </c>
      <c r="AR2733" s="8">
        <v>0</v>
      </c>
      <c r="AS2733">
        <v>1.8304119999999999</v>
      </c>
    </row>
    <row r="2734" spans="1:45" x14ac:dyDescent="0.25">
      <c r="A2734">
        <v>479</v>
      </c>
      <c r="B2734">
        <v>1995</v>
      </c>
      <c r="C2734" s="8">
        <v>0</v>
      </c>
      <c r="D2734">
        <v>0.3135791</v>
      </c>
      <c r="E2734">
        <v>0.28693200000000002</v>
      </c>
      <c r="F2734">
        <v>7.6294000000000001E-2</v>
      </c>
      <c r="G2734">
        <v>8.0855370000000004</v>
      </c>
      <c r="H2734">
        <v>0.33050190000000002</v>
      </c>
      <c r="Q2734" s="10">
        <f t="shared" si="104"/>
        <v>9.9683814822873815E-8</v>
      </c>
      <c r="AI2734">
        <v>0.29108220000000001</v>
      </c>
      <c r="AJ2734">
        <f t="shared" si="103"/>
        <v>0.29108220000000001</v>
      </c>
      <c r="AO2734">
        <v>0.29108220000000001</v>
      </c>
      <c r="AR2734" s="8">
        <v>0</v>
      </c>
      <c r="AS2734">
        <v>1.3745339999999999</v>
      </c>
    </row>
    <row r="2735" spans="1:45" x14ac:dyDescent="0.25">
      <c r="A2735">
        <v>479</v>
      </c>
      <c r="B2735">
        <v>1996</v>
      </c>
      <c r="C2735" s="8">
        <v>0</v>
      </c>
      <c r="D2735">
        <v>0.47392709999999999</v>
      </c>
      <c r="E2735">
        <v>0.2139267</v>
      </c>
      <c r="F2735">
        <v>5.7002799999999999E-2</v>
      </c>
      <c r="G2735">
        <v>28.377179999999999</v>
      </c>
      <c r="H2735">
        <v>0.2387164</v>
      </c>
      <c r="Q2735" s="10">
        <f t="shared" si="104"/>
        <v>1.1810552470273318E-21</v>
      </c>
      <c r="AI2735">
        <v>0.23004459999999999</v>
      </c>
      <c r="AJ2735">
        <f t="shared" si="103"/>
        <v>0.23004459999999999</v>
      </c>
      <c r="AO2735">
        <v>0.23004459999999999</v>
      </c>
      <c r="AR2735" s="8">
        <v>0</v>
      </c>
      <c r="AS2735">
        <v>0.4151532</v>
      </c>
    </row>
    <row r="2736" spans="1:45" x14ac:dyDescent="0.25">
      <c r="A2736">
        <v>479</v>
      </c>
      <c r="B2736">
        <v>1997</v>
      </c>
      <c r="C2736" s="8">
        <v>0</v>
      </c>
      <c r="D2736">
        <v>0.29108220000000001</v>
      </c>
      <c r="E2736">
        <v>0.1744521</v>
      </c>
      <c r="F2736">
        <v>6.8802799999999997E-2</v>
      </c>
      <c r="G2736">
        <v>4.9721520000000003</v>
      </c>
      <c r="H2736">
        <v>0.28829359999999998</v>
      </c>
      <c r="Q2736" s="10">
        <f t="shared" si="104"/>
        <v>1.7179107801063255E-5</v>
      </c>
      <c r="AI2736">
        <v>0.2267015</v>
      </c>
      <c r="AJ2736">
        <f t="shared" si="103"/>
        <v>0.2267015</v>
      </c>
      <c r="AO2736">
        <v>0.2267015</v>
      </c>
      <c r="AR2736" s="8">
        <v>0</v>
      </c>
      <c r="AS2736">
        <v>8.0855370000000004</v>
      </c>
    </row>
    <row r="2737" spans="1:45" x14ac:dyDescent="0.25">
      <c r="A2737">
        <v>479</v>
      </c>
      <c r="B2737">
        <v>1998</v>
      </c>
      <c r="C2737" s="8">
        <v>0</v>
      </c>
      <c r="D2737">
        <v>0.23004459999999999</v>
      </c>
      <c r="E2737">
        <v>0.14428099999999999</v>
      </c>
      <c r="F2737">
        <v>5.21246E-2</v>
      </c>
      <c r="G2737">
        <v>3.3436270000000001</v>
      </c>
      <c r="H2737">
        <v>0.26456020000000002</v>
      </c>
      <c r="Q2737" s="10">
        <f t="shared" si="104"/>
        <v>2.6399568420922687E-4</v>
      </c>
      <c r="AI2737">
        <v>0.2823176</v>
      </c>
      <c r="AJ2737">
        <f t="shared" si="103"/>
        <v>0.2823176</v>
      </c>
      <c r="AO2737">
        <v>0.2823176</v>
      </c>
      <c r="AR2737" s="8">
        <v>0</v>
      </c>
      <c r="AS2737">
        <v>28.377179999999999</v>
      </c>
    </row>
    <row r="2738" spans="1:45" x14ac:dyDescent="0.25">
      <c r="A2738">
        <v>479</v>
      </c>
      <c r="B2738">
        <v>1999</v>
      </c>
      <c r="C2738" s="8">
        <v>0</v>
      </c>
      <c r="D2738">
        <v>0.2267015</v>
      </c>
      <c r="E2738">
        <v>0.16783899999999999</v>
      </c>
      <c r="F2738">
        <v>5.7088E-2</v>
      </c>
      <c r="G2738">
        <v>0.99028590000000005</v>
      </c>
      <c r="H2738">
        <v>0.25048779999999998</v>
      </c>
      <c r="Q2738" s="10">
        <f t="shared" si="104"/>
        <v>1.0220307708466984E-2</v>
      </c>
      <c r="AI2738">
        <v>0.31640360000000001</v>
      </c>
      <c r="AJ2738">
        <f t="shared" si="103"/>
        <v>0.31640360000000001</v>
      </c>
      <c r="AO2738">
        <v>0.31640360000000001</v>
      </c>
      <c r="AR2738" s="8">
        <v>0</v>
      </c>
      <c r="AS2738">
        <v>4.9721520000000003</v>
      </c>
    </row>
    <row r="2739" spans="1:45" x14ac:dyDescent="0.25">
      <c r="A2739">
        <v>479</v>
      </c>
      <c r="B2739">
        <v>2000</v>
      </c>
      <c r="C2739" s="8">
        <v>0</v>
      </c>
      <c r="D2739">
        <v>0.2823176</v>
      </c>
      <c r="E2739">
        <v>0.16566020000000001</v>
      </c>
      <c r="F2739">
        <v>5.6827500000000003E-2</v>
      </c>
      <c r="G2739">
        <v>1.7866219999999999</v>
      </c>
      <c r="H2739">
        <v>0.2561871</v>
      </c>
      <c r="Q2739" s="10">
        <f t="shared" si="104"/>
        <v>2.9875441834625008E-3</v>
      </c>
      <c r="AI2739">
        <v>0.31707020000000002</v>
      </c>
      <c r="AJ2739">
        <f t="shared" si="103"/>
        <v>0.31707020000000002</v>
      </c>
      <c r="AO2739">
        <v>0.31707020000000002</v>
      </c>
      <c r="AR2739" s="8">
        <v>0</v>
      </c>
      <c r="AS2739">
        <v>3.3436270000000001</v>
      </c>
    </row>
    <row r="2740" spans="1:45" x14ac:dyDescent="0.25">
      <c r="A2740">
        <v>479</v>
      </c>
      <c r="B2740">
        <v>2001</v>
      </c>
      <c r="C2740" s="8">
        <v>0</v>
      </c>
      <c r="D2740">
        <v>0.31640360000000001</v>
      </c>
      <c r="E2740">
        <v>0.19512060000000001</v>
      </c>
      <c r="F2740">
        <v>4.3804599999999999E-2</v>
      </c>
      <c r="G2740">
        <v>2.0794600000000001</v>
      </c>
      <c r="H2740">
        <v>0.27707870000000001</v>
      </c>
      <c r="Q2740" s="10">
        <f t="shared" si="104"/>
        <v>2.0485557687930311E-3</v>
      </c>
      <c r="AI2740">
        <v>0.292217</v>
      </c>
      <c r="AJ2740">
        <f t="shared" si="103"/>
        <v>0.292217</v>
      </c>
      <c r="AO2740">
        <v>0.292217</v>
      </c>
      <c r="AR2740" s="8">
        <v>0</v>
      </c>
      <c r="AS2740">
        <v>0.99028590000000005</v>
      </c>
    </row>
    <row r="2741" spans="1:45" x14ac:dyDescent="0.25">
      <c r="A2741">
        <v>479</v>
      </c>
      <c r="B2741">
        <v>2002</v>
      </c>
      <c r="C2741" s="8">
        <v>0</v>
      </c>
      <c r="D2741">
        <v>0.31707020000000002</v>
      </c>
      <c r="E2741">
        <v>0.2362426</v>
      </c>
      <c r="F2741">
        <v>6.0846299999999999E-2</v>
      </c>
      <c r="G2741">
        <v>1.9805489999999999</v>
      </c>
      <c r="H2741">
        <v>0.3134362</v>
      </c>
      <c r="Q2741" s="10">
        <f t="shared" si="104"/>
        <v>2.0167530750635409E-3</v>
      </c>
      <c r="AI2741">
        <v>0.3138011</v>
      </c>
      <c r="AJ2741">
        <f t="shared" si="103"/>
        <v>0.3138011</v>
      </c>
      <c r="AO2741">
        <v>0.3138011</v>
      </c>
      <c r="AR2741" s="8">
        <v>0</v>
      </c>
      <c r="AS2741">
        <v>1.7866219999999999</v>
      </c>
    </row>
    <row r="2742" spans="1:45" x14ac:dyDescent="0.25">
      <c r="A2742">
        <v>479</v>
      </c>
      <c r="B2742">
        <v>2003</v>
      </c>
      <c r="C2742" s="8">
        <v>0</v>
      </c>
      <c r="D2742">
        <v>0.292217</v>
      </c>
      <c r="E2742">
        <v>0.225329</v>
      </c>
      <c r="F2742">
        <v>5.9465499999999998E-2</v>
      </c>
      <c r="G2742">
        <v>2.4428779999999999</v>
      </c>
      <c r="H2742">
        <v>0.31377149999999998</v>
      </c>
      <c r="Q2742" s="10">
        <f t="shared" si="104"/>
        <v>9.8273287525107067E-4</v>
      </c>
      <c r="AI2742">
        <v>5.2317900000000001E-2</v>
      </c>
      <c r="AJ2742">
        <f t="shared" si="103"/>
        <v>5.2317900000000001E-2</v>
      </c>
      <c r="AO2742">
        <v>5.2317900000000001E-2</v>
      </c>
      <c r="AR2742" s="8">
        <v>0</v>
      </c>
      <c r="AS2742">
        <v>2.0794600000000001</v>
      </c>
    </row>
    <row r="2743" spans="1:45" x14ac:dyDescent="0.25">
      <c r="A2743">
        <v>479</v>
      </c>
      <c r="B2743">
        <v>2004</v>
      </c>
      <c r="C2743" s="8">
        <v>0</v>
      </c>
      <c r="D2743">
        <v>0.3138011</v>
      </c>
      <c r="E2743">
        <v>0.26107399999999997</v>
      </c>
      <c r="F2743">
        <v>6.5454600000000002E-2</v>
      </c>
      <c r="G2743">
        <v>1.867267</v>
      </c>
      <c r="H2743">
        <v>0.31762420000000002</v>
      </c>
      <c r="Q2743" s="10">
        <f t="shared" si="104"/>
        <v>2.2480335463686443E-3</v>
      </c>
      <c r="AI2743">
        <v>4.9852300000000002E-2</v>
      </c>
      <c r="AJ2743">
        <f t="shared" si="103"/>
        <v>4.9852300000000002E-2</v>
      </c>
      <c r="AO2743">
        <v>4.9852300000000002E-2</v>
      </c>
      <c r="AR2743" s="8">
        <v>0</v>
      </c>
      <c r="AS2743">
        <v>1.9805489999999999</v>
      </c>
    </row>
    <row r="2744" spans="1:45" x14ac:dyDescent="0.25">
      <c r="A2744">
        <v>480</v>
      </c>
      <c r="B2744">
        <v>1995</v>
      </c>
      <c r="C2744" s="8">
        <v>0</v>
      </c>
      <c r="D2744">
        <v>5.2317900000000001E-2</v>
      </c>
      <c r="E2744">
        <v>0.193934</v>
      </c>
      <c r="F2744">
        <v>3.1286399999999999E-2</v>
      </c>
      <c r="G2744">
        <v>0.80805640000000001</v>
      </c>
      <c r="H2744">
        <v>0.2114017</v>
      </c>
      <c r="Q2744" s="10">
        <f t="shared" si="104"/>
        <v>1.4618428997321936E-2</v>
      </c>
      <c r="AI2744">
        <v>3.3732199999999997E-2</v>
      </c>
      <c r="AJ2744">
        <f t="shared" si="103"/>
        <v>3.3732199999999997E-2</v>
      </c>
      <c r="AO2744">
        <v>3.3732199999999997E-2</v>
      </c>
      <c r="AR2744" s="8">
        <v>0</v>
      </c>
      <c r="AS2744">
        <v>2.4428779999999999</v>
      </c>
    </row>
    <row r="2745" spans="1:45" x14ac:dyDescent="0.25">
      <c r="A2745">
        <v>480</v>
      </c>
      <c r="B2745">
        <v>1996</v>
      </c>
      <c r="C2745" s="8">
        <v>0</v>
      </c>
      <c r="D2745">
        <v>4.9852300000000002E-2</v>
      </c>
      <c r="E2745">
        <v>0.1988231</v>
      </c>
      <c r="F2745">
        <v>2.2706400000000002E-2</v>
      </c>
      <c r="G2745">
        <v>0.96728499999999995</v>
      </c>
      <c r="H2745">
        <v>0.2279167</v>
      </c>
      <c r="Q2745" s="10">
        <f t="shared" si="104"/>
        <v>1.2203478487152138E-2</v>
      </c>
      <c r="AI2745">
        <v>-2.5754900000000001E-2</v>
      </c>
      <c r="AJ2745">
        <f t="shared" si="103"/>
        <v>-2.5754900000000001E-2</v>
      </c>
      <c r="AO2745">
        <v>-2.5754900000000001E-2</v>
      </c>
      <c r="AR2745" s="8">
        <v>0</v>
      </c>
      <c r="AS2745">
        <v>1.867267</v>
      </c>
    </row>
    <row r="2746" spans="1:45" x14ac:dyDescent="0.25">
      <c r="A2746">
        <v>480</v>
      </c>
      <c r="B2746">
        <v>1997</v>
      </c>
      <c r="C2746" s="8">
        <v>0</v>
      </c>
      <c r="D2746">
        <v>3.3732199999999997E-2</v>
      </c>
      <c r="E2746">
        <v>0.2209122</v>
      </c>
      <c r="F2746">
        <v>3.0107999999999999E-2</v>
      </c>
      <c r="G2746">
        <v>1.216699</v>
      </c>
      <c r="H2746">
        <v>0.21328749999999999</v>
      </c>
      <c r="Q2746" s="10">
        <f t="shared" si="104"/>
        <v>7.4040955348831381E-3</v>
      </c>
      <c r="AI2746">
        <v>7.1209999999999997E-3</v>
      </c>
      <c r="AJ2746">
        <f t="shared" si="103"/>
        <v>7.1209999999999997E-3</v>
      </c>
      <c r="AO2746">
        <v>7.1209999999999997E-3</v>
      </c>
      <c r="AR2746" s="8">
        <v>0</v>
      </c>
      <c r="AS2746">
        <v>0.80805640000000001</v>
      </c>
    </row>
    <row r="2747" spans="1:45" x14ac:dyDescent="0.25">
      <c r="A2747">
        <v>480</v>
      </c>
      <c r="B2747">
        <v>1998</v>
      </c>
      <c r="C2747" s="8">
        <v>0</v>
      </c>
      <c r="D2747">
        <v>-2.5754900000000001E-2</v>
      </c>
      <c r="E2747">
        <v>0.13322500000000001</v>
      </c>
      <c r="F2747">
        <v>4.3856399999999997E-2</v>
      </c>
      <c r="G2747">
        <v>0.79576119999999995</v>
      </c>
      <c r="H2747">
        <v>0.1845234</v>
      </c>
      <c r="Q2747" s="10">
        <f t="shared" si="104"/>
        <v>1.4029856856570275E-2</v>
      </c>
      <c r="AI2747">
        <v>-5.3714000000000001E-3</v>
      </c>
      <c r="AJ2747">
        <f t="shared" si="103"/>
        <v>-5.3714000000000001E-3</v>
      </c>
      <c r="AO2747">
        <v>-5.3714000000000001E-3</v>
      </c>
      <c r="AR2747" s="8">
        <v>0</v>
      </c>
      <c r="AS2747">
        <v>0.96728499999999995</v>
      </c>
    </row>
    <row r="2748" spans="1:45" x14ac:dyDescent="0.25">
      <c r="A2748">
        <v>480</v>
      </c>
      <c r="B2748">
        <v>1999</v>
      </c>
      <c r="C2748" s="8">
        <v>0</v>
      </c>
      <c r="D2748">
        <v>7.1209999999999997E-3</v>
      </c>
      <c r="E2748">
        <v>0.13085140000000001</v>
      </c>
      <c r="F2748">
        <v>2.8682900000000001E-2</v>
      </c>
      <c r="G2748">
        <v>0.55802799999999997</v>
      </c>
      <c r="H2748">
        <v>0.18071660000000001</v>
      </c>
      <c r="Q2748" s="10">
        <f t="shared" si="104"/>
        <v>2.3259696390770728E-2</v>
      </c>
      <c r="AI2748">
        <v>-7.0786E-3</v>
      </c>
      <c r="AJ2748">
        <f t="shared" si="103"/>
        <v>-7.0786E-3</v>
      </c>
      <c r="AO2748">
        <v>-7.0786E-3</v>
      </c>
      <c r="AR2748" s="8">
        <v>0</v>
      </c>
      <c r="AS2748">
        <v>1.216699</v>
      </c>
    </row>
    <row r="2749" spans="1:45" x14ac:dyDescent="0.25">
      <c r="A2749">
        <v>480</v>
      </c>
      <c r="B2749">
        <v>2000</v>
      </c>
      <c r="C2749" s="8">
        <v>0</v>
      </c>
      <c r="D2749">
        <v>-5.3714000000000001E-3</v>
      </c>
      <c r="E2749">
        <v>8.5962499999999997E-2</v>
      </c>
      <c r="F2749">
        <v>3.6332700000000002E-2</v>
      </c>
      <c r="G2749">
        <v>0.25288040000000001</v>
      </c>
      <c r="H2749">
        <v>0.3858241</v>
      </c>
      <c r="Q2749" s="10">
        <f t="shared" si="104"/>
        <v>4.2079404072308403E-2</v>
      </c>
      <c r="AI2749">
        <v>9.6868000000000006E-3</v>
      </c>
      <c r="AJ2749">
        <f t="shared" si="103"/>
        <v>9.6868000000000006E-3</v>
      </c>
      <c r="AO2749">
        <v>9.6868000000000006E-3</v>
      </c>
      <c r="AR2749" s="8">
        <v>0</v>
      </c>
      <c r="AS2749">
        <v>0.79576119999999995</v>
      </c>
    </row>
    <row r="2750" spans="1:45" x14ac:dyDescent="0.25">
      <c r="A2750">
        <v>480</v>
      </c>
      <c r="B2750">
        <v>2001</v>
      </c>
      <c r="C2750" s="8">
        <v>0</v>
      </c>
      <c r="D2750">
        <v>-7.0786E-3</v>
      </c>
      <c r="E2750">
        <v>0.1063465</v>
      </c>
      <c r="F2750">
        <v>2.1271700000000001E-2</v>
      </c>
      <c r="G2750">
        <v>0.26652680000000001</v>
      </c>
      <c r="H2750">
        <v>0.1040372</v>
      </c>
      <c r="Q2750" s="10">
        <f t="shared" si="104"/>
        <v>3.7999028221214703E-2</v>
      </c>
      <c r="AI2750">
        <v>-2.2432500000000001E-2</v>
      </c>
      <c r="AJ2750">
        <f t="shared" si="103"/>
        <v>-2.2432500000000001E-2</v>
      </c>
      <c r="AO2750">
        <v>-2.2432500000000001E-2</v>
      </c>
      <c r="AR2750" s="8">
        <v>0</v>
      </c>
      <c r="AS2750">
        <v>0.55802799999999997</v>
      </c>
    </row>
    <row r="2751" spans="1:45" x14ac:dyDescent="0.25">
      <c r="A2751">
        <v>480</v>
      </c>
      <c r="B2751">
        <v>2002</v>
      </c>
      <c r="C2751" s="8">
        <v>0</v>
      </c>
      <c r="D2751">
        <v>9.6868000000000006E-3</v>
      </c>
      <c r="E2751">
        <v>0.1032937</v>
      </c>
      <c r="F2751">
        <v>4.3676600000000003E-2</v>
      </c>
      <c r="G2751">
        <v>0.3090484</v>
      </c>
      <c r="H2751">
        <v>0.13572780000000001</v>
      </c>
      <c r="Q2751" s="10">
        <f t="shared" si="104"/>
        <v>3.0846206439737511E-2</v>
      </c>
      <c r="AI2751">
        <v>-3.18166E-2</v>
      </c>
      <c r="AJ2751">
        <f t="shared" si="103"/>
        <v>-3.18166E-2</v>
      </c>
      <c r="AO2751">
        <v>-3.18166E-2</v>
      </c>
      <c r="AR2751" s="8">
        <v>0</v>
      </c>
      <c r="AS2751">
        <v>0.25288040000000001</v>
      </c>
    </row>
    <row r="2752" spans="1:45" x14ac:dyDescent="0.25">
      <c r="A2752">
        <v>480</v>
      </c>
      <c r="B2752">
        <v>2003</v>
      </c>
      <c r="C2752" s="8">
        <v>0</v>
      </c>
      <c r="D2752">
        <v>-2.2432500000000001E-2</v>
      </c>
      <c r="E2752">
        <v>0.11588320000000001</v>
      </c>
      <c r="F2752">
        <v>5.3807199999999999E-2</v>
      </c>
      <c r="G2752">
        <v>0.44240400000000002</v>
      </c>
      <c r="H2752">
        <v>0.15819859999999999</v>
      </c>
      <c r="Q2752" s="10">
        <f t="shared" si="104"/>
        <v>2.2783996328770564E-2</v>
      </c>
      <c r="AI2752">
        <v>1.9929599999999999E-2</v>
      </c>
      <c r="AJ2752">
        <f t="shared" si="103"/>
        <v>1.9929599999999999E-2</v>
      </c>
      <c r="AO2752">
        <v>1.9929599999999999E-2</v>
      </c>
      <c r="AR2752" s="8">
        <v>0</v>
      </c>
      <c r="AS2752">
        <v>0.26652680000000001</v>
      </c>
    </row>
    <row r="2753" spans="1:45" x14ac:dyDescent="0.25">
      <c r="A2753">
        <v>480</v>
      </c>
      <c r="B2753">
        <v>2004</v>
      </c>
      <c r="C2753" s="8">
        <v>0</v>
      </c>
      <c r="D2753">
        <v>-3.18166E-2</v>
      </c>
      <c r="E2753">
        <v>0.1034267</v>
      </c>
      <c r="F2753">
        <v>6.2929799999999994E-2</v>
      </c>
      <c r="G2753">
        <v>0.62359290000000001</v>
      </c>
      <c r="H2753">
        <v>0.37474489999999999</v>
      </c>
      <c r="Q2753" s="10">
        <f t="shared" si="104"/>
        <v>1.8488558061483681E-2</v>
      </c>
      <c r="AI2753">
        <v>-3.9183700000000002E-2</v>
      </c>
      <c r="AJ2753">
        <f t="shared" si="103"/>
        <v>-3.9183700000000002E-2</v>
      </c>
      <c r="AO2753">
        <v>-3.9183700000000002E-2</v>
      </c>
      <c r="AR2753" s="8">
        <v>0</v>
      </c>
      <c r="AS2753">
        <v>0.3090484</v>
      </c>
    </row>
    <row r="2754" spans="1:45" x14ac:dyDescent="0.25">
      <c r="A2754">
        <v>481</v>
      </c>
      <c r="B2754">
        <v>1995</v>
      </c>
      <c r="C2754" s="8">
        <v>0</v>
      </c>
      <c r="D2754">
        <v>1.9929599999999999E-2</v>
      </c>
      <c r="E2754">
        <v>0.1622845</v>
      </c>
      <c r="F2754">
        <v>4.2852899999999999E-2</v>
      </c>
      <c r="G2754">
        <v>0.55536739999999996</v>
      </c>
      <c r="H2754">
        <v>0.2067986</v>
      </c>
      <c r="Q2754" s="10">
        <f t="shared" si="104"/>
        <v>2.0415412123477136E-2</v>
      </c>
      <c r="AI2754">
        <v>-5.6588000000000003E-3</v>
      </c>
      <c r="AJ2754">
        <f t="shared" si="103"/>
        <v>-5.6588000000000003E-3</v>
      </c>
      <c r="AO2754">
        <v>-5.6588000000000003E-3</v>
      </c>
      <c r="AR2754" s="8">
        <v>0</v>
      </c>
      <c r="AS2754">
        <v>0.44240400000000002</v>
      </c>
    </row>
    <row r="2755" spans="1:45" x14ac:dyDescent="0.25">
      <c r="A2755">
        <v>481</v>
      </c>
      <c r="B2755">
        <v>1996</v>
      </c>
      <c r="C2755" s="8">
        <v>0</v>
      </c>
      <c r="D2755">
        <v>-3.9183700000000002E-2</v>
      </c>
      <c r="E2755">
        <v>0.163156</v>
      </c>
      <c r="F2755">
        <v>6.2426299999999997E-2</v>
      </c>
      <c r="G2755">
        <v>0.6031012</v>
      </c>
      <c r="H2755">
        <v>0.13442370000000001</v>
      </c>
      <c r="Q2755" s="10">
        <f t="shared" si="104"/>
        <v>1.5155933901274708E-2</v>
      </c>
      <c r="AI2755">
        <v>-3.4146799999999998E-2</v>
      </c>
      <c r="AJ2755">
        <f t="shared" si="103"/>
        <v>-3.4146799999999998E-2</v>
      </c>
      <c r="AO2755">
        <v>-3.4146799999999998E-2</v>
      </c>
      <c r="AR2755" s="8">
        <v>0</v>
      </c>
      <c r="AS2755">
        <v>0.62359290000000001</v>
      </c>
    </row>
    <row r="2756" spans="1:45" x14ac:dyDescent="0.25">
      <c r="A2756">
        <v>481</v>
      </c>
      <c r="B2756">
        <v>1997</v>
      </c>
      <c r="C2756" s="8">
        <v>0</v>
      </c>
      <c r="D2756">
        <v>-5.6588000000000003E-3</v>
      </c>
      <c r="E2756">
        <v>0.15660080000000001</v>
      </c>
      <c r="F2756">
        <v>5.8056200000000002E-2</v>
      </c>
      <c r="G2756">
        <v>0.75366279999999997</v>
      </c>
      <c r="H2756">
        <v>0.16186030000000001</v>
      </c>
      <c r="Q2756" s="10">
        <f t="shared" si="104"/>
        <v>1.2886031023521132E-2</v>
      </c>
      <c r="AI2756">
        <v>5.7402799999999997E-2</v>
      </c>
      <c r="AJ2756">
        <f t="shared" si="103"/>
        <v>5.7402799999999997E-2</v>
      </c>
      <c r="AO2756">
        <v>5.7402799999999997E-2</v>
      </c>
      <c r="AR2756" s="8">
        <v>0</v>
      </c>
      <c r="AS2756">
        <v>0.55536739999999996</v>
      </c>
    </row>
    <row r="2757" spans="1:45" x14ac:dyDescent="0.25">
      <c r="A2757">
        <v>481</v>
      </c>
      <c r="B2757">
        <v>1998</v>
      </c>
      <c r="C2757" s="8">
        <v>0</v>
      </c>
      <c r="D2757">
        <v>-3.4146799999999998E-2</v>
      </c>
      <c r="E2757">
        <v>0.15927759999999999</v>
      </c>
      <c r="F2757">
        <v>5.1305000000000003E-2</v>
      </c>
      <c r="G2757">
        <v>0.85227790000000003</v>
      </c>
      <c r="H2757">
        <v>0.15116840000000001</v>
      </c>
      <c r="Q2757" s="10">
        <f t="shared" si="104"/>
        <v>1.1383807595367479E-2</v>
      </c>
      <c r="AI2757">
        <v>-2.1005900000000001E-2</v>
      </c>
      <c r="AJ2757">
        <f t="shared" ref="AJ2757:AJ2820" si="105">MAX(MIN(AI2757,AM$5),AM$4)</f>
        <v>-2.1005900000000001E-2</v>
      </c>
      <c r="AO2757">
        <v>-2.1005900000000001E-2</v>
      </c>
      <c r="AR2757" s="8">
        <v>0</v>
      </c>
      <c r="AS2757">
        <v>0.6031012</v>
      </c>
    </row>
    <row r="2758" spans="1:45" x14ac:dyDescent="0.25">
      <c r="A2758">
        <v>482</v>
      </c>
      <c r="B2758">
        <v>1995</v>
      </c>
      <c r="C2758" s="8">
        <v>0</v>
      </c>
      <c r="D2758">
        <v>5.7402799999999997E-2</v>
      </c>
      <c r="E2758">
        <v>0.1879567</v>
      </c>
      <c r="F2758">
        <v>3.8749199999999998E-2</v>
      </c>
      <c r="G2758">
        <v>1.0752349999999999</v>
      </c>
      <c r="H2758">
        <v>0.17985979999999999</v>
      </c>
      <c r="Q2758" s="10">
        <f t="shared" si="104"/>
        <v>8.9690633060487933E-3</v>
      </c>
      <c r="AI2758">
        <v>4.9270000000000001E-2</v>
      </c>
      <c r="AJ2758">
        <f t="shared" si="105"/>
        <v>4.9270000000000001E-2</v>
      </c>
      <c r="AO2758">
        <v>4.9270000000000001E-2</v>
      </c>
      <c r="AR2758" s="8">
        <v>0</v>
      </c>
      <c r="AS2758">
        <v>0.75366279999999997</v>
      </c>
    </row>
    <row r="2759" spans="1:45" x14ac:dyDescent="0.25">
      <c r="A2759">
        <v>482</v>
      </c>
      <c r="B2759">
        <v>1996</v>
      </c>
      <c r="C2759" s="8">
        <v>0</v>
      </c>
      <c r="D2759">
        <v>-2.1005900000000001E-2</v>
      </c>
      <c r="E2759">
        <v>0.19207859999999999</v>
      </c>
      <c r="F2759">
        <v>3.7632499999999999E-2</v>
      </c>
      <c r="G2759">
        <v>0.86612270000000002</v>
      </c>
      <c r="H2759">
        <v>0.15955900000000001</v>
      </c>
      <c r="Q2759" s="10">
        <f t="shared" ref="Q2759:Q2822" si="106">1/(1+EXP(-(J$6+SUMPRODUCT(K$6:O$6,D2759:H2759))))</f>
        <v>1.1963514525259147E-2</v>
      </c>
      <c r="AI2759">
        <v>8.0255900000000005E-2</v>
      </c>
      <c r="AJ2759">
        <f t="shared" si="105"/>
        <v>8.0255900000000005E-2</v>
      </c>
      <c r="AO2759">
        <v>8.0255900000000005E-2</v>
      </c>
      <c r="AR2759" s="8">
        <v>0</v>
      </c>
      <c r="AS2759">
        <v>0.85227790000000003</v>
      </c>
    </row>
    <row r="2760" spans="1:45" x14ac:dyDescent="0.25">
      <c r="A2760">
        <v>482</v>
      </c>
      <c r="B2760">
        <v>1997</v>
      </c>
      <c r="C2760" s="8">
        <v>0</v>
      </c>
      <c r="D2760">
        <v>4.9270000000000001E-2</v>
      </c>
      <c r="E2760">
        <v>0.19880329999999999</v>
      </c>
      <c r="F2760">
        <v>4.1121999999999999E-2</v>
      </c>
      <c r="G2760">
        <v>1.133246</v>
      </c>
      <c r="H2760">
        <v>0.19696659999999999</v>
      </c>
      <c r="Q2760" s="10">
        <f t="shared" si="106"/>
        <v>7.9631895766231805E-3</v>
      </c>
      <c r="AI2760">
        <v>9.9082900000000002E-2</v>
      </c>
      <c r="AJ2760">
        <f t="shared" si="105"/>
        <v>9.9082900000000002E-2</v>
      </c>
      <c r="AO2760">
        <v>9.9082900000000002E-2</v>
      </c>
      <c r="AR2760" s="8">
        <v>0</v>
      </c>
      <c r="AS2760">
        <v>1.0752349999999999</v>
      </c>
    </row>
    <row r="2761" spans="1:45" x14ac:dyDescent="0.25">
      <c r="A2761">
        <v>482</v>
      </c>
      <c r="B2761">
        <v>1998</v>
      </c>
      <c r="C2761" s="8">
        <v>0</v>
      </c>
      <c r="D2761">
        <v>8.0255900000000005E-2</v>
      </c>
      <c r="E2761">
        <v>0.21299889999999999</v>
      </c>
      <c r="F2761">
        <v>6.9098999999999994E-2</v>
      </c>
      <c r="G2761">
        <v>1.2389209999999999</v>
      </c>
      <c r="H2761">
        <v>0.2214257</v>
      </c>
      <c r="Q2761" s="10">
        <f t="shared" si="106"/>
        <v>5.4332709410735217E-3</v>
      </c>
      <c r="AI2761">
        <v>8.0652500000000002E-2</v>
      </c>
      <c r="AJ2761">
        <f t="shared" si="105"/>
        <v>8.0652500000000002E-2</v>
      </c>
      <c r="AO2761">
        <v>8.0652500000000002E-2</v>
      </c>
      <c r="AR2761" s="8">
        <v>0</v>
      </c>
      <c r="AS2761">
        <v>0.86612270000000002</v>
      </c>
    </row>
    <row r="2762" spans="1:45" x14ac:dyDescent="0.25">
      <c r="A2762">
        <v>482</v>
      </c>
      <c r="B2762">
        <v>1999</v>
      </c>
      <c r="C2762" s="8">
        <v>0</v>
      </c>
      <c r="D2762">
        <v>9.9082900000000002E-2</v>
      </c>
      <c r="E2762">
        <v>0.23734150000000001</v>
      </c>
      <c r="F2762">
        <v>4.2270000000000002E-2</v>
      </c>
      <c r="G2762">
        <v>1.1433880000000001</v>
      </c>
      <c r="H2762">
        <v>0.19810410000000001</v>
      </c>
      <c r="Q2762" s="10">
        <f t="shared" si="106"/>
        <v>7.5026803087946811E-3</v>
      </c>
      <c r="AI2762">
        <v>6.9109599999999993E-2</v>
      </c>
      <c r="AJ2762">
        <f t="shared" si="105"/>
        <v>6.9109599999999993E-2</v>
      </c>
      <c r="AO2762">
        <v>6.9109599999999993E-2</v>
      </c>
      <c r="AR2762" s="8">
        <v>0</v>
      </c>
      <c r="AS2762">
        <v>1.133246</v>
      </c>
    </row>
    <row r="2763" spans="1:45" x14ac:dyDescent="0.25">
      <c r="A2763">
        <v>482</v>
      </c>
      <c r="B2763">
        <v>2000</v>
      </c>
      <c r="C2763" s="8">
        <v>0</v>
      </c>
      <c r="D2763">
        <v>8.0652500000000002E-2</v>
      </c>
      <c r="E2763">
        <v>0.2132811</v>
      </c>
      <c r="F2763">
        <v>5.05298E-2</v>
      </c>
      <c r="G2763">
        <v>1.5551269999999999</v>
      </c>
      <c r="H2763">
        <v>0.23744399999999999</v>
      </c>
      <c r="Q2763" s="10">
        <f t="shared" si="106"/>
        <v>3.8514262745175001E-3</v>
      </c>
      <c r="AI2763">
        <v>8.0820600000000006E-2</v>
      </c>
      <c r="AJ2763">
        <f t="shared" si="105"/>
        <v>8.0820600000000006E-2</v>
      </c>
      <c r="AO2763">
        <v>8.0820600000000006E-2</v>
      </c>
      <c r="AR2763" s="8">
        <v>0</v>
      </c>
      <c r="AS2763">
        <v>1.2389209999999999</v>
      </c>
    </row>
    <row r="2764" spans="1:45" x14ac:dyDescent="0.25">
      <c r="A2764">
        <v>482</v>
      </c>
      <c r="B2764">
        <v>2001</v>
      </c>
      <c r="C2764" s="8">
        <v>0</v>
      </c>
      <c r="D2764">
        <v>6.9109599999999993E-2</v>
      </c>
      <c r="E2764">
        <v>0.22794809999999999</v>
      </c>
      <c r="F2764">
        <v>4.2580300000000001E-2</v>
      </c>
      <c r="G2764">
        <v>1.497655</v>
      </c>
      <c r="H2764">
        <v>0.23639189999999999</v>
      </c>
      <c r="Q2764" s="10">
        <f t="shared" si="106"/>
        <v>4.3768534413628421E-3</v>
      </c>
      <c r="AI2764">
        <v>7.6369400000000004E-2</v>
      </c>
      <c r="AJ2764">
        <f t="shared" si="105"/>
        <v>7.6369400000000004E-2</v>
      </c>
      <c r="AO2764">
        <v>7.6369400000000004E-2</v>
      </c>
      <c r="AR2764" s="8">
        <v>0</v>
      </c>
      <c r="AS2764">
        <v>1.1433880000000001</v>
      </c>
    </row>
    <row r="2765" spans="1:45" x14ac:dyDescent="0.25">
      <c r="A2765">
        <v>482</v>
      </c>
      <c r="B2765">
        <v>2002</v>
      </c>
      <c r="C2765" s="8">
        <v>0</v>
      </c>
      <c r="D2765">
        <v>8.0820600000000006E-2</v>
      </c>
      <c r="E2765">
        <v>0.21424979999999999</v>
      </c>
      <c r="F2765">
        <v>4.2076200000000001E-2</v>
      </c>
      <c r="G2765">
        <v>1.2752870000000001</v>
      </c>
      <c r="H2765">
        <v>0.25807849999999999</v>
      </c>
      <c r="Q2765" s="10">
        <f t="shared" si="106"/>
        <v>6.4935456907441293E-3</v>
      </c>
      <c r="AI2765">
        <v>0.1127548</v>
      </c>
      <c r="AJ2765">
        <f t="shared" si="105"/>
        <v>0.1127548</v>
      </c>
      <c r="AO2765">
        <v>0.1127548</v>
      </c>
      <c r="AR2765" s="8">
        <v>0</v>
      </c>
      <c r="AS2765">
        <v>1.5551269999999999</v>
      </c>
    </row>
    <row r="2766" spans="1:45" x14ac:dyDescent="0.25">
      <c r="A2766">
        <v>482</v>
      </c>
      <c r="B2766">
        <v>2003</v>
      </c>
      <c r="C2766" s="8">
        <v>0</v>
      </c>
      <c r="D2766">
        <v>7.6369400000000004E-2</v>
      </c>
      <c r="E2766">
        <v>0.21150659999999999</v>
      </c>
      <c r="F2766">
        <v>4.5143000000000003E-2</v>
      </c>
      <c r="G2766">
        <v>1.1112040000000001</v>
      </c>
      <c r="H2766">
        <v>0.2299678</v>
      </c>
      <c r="Q2766" s="10">
        <f t="shared" si="106"/>
        <v>8.0919689629269567E-3</v>
      </c>
      <c r="AI2766">
        <v>0.30681229999999998</v>
      </c>
      <c r="AJ2766">
        <f t="shared" si="105"/>
        <v>0.30681229999999998</v>
      </c>
      <c r="AO2766">
        <v>0.30681229999999998</v>
      </c>
      <c r="AR2766" s="8">
        <v>0</v>
      </c>
      <c r="AS2766">
        <v>1.497655</v>
      </c>
    </row>
    <row r="2767" spans="1:45" x14ac:dyDescent="0.25">
      <c r="A2767">
        <v>482</v>
      </c>
      <c r="B2767">
        <v>2004</v>
      </c>
      <c r="C2767" s="8">
        <v>0</v>
      </c>
      <c r="D2767">
        <v>0.1127548</v>
      </c>
      <c r="E2767">
        <v>0.2261425</v>
      </c>
      <c r="F2767">
        <v>5.4151299999999999E-2</v>
      </c>
      <c r="G2767">
        <v>1.1251690000000001</v>
      </c>
      <c r="H2767">
        <v>0.24281530000000001</v>
      </c>
      <c r="Q2767" s="10">
        <f t="shared" si="106"/>
        <v>7.3819221096205088E-3</v>
      </c>
      <c r="AI2767">
        <v>0.28062700000000002</v>
      </c>
      <c r="AJ2767">
        <f t="shared" si="105"/>
        <v>0.28062700000000002</v>
      </c>
      <c r="AO2767">
        <v>0.28062700000000002</v>
      </c>
      <c r="AR2767" s="8">
        <v>0</v>
      </c>
      <c r="AS2767">
        <v>1.2752870000000001</v>
      </c>
    </row>
    <row r="2768" spans="1:45" x14ac:dyDescent="0.25">
      <c r="A2768">
        <v>483</v>
      </c>
      <c r="B2768">
        <v>1995</v>
      </c>
      <c r="C2768" s="8">
        <v>0</v>
      </c>
      <c r="D2768">
        <v>0.30681229999999998</v>
      </c>
      <c r="E2768">
        <v>0.18362600000000001</v>
      </c>
      <c r="F2768">
        <v>3.14334E-2</v>
      </c>
      <c r="G2768">
        <v>0.68199350000000003</v>
      </c>
      <c r="H2768">
        <v>0.40446280000000001</v>
      </c>
      <c r="Q2768" s="10">
        <f t="shared" si="106"/>
        <v>2.2512039625384506E-2</v>
      </c>
      <c r="AI2768">
        <v>0.11635760000000001</v>
      </c>
      <c r="AJ2768">
        <f t="shared" si="105"/>
        <v>0.11635760000000001</v>
      </c>
      <c r="AO2768">
        <v>0.11635760000000001</v>
      </c>
      <c r="AR2768" s="8">
        <v>0</v>
      </c>
      <c r="AS2768">
        <v>1.1112040000000001</v>
      </c>
    </row>
    <row r="2769" spans="1:45" x14ac:dyDescent="0.25">
      <c r="A2769">
        <v>483</v>
      </c>
      <c r="B2769">
        <v>1996</v>
      </c>
      <c r="C2769" s="8">
        <v>0</v>
      </c>
      <c r="D2769">
        <v>0.28062700000000002</v>
      </c>
      <c r="E2769">
        <v>0.16852339999999999</v>
      </c>
      <c r="F2769">
        <v>3.8275799999999999E-2</v>
      </c>
      <c r="G2769">
        <v>0.52222440000000003</v>
      </c>
      <c r="H2769">
        <v>0.39701009999999998</v>
      </c>
      <c r="Q2769" s="10">
        <f t="shared" si="106"/>
        <v>2.7529769934796139E-2</v>
      </c>
      <c r="AI2769">
        <v>7.4332400000000007E-2</v>
      </c>
      <c r="AJ2769">
        <f t="shared" si="105"/>
        <v>7.4332400000000007E-2</v>
      </c>
      <c r="AO2769">
        <v>7.4332400000000007E-2</v>
      </c>
      <c r="AR2769" s="8">
        <v>0</v>
      </c>
      <c r="AS2769">
        <v>1.1251690000000001</v>
      </c>
    </row>
    <row r="2770" spans="1:45" x14ac:dyDescent="0.25">
      <c r="A2770">
        <v>484</v>
      </c>
      <c r="B2770">
        <v>1995</v>
      </c>
      <c r="C2770" s="8">
        <v>0</v>
      </c>
      <c r="D2770">
        <v>0.11635760000000001</v>
      </c>
      <c r="E2770">
        <v>0.36437789999999998</v>
      </c>
      <c r="F2770">
        <v>2.9482299999999999E-2</v>
      </c>
      <c r="G2770">
        <v>0.55743319999999996</v>
      </c>
      <c r="H2770">
        <v>8.7147000000000002E-2</v>
      </c>
      <c r="Q2770" s="10">
        <f t="shared" si="106"/>
        <v>1.6379370042884703E-2</v>
      </c>
      <c r="AI2770">
        <v>8.49269E-2</v>
      </c>
      <c r="AJ2770">
        <f t="shared" si="105"/>
        <v>8.49269E-2</v>
      </c>
      <c r="AO2770">
        <v>8.49269E-2</v>
      </c>
      <c r="AR2770" s="8">
        <v>0</v>
      </c>
      <c r="AS2770">
        <v>0.68199350000000003</v>
      </c>
    </row>
    <row r="2771" spans="1:45" x14ac:dyDescent="0.25">
      <c r="A2771">
        <v>484</v>
      </c>
      <c r="B2771">
        <v>1996</v>
      </c>
      <c r="C2771" s="8">
        <v>0</v>
      </c>
      <c r="D2771">
        <v>7.4332400000000007E-2</v>
      </c>
      <c r="E2771">
        <v>0.37276599999999999</v>
      </c>
      <c r="F2771">
        <v>3.3987499999999997E-2</v>
      </c>
      <c r="G2771">
        <v>0.5258043</v>
      </c>
      <c r="H2771">
        <v>7.6914499999999997E-2</v>
      </c>
      <c r="Q2771" s="10">
        <f t="shared" si="106"/>
        <v>1.603519469506922E-2</v>
      </c>
      <c r="AI2771">
        <v>6.5113799999999999E-2</v>
      </c>
      <c r="AJ2771">
        <f t="shared" si="105"/>
        <v>6.5113799999999999E-2</v>
      </c>
      <c r="AO2771">
        <v>6.5113799999999999E-2</v>
      </c>
      <c r="AR2771" s="8">
        <v>0</v>
      </c>
      <c r="AS2771">
        <v>0.52222440000000003</v>
      </c>
    </row>
    <row r="2772" spans="1:45" x14ac:dyDescent="0.25">
      <c r="A2772">
        <v>484</v>
      </c>
      <c r="B2772">
        <v>1997</v>
      </c>
      <c r="C2772" s="8">
        <v>0</v>
      </c>
      <c r="D2772">
        <v>8.49269E-2</v>
      </c>
      <c r="E2772">
        <v>0.37778089999999998</v>
      </c>
      <c r="F2772">
        <v>4.0648299999999998E-2</v>
      </c>
      <c r="G2772">
        <v>0.6777704</v>
      </c>
      <c r="H2772">
        <v>7.9487600000000005E-2</v>
      </c>
      <c r="Q2772" s="10">
        <f t="shared" si="106"/>
        <v>1.1966997436233263E-2</v>
      </c>
      <c r="AI2772">
        <v>7.2051000000000004E-2</v>
      </c>
      <c r="AJ2772">
        <f t="shared" si="105"/>
        <v>7.2051000000000004E-2</v>
      </c>
      <c r="AO2772">
        <v>7.2051000000000004E-2</v>
      </c>
      <c r="AR2772" s="8">
        <v>0</v>
      </c>
      <c r="AS2772">
        <v>0.55743319999999996</v>
      </c>
    </row>
    <row r="2773" spans="1:45" x14ac:dyDescent="0.25">
      <c r="A2773">
        <v>484</v>
      </c>
      <c r="B2773">
        <v>1998</v>
      </c>
      <c r="C2773" s="8">
        <v>0</v>
      </c>
      <c r="D2773">
        <v>6.5113799999999999E-2</v>
      </c>
      <c r="E2773">
        <v>0.39816760000000001</v>
      </c>
      <c r="F2773">
        <v>1.9007699999999999E-2</v>
      </c>
      <c r="G2773">
        <v>0.63879810000000004</v>
      </c>
      <c r="H2773">
        <v>9.4701499999999994E-2</v>
      </c>
      <c r="Q2773" s="10">
        <f t="shared" si="106"/>
        <v>1.4675700593356423E-2</v>
      </c>
      <c r="AI2773">
        <v>8.1837499999999994E-2</v>
      </c>
      <c r="AJ2773">
        <f t="shared" si="105"/>
        <v>8.1837499999999994E-2</v>
      </c>
      <c r="AO2773">
        <v>8.1837499999999994E-2</v>
      </c>
      <c r="AR2773" s="8">
        <v>0</v>
      </c>
      <c r="AS2773">
        <v>0.5258043</v>
      </c>
    </row>
    <row r="2774" spans="1:45" x14ac:dyDescent="0.25">
      <c r="A2774">
        <v>484</v>
      </c>
      <c r="B2774">
        <v>1999</v>
      </c>
      <c r="C2774" s="8">
        <v>0</v>
      </c>
      <c r="D2774">
        <v>7.2051000000000004E-2</v>
      </c>
      <c r="E2774">
        <v>0.37472030000000001</v>
      </c>
      <c r="F2774">
        <v>2.26956E-2</v>
      </c>
      <c r="G2774">
        <v>0.50688449999999996</v>
      </c>
      <c r="H2774">
        <v>8.3734600000000006E-2</v>
      </c>
      <c r="Q2774" s="10">
        <f t="shared" si="106"/>
        <v>1.8058956110484376E-2</v>
      </c>
      <c r="AI2774">
        <v>6.4456799999999995E-2</v>
      </c>
      <c r="AJ2774">
        <f t="shared" si="105"/>
        <v>6.4456799999999995E-2</v>
      </c>
      <c r="AO2774">
        <v>6.4456799999999995E-2</v>
      </c>
      <c r="AR2774" s="8">
        <v>0</v>
      </c>
      <c r="AS2774">
        <v>0.6777704</v>
      </c>
    </row>
    <row r="2775" spans="1:45" x14ac:dyDescent="0.25">
      <c r="A2775">
        <v>484</v>
      </c>
      <c r="B2775">
        <v>2000</v>
      </c>
      <c r="C2775" s="8">
        <v>0</v>
      </c>
      <c r="D2775">
        <v>8.1837499999999994E-2</v>
      </c>
      <c r="E2775">
        <v>0.40896870000000002</v>
      </c>
      <c r="F2775">
        <v>5.5795499999999998E-2</v>
      </c>
      <c r="G2775">
        <v>0.76044369999999994</v>
      </c>
      <c r="H2775">
        <v>0.1036533</v>
      </c>
      <c r="Q2775" s="10">
        <f t="shared" si="106"/>
        <v>9.030048736920945E-3</v>
      </c>
      <c r="AI2775">
        <v>6.29083E-2</v>
      </c>
      <c r="AJ2775">
        <f t="shared" si="105"/>
        <v>6.29083E-2</v>
      </c>
      <c r="AO2775">
        <v>6.29083E-2</v>
      </c>
      <c r="AR2775" s="8">
        <v>0</v>
      </c>
      <c r="AS2775">
        <v>0.63879810000000004</v>
      </c>
    </row>
    <row r="2776" spans="1:45" x14ac:dyDescent="0.25">
      <c r="A2776">
        <v>484</v>
      </c>
      <c r="B2776">
        <v>2001</v>
      </c>
      <c r="C2776" s="8">
        <v>0</v>
      </c>
      <c r="D2776">
        <v>6.4456799999999995E-2</v>
      </c>
      <c r="E2776">
        <v>0.40107739999999997</v>
      </c>
      <c r="F2776">
        <v>4.9079400000000002E-2</v>
      </c>
      <c r="G2776">
        <v>0.70081119999999997</v>
      </c>
      <c r="H2776">
        <v>8.3250000000000005E-2</v>
      </c>
      <c r="Q2776" s="10">
        <f t="shared" si="106"/>
        <v>1.0376852034425836E-2</v>
      </c>
      <c r="AI2776">
        <v>5.7456800000000002E-2</v>
      </c>
      <c r="AJ2776">
        <f t="shared" si="105"/>
        <v>5.7456800000000002E-2</v>
      </c>
      <c r="AO2776">
        <v>5.7456800000000002E-2</v>
      </c>
      <c r="AR2776" s="8">
        <v>0</v>
      </c>
      <c r="AS2776">
        <v>0.50688449999999996</v>
      </c>
    </row>
    <row r="2777" spans="1:45" x14ac:dyDescent="0.25">
      <c r="A2777">
        <v>484</v>
      </c>
      <c r="B2777">
        <v>2002</v>
      </c>
      <c r="C2777" s="8">
        <v>0</v>
      </c>
      <c r="D2777">
        <v>6.29083E-2</v>
      </c>
      <c r="E2777">
        <v>0.37759130000000002</v>
      </c>
      <c r="F2777">
        <v>3.4617000000000002E-2</v>
      </c>
      <c r="G2777">
        <v>0.52053859999999996</v>
      </c>
      <c r="H2777">
        <v>7.1287000000000003E-2</v>
      </c>
      <c r="Q2777" s="10">
        <f t="shared" si="106"/>
        <v>1.5848799042521958E-2</v>
      </c>
      <c r="AI2777">
        <v>0.1939282</v>
      </c>
      <c r="AJ2777">
        <f t="shared" si="105"/>
        <v>0.1939282</v>
      </c>
      <c r="AO2777">
        <v>0.1939282</v>
      </c>
      <c r="AR2777" s="8">
        <v>0</v>
      </c>
      <c r="AS2777">
        <v>0.76044369999999994</v>
      </c>
    </row>
    <row r="2778" spans="1:45" x14ac:dyDescent="0.25">
      <c r="A2778">
        <v>484</v>
      </c>
      <c r="B2778">
        <v>2003</v>
      </c>
      <c r="C2778" s="8">
        <v>0</v>
      </c>
      <c r="D2778">
        <v>5.7456800000000002E-2</v>
      </c>
      <c r="E2778">
        <v>0.4405094</v>
      </c>
      <c r="F2778">
        <v>5.2387000000000003E-2</v>
      </c>
      <c r="G2778">
        <v>1.145932</v>
      </c>
      <c r="H2778">
        <v>8.9884699999999998E-2</v>
      </c>
      <c r="Q2778" s="10">
        <f t="shared" si="106"/>
        <v>4.7272635102227024E-3</v>
      </c>
      <c r="AI2778">
        <v>0.42094999999999999</v>
      </c>
      <c r="AJ2778">
        <f t="shared" si="105"/>
        <v>0.42094999999999999</v>
      </c>
      <c r="AO2778">
        <v>0.42094999999999999</v>
      </c>
      <c r="AR2778" s="8">
        <v>0</v>
      </c>
      <c r="AS2778">
        <v>0.70081119999999997</v>
      </c>
    </row>
    <row r="2779" spans="1:45" x14ac:dyDescent="0.25">
      <c r="A2779">
        <v>484</v>
      </c>
      <c r="B2779">
        <v>2004</v>
      </c>
      <c r="C2779" s="8">
        <v>0</v>
      </c>
      <c r="D2779">
        <v>0.1939282</v>
      </c>
      <c r="E2779">
        <v>0.46976200000000001</v>
      </c>
      <c r="F2779">
        <v>7.9112600000000005E-2</v>
      </c>
      <c r="G2779">
        <v>1.7595689999999999</v>
      </c>
      <c r="H2779">
        <v>0.12678710000000001</v>
      </c>
      <c r="Q2779" s="10">
        <f t="shared" si="106"/>
        <v>1.4945266459821696E-3</v>
      </c>
      <c r="AI2779">
        <v>0.2988191</v>
      </c>
      <c r="AJ2779">
        <f t="shared" si="105"/>
        <v>0.2988191</v>
      </c>
      <c r="AO2779">
        <v>0.2988191</v>
      </c>
      <c r="AR2779" s="8">
        <v>0</v>
      </c>
      <c r="AS2779">
        <v>0.52053859999999996</v>
      </c>
    </row>
    <row r="2780" spans="1:45" x14ac:dyDescent="0.25">
      <c r="A2780">
        <v>485</v>
      </c>
      <c r="B2780">
        <v>1995</v>
      </c>
      <c r="C2780" s="8">
        <v>0</v>
      </c>
      <c r="D2780">
        <v>0.42094999999999999</v>
      </c>
      <c r="E2780">
        <v>9.8268099999999997E-2</v>
      </c>
      <c r="F2780">
        <v>4.0645500000000001E-2</v>
      </c>
      <c r="G2780">
        <v>0.66758700000000004</v>
      </c>
      <c r="H2780">
        <v>0.89262149999999996</v>
      </c>
      <c r="Q2780" s="10">
        <f t="shared" si="106"/>
        <v>3.3969461562998418E-2</v>
      </c>
      <c r="AI2780">
        <v>0.36759229999999998</v>
      </c>
      <c r="AJ2780">
        <f t="shared" si="105"/>
        <v>0.36759229999999998</v>
      </c>
      <c r="AO2780">
        <v>0.36759229999999998</v>
      </c>
      <c r="AR2780" s="8">
        <v>0</v>
      </c>
      <c r="AS2780">
        <v>1.145932</v>
      </c>
    </row>
    <row r="2781" spans="1:45" x14ac:dyDescent="0.25">
      <c r="A2781">
        <v>485</v>
      </c>
      <c r="B2781">
        <v>1996</v>
      </c>
      <c r="C2781" s="8">
        <v>0</v>
      </c>
      <c r="D2781">
        <v>0.2988191</v>
      </c>
      <c r="E2781">
        <v>0.1213461</v>
      </c>
      <c r="F2781">
        <v>5.0723600000000001E-2</v>
      </c>
      <c r="G2781">
        <v>0.77775329999999998</v>
      </c>
      <c r="H2781">
        <v>1.1430229999999999</v>
      </c>
      <c r="Q2781" s="10">
        <f t="shared" si="106"/>
        <v>2.839058201524735E-2</v>
      </c>
      <c r="AI2781">
        <v>0.35698489999999999</v>
      </c>
      <c r="AJ2781">
        <f t="shared" si="105"/>
        <v>0.35698489999999999</v>
      </c>
      <c r="AO2781">
        <v>0.35698489999999999</v>
      </c>
      <c r="AR2781" s="8">
        <v>0</v>
      </c>
      <c r="AS2781">
        <v>1.7595689999999999</v>
      </c>
    </row>
    <row r="2782" spans="1:45" x14ac:dyDescent="0.25">
      <c r="A2782">
        <v>485</v>
      </c>
      <c r="B2782">
        <v>1997</v>
      </c>
      <c r="C2782" s="8">
        <v>0</v>
      </c>
      <c r="D2782">
        <v>0.36759229999999998</v>
      </c>
      <c r="E2782">
        <v>0.13125600000000001</v>
      </c>
      <c r="F2782">
        <v>4.9652200000000001E-2</v>
      </c>
      <c r="G2782">
        <v>1.0528949999999999</v>
      </c>
      <c r="H2782">
        <v>1.1527890000000001</v>
      </c>
      <c r="Q2782" s="10">
        <f t="shared" si="106"/>
        <v>1.9027703093284904E-2</v>
      </c>
      <c r="AI2782">
        <v>0.28591480000000002</v>
      </c>
      <c r="AJ2782">
        <f t="shared" si="105"/>
        <v>0.28591480000000002</v>
      </c>
      <c r="AO2782">
        <v>0.28591480000000002</v>
      </c>
      <c r="AR2782" s="8">
        <v>0</v>
      </c>
      <c r="AS2782">
        <v>0.66758700000000004</v>
      </c>
    </row>
    <row r="2783" spans="1:45" x14ac:dyDescent="0.25">
      <c r="A2783">
        <v>485</v>
      </c>
      <c r="B2783">
        <v>1998</v>
      </c>
      <c r="C2783" s="8">
        <v>0</v>
      </c>
      <c r="D2783">
        <v>0.35698489999999999</v>
      </c>
      <c r="E2783">
        <v>0.14249829999999999</v>
      </c>
      <c r="F2783">
        <v>6.2135099999999999E-2</v>
      </c>
      <c r="G2783">
        <v>0.95196860000000005</v>
      </c>
      <c r="H2783">
        <v>1.0273270000000001</v>
      </c>
      <c r="Q2783" s="10">
        <f t="shared" si="106"/>
        <v>1.834005374241858E-2</v>
      </c>
      <c r="AI2783">
        <v>0.30748880000000001</v>
      </c>
      <c r="AJ2783">
        <f t="shared" si="105"/>
        <v>0.30748880000000001</v>
      </c>
      <c r="AO2783">
        <v>0.30748880000000001</v>
      </c>
      <c r="AR2783" s="8">
        <v>0</v>
      </c>
      <c r="AS2783">
        <v>0.77775329999999998</v>
      </c>
    </row>
    <row r="2784" spans="1:45" x14ac:dyDescent="0.25">
      <c r="A2784">
        <v>485</v>
      </c>
      <c r="B2784">
        <v>1999</v>
      </c>
      <c r="C2784" s="8">
        <v>0</v>
      </c>
      <c r="D2784">
        <v>0.28591480000000002</v>
      </c>
      <c r="E2784">
        <v>0.13466649999999999</v>
      </c>
      <c r="F2784">
        <v>5.9495699999999999E-2</v>
      </c>
      <c r="G2784">
        <v>0.45081710000000003</v>
      </c>
      <c r="H2784">
        <v>1.034427</v>
      </c>
      <c r="Q2784" s="10">
        <f t="shared" si="106"/>
        <v>4.0153023398362665E-2</v>
      </c>
      <c r="AI2784">
        <v>0.36522860000000001</v>
      </c>
      <c r="AJ2784">
        <f t="shared" si="105"/>
        <v>0.36522860000000001</v>
      </c>
      <c r="AO2784">
        <v>0.36522860000000001</v>
      </c>
      <c r="AR2784" s="8">
        <v>0</v>
      </c>
      <c r="AS2784">
        <v>1.0528949999999999</v>
      </c>
    </row>
    <row r="2785" spans="1:45" x14ac:dyDescent="0.25">
      <c r="A2785">
        <v>485</v>
      </c>
      <c r="B2785">
        <v>2000</v>
      </c>
      <c r="C2785" s="8">
        <v>0</v>
      </c>
      <c r="D2785">
        <v>0.30748880000000001</v>
      </c>
      <c r="E2785">
        <v>0.1742118</v>
      </c>
      <c r="F2785">
        <v>6.5961099999999995E-2</v>
      </c>
      <c r="G2785">
        <v>0.90972960000000003</v>
      </c>
      <c r="H2785">
        <v>1.0535380000000001</v>
      </c>
      <c r="Q2785" s="10">
        <f t="shared" si="106"/>
        <v>1.8095520425096216E-2</v>
      </c>
      <c r="AI2785">
        <v>0.41217609999999999</v>
      </c>
      <c r="AJ2785">
        <f t="shared" si="105"/>
        <v>0.41217609999999999</v>
      </c>
      <c r="AO2785">
        <v>0.41217609999999999</v>
      </c>
      <c r="AR2785" s="8">
        <v>0</v>
      </c>
      <c r="AS2785">
        <v>0.95196860000000005</v>
      </c>
    </row>
    <row r="2786" spans="1:45" x14ac:dyDescent="0.25">
      <c r="A2786">
        <v>485</v>
      </c>
      <c r="B2786">
        <v>2001</v>
      </c>
      <c r="C2786" s="8">
        <v>0</v>
      </c>
      <c r="D2786">
        <v>0.36522860000000001</v>
      </c>
      <c r="E2786">
        <v>0.17798249999999999</v>
      </c>
      <c r="F2786">
        <v>5.6269300000000001E-2</v>
      </c>
      <c r="G2786">
        <v>0.89365779999999995</v>
      </c>
      <c r="H2786">
        <v>1.048279</v>
      </c>
      <c r="Q2786" s="10">
        <f t="shared" si="106"/>
        <v>2.0322253755987733E-2</v>
      </c>
      <c r="AI2786">
        <v>0.39482640000000002</v>
      </c>
      <c r="AJ2786">
        <f t="shared" si="105"/>
        <v>0.39482640000000002</v>
      </c>
      <c r="AO2786">
        <v>0.39482640000000002</v>
      </c>
      <c r="AR2786" s="8">
        <v>0</v>
      </c>
      <c r="AS2786">
        <v>0.45081710000000003</v>
      </c>
    </row>
    <row r="2787" spans="1:45" x14ac:dyDescent="0.25">
      <c r="A2787">
        <v>485</v>
      </c>
      <c r="B2787">
        <v>2002</v>
      </c>
      <c r="C2787" s="8">
        <v>0</v>
      </c>
      <c r="D2787">
        <v>0.41217609999999999</v>
      </c>
      <c r="E2787">
        <v>0.2126199</v>
      </c>
      <c r="F2787">
        <v>5.4710300000000003E-2</v>
      </c>
      <c r="G2787">
        <v>0.79529209999999995</v>
      </c>
      <c r="H2787">
        <v>1.055061</v>
      </c>
      <c r="Q2787" s="10">
        <f t="shared" si="106"/>
        <v>2.336240830455602E-2</v>
      </c>
      <c r="AI2787">
        <v>0.41444219999999998</v>
      </c>
      <c r="AJ2787">
        <f t="shared" si="105"/>
        <v>0.41444219999999998</v>
      </c>
      <c r="AO2787">
        <v>0.41444219999999998</v>
      </c>
      <c r="AR2787" s="8">
        <v>0</v>
      </c>
      <c r="AS2787">
        <v>0.90972960000000003</v>
      </c>
    </row>
    <row r="2788" spans="1:45" x14ac:dyDescent="0.25">
      <c r="A2788">
        <v>485</v>
      </c>
      <c r="B2788">
        <v>2003</v>
      </c>
      <c r="C2788" s="8">
        <v>0</v>
      </c>
      <c r="D2788">
        <v>0.39482640000000002</v>
      </c>
      <c r="E2788">
        <v>0.22822419999999999</v>
      </c>
      <c r="F2788">
        <v>4.1737700000000003E-2</v>
      </c>
      <c r="G2788">
        <v>1.367721</v>
      </c>
      <c r="H2788">
        <v>1.089153</v>
      </c>
      <c r="Q2788" s="10">
        <f t="shared" si="106"/>
        <v>1.0454748235438953E-2</v>
      </c>
      <c r="AI2788">
        <v>3.8089900000000003E-2</v>
      </c>
      <c r="AJ2788">
        <f t="shared" si="105"/>
        <v>3.8089900000000003E-2</v>
      </c>
      <c r="AO2788">
        <v>3.8089900000000003E-2</v>
      </c>
      <c r="AR2788" s="8">
        <v>0</v>
      </c>
      <c r="AS2788">
        <v>0.89365779999999995</v>
      </c>
    </row>
    <row r="2789" spans="1:45" x14ac:dyDescent="0.25">
      <c r="A2789">
        <v>485</v>
      </c>
      <c r="B2789">
        <v>2004</v>
      </c>
      <c r="C2789" s="8">
        <v>0</v>
      </c>
      <c r="D2789">
        <v>0.41444219999999998</v>
      </c>
      <c r="E2789">
        <v>0.2359388</v>
      </c>
      <c r="F2789">
        <v>6.8561399999999995E-2</v>
      </c>
      <c r="G2789">
        <v>1.6770989999999999</v>
      </c>
      <c r="H2789">
        <v>1.05138</v>
      </c>
      <c r="Q2789" s="10">
        <f t="shared" si="106"/>
        <v>5.0451306235882913E-3</v>
      </c>
      <c r="AI2789">
        <v>-1.13458E-2</v>
      </c>
      <c r="AJ2789">
        <f t="shared" si="105"/>
        <v>-1.13458E-2</v>
      </c>
      <c r="AO2789">
        <v>-1.13458E-2</v>
      </c>
      <c r="AR2789" s="8">
        <v>0</v>
      </c>
      <c r="AS2789">
        <v>0.79529209999999995</v>
      </c>
    </row>
    <row r="2790" spans="1:45" x14ac:dyDescent="0.25">
      <c r="A2790">
        <v>486</v>
      </c>
      <c r="B2790">
        <v>1995</v>
      </c>
      <c r="C2790" s="8">
        <v>0</v>
      </c>
      <c r="D2790">
        <v>3.8089900000000003E-2</v>
      </c>
      <c r="E2790">
        <v>-0.211835</v>
      </c>
      <c r="F2790">
        <v>5.6347700000000001E-2</v>
      </c>
      <c r="G2790">
        <v>0.67802709999999999</v>
      </c>
      <c r="H2790">
        <v>0.33836369999999999</v>
      </c>
      <c r="Q2790" s="10">
        <f t="shared" si="106"/>
        <v>2.8161951299545962E-2</v>
      </c>
      <c r="AI2790">
        <v>5.1576400000000001E-2</v>
      </c>
      <c r="AJ2790">
        <f t="shared" si="105"/>
        <v>5.1576400000000001E-2</v>
      </c>
      <c r="AO2790">
        <v>5.1576400000000001E-2</v>
      </c>
      <c r="AR2790" s="8">
        <v>0</v>
      </c>
      <c r="AS2790">
        <v>1.367721</v>
      </c>
    </row>
    <row r="2791" spans="1:45" x14ac:dyDescent="0.25">
      <c r="A2791">
        <v>486</v>
      </c>
      <c r="B2791">
        <v>1996</v>
      </c>
      <c r="C2791" s="8">
        <v>0</v>
      </c>
      <c r="D2791">
        <v>-1.13458E-2</v>
      </c>
      <c r="E2791">
        <v>-0.2402783</v>
      </c>
      <c r="F2791">
        <v>7.4385300000000001E-2</v>
      </c>
      <c r="G2791">
        <v>0.53352869999999997</v>
      </c>
      <c r="H2791">
        <v>0.286746</v>
      </c>
      <c r="Q2791" s="10">
        <f t="shared" si="106"/>
        <v>3.028508876362437E-2</v>
      </c>
      <c r="AI2791">
        <v>-4.5360200000000003E-2</v>
      </c>
      <c r="AJ2791">
        <f t="shared" si="105"/>
        <v>-4.5360200000000003E-2</v>
      </c>
      <c r="AO2791">
        <v>-4.5360200000000003E-2</v>
      </c>
      <c r="AR2791" s="8">
        <v>0</v>
      </c>
      <c r="AS2791">
        <v>1.6770989999999999</v>
      </c>
    </row>
    <row r="2792" spans="1:45" x14ac:dyDescent="0.25">
      <c r="A2792">
        <v>486</v>
      </c>
      <c r="B2792">
        <v>1997</v>
      </c>
      <c r="C2792" s="8">
        <v>0</v>
      </c>
      <c r="D2792">
        <v>5.1576400000000001E-2</v>
      </c>
      <c r="E2792">
        <v>-0.18416060000000001</v>
      </c>
      <c r="F2792">
        <v>4.3618799999999999E-2</v>
      </c>
      <c r="G2792">
        <v>0.38151200000000002</v>
      </c>
      <c r="H2792">
        <v>0.27532129999999999</v>
      </c>
      <c r="Q2792" s="10">
        <f t="shared" si="106"/>
        <v>4.5625364881534902E-2</v>
      </c>
      <c r="AI2792">
        <v>-9.83266E-2</v>
      </c>
      <c r="AJ2792">
        <f t="shared" si="105"/>
        <v>-9.83266E-2</v>
      </c>
      <c r="AO2792">
        <v>-9.83266E-2</v>
      </c>
      <c r="AR2792" s="8">
        <v>0</v>
      </c>
      <c r="AS2792">
        <v>0.67802709999999999</v>
      </c>
    </row>
    <row r="2793" spans="1:45" x14ac:dyDescent="0.25">
      <c r="A2793">
        <v>486</v>
      </c>
      <c r="B2793">
        <v>1998</v>
      </c>
      <c r="C2793" s="8">
        <v>0</v>
      </c>
      <c r="D2793">
        <v>-4.5360200000000003E-2</v>
      </c>
      <c r="E2793">
        <v>-0.3318469</v>
      </c>
      <c r="F2793">
        <v>4.0802199999999997E-2</v>
      </c>
      <c r="G2793">
        <v>0.34261209999999997</v>
      </c>
      <c r="H2793">
        <v>0.2865663</v>
      </c>
      <c r="Q2793" s="10">
        <f t="shared" si="106"/>
        <v>5.8715927884641174E-2</v>
      </c>
      <c r="AI2793">
        <v>8.3340899999999996E-2</v>
      </c>
      <c r="AJ2793">
        <f t="shared" si="105"/>
        <v>8.3340899999999996E-2</v>
      </c>
      <c r="AO2793">
        <v>8.3340899999999996E-2</v>
      </c>
      <c r="AR2793" s="8">
        <v>0</v>
      </c>
      <c r="AS2793">
        <v>0.53352869999999997</v>
      </c>
    </row>
    <row r="2794" spans="1:45" x14ac:dyDescent="0.25">
      <c r="A2794">
        <v>486</v>
      </c>
      <c r="B2794">
        <v>1999</v>
      </c>
      <c r="C2794" s="8">
        <v>1</v>
      </c>
      <c r="D2794">
        <v>-9.83266E-2</v>
      </c>
      <c r="E2794">
        <v>-0.2161151</v>
      </c>
      <c r="F2794">
        <v>5.0780699999999998E-2</v>
      </c>
      <c r="G2794">
        <v>0.16641529999999999</v>
      </c>
      <c r="H2794">
        <v>0.22759670000000001</v>
      </c>
      <c r="Q2794" s="10">
        <f t="shared" si="106"/>
        <v>5.7305998319543E-2</v>
      </c>
      <c r="AI2794">
        <v>8.7957300000000002E-2</v>
      </c>
      <c r="AJ2794">
        <f t="shared" si="105"/>
        <v>8.7957300000000002E-2</v>
      </c>
      <c r="AO2794">
        <v>8.7957300000000002E-2</v>
      </c>
      <c r="AR2794" s="8">
        <v>0</v>
      </c>
      <c r="AS2794">
        <v>0.38151200000000002</v>
      </c>
    </row>
    <row r="2795" spans="1:45" x14ac:dyDescent="0.25">
      <c r="A2795">
        <v>487</v>
      </c>
      <c r="B2795">
        <v>1995</v>
      </c>
      <c r="C2795" s="8">
        <v>0</v>
      </c>
      <c r="D2795">
        <v>8.3340899999999996E-2</v>
      </c>
      <c r="E2795">
        <v>-6.4512299999999995E-2</v>
      </c>
      <c r="F2795">
        <v>4.3471500000000003E-2</v>
      </c>
      <c r="G2795">
        <v>0.3912427</v>
      </c>
      <c r="H2795">
        <v>0.19505130000000001</v>
      </c>
      <c r="Q2795" s="10">
        <f t="shared" si="106"/>
        <v>3.6774811897698857E-2</v>
      </c>
      <c r="AI2795">
        <v>0.1201132</v>
      </c>
      <c r="AJ2795">
        <f t="shared" si="105"/>
        <v>0.1201132</v>
      </c>
      <c r="AO2795">
        <v>0.1201132</v>
      </c>
      <c r="AR2795" s="8">
        <v>0</v>
      </c>
      <c r="AS2795">
        <v>0.34261209999999997</v>
      </c>
    </row>
    <row r="2796" spans="1:45" x14ac:dyDescent="0.25">
      <c r="A2796">
        <v>487</v>
      </c>
      <c r="B2796">
        <v>1996</v>
      </c>
      <c r="C2796" s="8">
        <v>0</v>
      </c>
      <c r="D2796">
        <v>8.7957300000000002E-2</v>
      </c>
      <c r="E2796">
        <v>-2.053E-2</v>
      </c>
      <c r="F2796">
        <v>6.0862800000000002E-2</v>
      </c>
      <c r="G2796">
        <v>0.54493239999999998</v>
      </c>
      <c r="H2796">
        <v>0.20142109999999999</v>
      </c>
      <c r="Q2796" s="10">
        <f t="shared" si="106"/>
        <v>2.3948777263238994E-2</v>
      </c>
      <c r="AI2796">
        <v>0.1137664</v>
      </c>
      <c r="AJ2796">
        <f t="shared" si="105"/>
        <v>0.1137664</v>
      </c>
      <c r="AO2796">
        <v>0.1137664</v>
      </c>
      <c r="AR2796" s="8">
        <v>1</v>
      </c>
      <c r="AS2796">
        <v>0.16641529999999999</v>
      </c>
    </row>
    <row r="2797" spans="1:45" x14ac:dyDescent="0.25">
      <c r="A2797">
        <v>487</v>
      </c>
      <c r="B2797">
        <v>1997</v>
      </c>
      <c r="C2797" s="8">
        <v>0</v>
      </c>
      <c r="D2797">
        <v>0.1201132</v>
      </c>
      <c r="E2797">
        <v>6.8274E-3</v>
      </c>
      <c r="F2797">
        <v>5.7166300000000003E-2</v>
      </c>
      <c r="G2797">
        <v>0.99184220000000001</v>
      </c>
      <c r="H2797">
        <v>0.2042146</v>
      </c>
      <c r="Q2797" s="10">
        <f t="shared" si="106"/>
        <v>1.1950685564433841E-2</v>
      </c>
      <c r="AI2797">
        <v>0.13254540000000001</v>
      </c>
      <c r="AJ2797">
        <f t="shared" si="105"/>
        <v>0.13254540000000001</v>
      </c>
      <c r="AO2797">
        <v>0.13254540000000001</v>
      </c>
      <c r="AR2797" s="8">
        <v>0</v>
      </c>
      <c r="AS2797">
        <v>0.3912427</v>
      </c>
    </row>
    <row r="2798" spans="1:45" x14ac:dyDescent="0.25">
      <c r="A2798">
        <v>487</v>
      </c>
      <c r="B2798">
        <v>1998</v>
      </c>
      <c r="C2798" s="8">
        <v>0</v>
      </c>
      <c r="D2798">
        <v>0.1137664</v>
      </c>
      <c r="E2798">
        <v>8.5115999999999994E-3</v>
      </c>
      <c r="F2798">
        <v>4.5822000000000002E-2</v>
      </c>
      <c r="G2798">
        <v>0.57839110000000005</v>
      </c>
      <c r="H2798">
        <v>0.14384060000000001</v>
      </c>
      <c r="Q2798" s="10">
        <f t="shared" si="106"/>
        <v>2.3943562446019691E-2</v>
      </c>
      <c r="AI2798">
        <v>0.1041116</v>
      </c>
      <c r="AJ2798">
        <f t="shared" si="105"/>
        <v>0.1041116</v>
      </c>
      <c r="AO2798">
        <v>0.1041116</v>
      </c>
      <c r="AR2798" s="8">
        <v>0</v>
      </c>
      <c r="AS2798">
        <v>0.54493239999999998</v>
      </c>
    </row>
    <row r="2799" spans="1:45" x14ac:dyDescent="0.25">
      <c r="A2799">
        <v>487</v>
      </c>
      <c r="B2799">
        <v>1999</v>
      </c>
      <c r="C2799" s="8">
        <v>0</v>
      </c>
      <c r="D2799">
        <v>0.13254540000000001</v>
      </c>
      <c r="E2799">
        <v>3.4049999999999997E-2</v>
      </c>
      <c r="F2799">
        <v>3.3098799999999998E-2</v>
      </c>
      <c r="G2799">
        <v>0.48393199999999997</v>
      </c>
      <c r="H2799">
        <v>0.1585878</v>
      </c>
      <c r="Q2799" s="10">
        <f t="shared" si="106"/>
        <v>3.0010727430015541E-2</v>
      </c>
      <c r="AI2799">
        <v>0.1089302</v>
      </c>
      <c r="AJ2799">
        <f t="shared" si="105"/>
        <v>0.1089302</v>
      </c>
      <c r="AO2799">
        <v>0.1089302</v>
      </c>
      <c r="AR2799" s="8">
        <v>0</v>
      </c>
      <c r="AS2799">
        <v>0.99184220000000001</v>
      </c>
    </row>
    <row r="2800" spans="1:45" x14ac:dyDescent="0.25">
      <c r="A2800">
        <v>487</v>
      </c>
      <c r="B2800">
        <v>2000</v>
      </c>
      <c r="C2800" s="8">
        <v>0</v>
      </c>
      <c r="D2800">
        <v>0.1041116</v>
      </c>
      <c r="E2800">
        <v>-1.4559000000000001E-2</v>
      </c>
      <c r="F2800">
        <v>5.8709799999999999E-2</v>
      </c>
      <c r="G2800">
        <v>0.1344022</v>
      </c>
      <c r="H2800">
        <v>0.16632730000000001</v>
      </c>
      <c r="Q2800" s="10">
        <f t="shared" si="106"/>
        <v>4.4792266325362207E-2</v>
      </c>
      <c r="AI2800">
        <v>7.6881400000000003E-2</v>
      </c>
      <c r="AJ2800">
        <f t="shared" si="105"/>
        <v>7.6881400000000003E-2</v>
      </c>
      <c r="AO2800">
        <v>7.6881400000000003E-2</v>
      </c>
      <c r="AR2800" s="8">
        <v>0</v>
      </c>
      <c r="AS2800">
        <v>0.57839110000000005</v>
      </c>
    </row>
    <row r="2801" spans="1:45" x14ac:dyDescent="0.25">
      <c r="A2801">
        <v>487</v>
      </c>
      <c r="B2801">
        <v>2001</v>
      </c>
      <c r="C2801" s="8">
        <v>0</v>
      </c>
      <c r="D2801">
        <v>0.1089302</v>
      </c>
      <c r="E2801">
        <v>-6.6080000000000002E-4</v>
      </c>
      <c r="F2801">
        <v>4.8650199999999998E-2</v>
      </c>
      <c r="G2801">
        <v>0.2078797</v>
      </c>
      <c r="H2801">
        <v>0.16519519999999999</v>
      </c>
      <c r="Q2801" s="10">
        <f t="shared" si="106"/>
        <v>4.2475153968656823E-2</v>
      </c>
      <c r="AI2801">
        <v>0.1126259</v>
      </c>
      <c r="AJ2801">
        <f t="shared" si="105"/>
        <v>0.1126259</v>
      </c>
      <c r="AO2801">
        <v>0.1126259</v>
      </c>
      <c r="AR2801" s="8">
        <v>0</v>
      </c>
      <c r="AS2801">
        <v>0.48393199999999997</v>
      </c>
    </row>
    <row r="2802" spans="1:45" x14ac:dyDescent="0.25">
      <c r="A2802">
        <v>487</v>
      </c>
      <c r="B2802">
        <v>2002</v>
      </c>
      <c r="C2802" s="8">
        <v>0</v>
      </c>
      <c r="D2802">
        <v>7.6881400000000003E-2</v>
      </c>
      <c r="E2802">
        <v>-4.3649500000000001E-2</v>
      </c>
      <c r="F2802">
        <v>5.1961800000000002E-2</v>
      </c>
      <c r="G2802">
        <v>0.29382740000000002</v>
      </c>
      <c r="H2802">
        <v>0.17879880000000001</v>
      </c>
      <c r="Q2802" s="10">
        <f t="shared" si="106"/>
        <v>3.8374505273892801E-2</v>
      </c>
      <c r="AI2802">
        <v>7.9941200000000004E-2</v>
      </c>
      <c r="AJ2802">
        <f t="shared" si="105"/>
        <v>7.9941200000000004E-2</v>
      </c>
      <c r="AO2802">
        <v>7.9941200000000004E-2</v>
      </c>
      <c r="AR2802" s="8">
        <v>0</v>
      </c>
      <c r="AS2802">
        <v>0.1344022</v>
      </c>
    </row>
    <row r="2803" spans="1:45" x14ac:dyDescent="0.25">
      <c r="A2803">
        <v>487</v>
      </c>
      <c r="B2803">
        <v>2003</v>
      </c>
      <c r="C2803" s="8">
        <v>0</v>
      </c>
      <c r="D2803">
        <v>0.1126259</v>
      </c>
      <c r="E2803">
        <v>-0.11491560000000001</v>
      </c>
      <c r="F2803">
        <v>3.9335200000000001E-2</v>
      </c>
      <c r="G2803">
        <v>0.23477809999999999</v>
      </c>
      <c r="H2803">
        <v>0.1640559</v>
      </c>
      <c r="Q2803" s="10">
        <f t="shared" si="106"/>
        <v>5.1327741642628759E-2</v>
      </c>
      <c r="AI2803">
        <v>0.12220590000000001</v>
      </c>
      <c r="AJ2803">
        <f t="shared" si="105"/>
        <v>0.12220590000000001</v>
      </c>
      <c r="AO2803">
        <v>0.12220590000000001</v>
      </c>
      <c r="AR2803" s="8">
        <v>0</v>
      </c>
      <c r="AS2803">
        <v>0.2078797</v>
      </c>
    </row>
    <row r="2804" spans="1:45" x14ac:dyDescent="0.25">
      <c r="A2804">
        <v>487</v>
      </c>
      <c r="B2804">
        <v>2004</v>
      </c>
      <c r="C2804" s="8">
        <v>0</v>
      </c>
      <c r="D2804">
        <v>7.9941200000000004E-2</v>
      </c>
      <c r="E2804">
        <v>-5.0183199999999997E-2</v>
      </c>
      <c r="F2804">
        <v>4.2701599999999999E-2</v>
      </c>
      <c r="G2804">
        <v>0.39746369999999998</v>
      </c>
      <c r="H2804">
        <v>0.18601129999999999</v>
      </c>
      <c r="Q2804" s="10">
        <f t="shared" si="106"/>
        <v>3.5671661956372516E-2</v>
      </c>
      <c r="AI2804">
        <v>0.10781839999999999</v>
      </c>
      <c r="AJ2804">
        <f t="shared" si="105"/>
        <v>0.10781839999999999</v>
      </c>
      <c r="AO2804">
        <v>0.10781839999999999</v>
      </c>
      <c r="AR2804" s="8">
        <v>0</v>
      </c>
      <c r="AS2804">
        <v>0.29382740000000002</v>
      </c>
    </row>
    <row r="2805" spans="1:45" x14ac:dyDescent="0.25">
      <c r="A2805">
        <v>488</v>
      </c>
      <c r="B2805">
        <v>1995</v>
      </c>
      <c r="C2805" s="8">
        <v>0</v>
      </c>
      <c r="D2805">
        <v>0.12220590000000001</v>
      </c>
      <c r="E2805">
        <v>0.68328239999999996</v>
      </c>
      <c r="F2805">
        <v>8.7112400000000006E-2</v>
      </c>
      <c r="G2805">
        <v>2.4849009999999998</v>
      </c>
      <c r="H2805">
        <v>0.29749229999999999</v>
      </c>
      <c r="Q2805" s="10">
        <f t="shared" si="106"/>
        <v>3.4947790929046877E-4</v>
      </c>
      <c r="AI2805">
        <v>0.16674159999999999</v>
      </c>
      <c r="AJ2805">
        <f t="shared" si="105"/>
        <v>0.16674159999999999</v>
      </c>
      <c r="AO2805">
        <v>0.16674159999999999</v>
      </c>
      <c r="AR2805" s="8">
        <v>0</v>
      </c>
      <c r="AS2805">
        <v>0.23477809999999999</v>
      </c>
    </row>
    <row r="2806" spans="1:45" x14ac:dyDescent="0.25">
      <c r="A2806">
        <v>488</v>
      </c>
      <c r="B2806">
        <v>1996</v>
      </c>
      <c r="C2806" s="8">
        <v>0</v>
      </c>
      <c r="D2806">
        <v>0.10781839999999999</v>
      </c>
      <c r="E2806">
        <v>0.74639610000000001</v>
      </c>
      <c r="F2806">
        <v>7.9899899999999996E-2</v>
      </c>
      <c r="G2806">
        <v>2.6282740000000002</v>
      </c>
      <c r="H2806">
        <v>0.30899529999999997</v>
      </c>
      <c r="Q2806" s="10">
        <f t="shared" si="106"/>
        <v>2.6911357595151806E-4</v>
      </c>
      <c r="AI2806">
        <v>0.12611069999999999</v>
      </c>
      <c r="AJ2806">
        <f t="shared" si="105"/>
        <v>0.12611069999999999</v>
      </c>
      <c r="AO2806">
        <v>0.12611069999999999</v>
      </c>
      <c r="AR2806" s="8">
        <v>0</v>
      </c>
      <c r="AS2806">
        <v>0.39746369999999998</v>
      </c>
    </row>
    <row r="2807" spans="1:45" x14ac:dyDescent="0.25">
      <c r="A2807">
        <v>488</v>
      </c>
      <c r="B2807">
        <v>1997</v>
      </c>
      <c r="C2807" s="8">
        <v>0</v>
      </c>
      <c r="D2807">
        <v>0.16674159999999999</v>
      </c>
      <c r="E2807">
        <v>0.73899630000000005</v>
      </c>
      <c r="F2807">
        <v>7.7126100000000003E-2</v>
      </c>
      <c r="G2807">
        <v>2.3610570000000002</v>
      </c>
      <c r="H2807">
        <v>0.2988497</v>
      </c>
      <c r="Q2807" s="10">
        <f t="shared" si="106"/>
        <v>4.3349565393589057E-4</v>
      </c>
      <c r="AI2807">
        <v>0.101574</v>
      </c>
      <c r="AJ2807">
        <f t="shared" si="105"/>
        <v>0.101574</v>
      </c>
      <c r="AO2807">
        <v>0.101574</v>
      </c>
      <c r="AR2807" s="8">
        <v>0</v>
      </c>
      <c r="AS2807">
        <v>2.4849009999999998</v>
      </c>
    </row>
    <row r="2808" spans="1:45" x14ac:dyDescent="0.25">
      <c r="A2808">
        <v>488</v>
      </c>
      <c r="B2808">
        <v>1998</v>
      </c>
      <c r="C2808" s="8">
        <v>0</v>
      </c>
      <c r="D2808">
        <v>0.12611069999999999</v>
      </c>
      <c r="E2808">
        <v>0.76764900000000003</v>
      </c>
      <c r="F2808">
        <v>5.91777E-2</v>
      </c>
      <c r="G2808">
        <v>2.324592</v>
      </c>
      <c r="H2808">
        <v>0.26789370000000001</v>
      </c>
      <c r="Q2808" s="10">
        <f t="shared" si="106"/>
        <v>4.9069481598404212E-4</v>
      </c>
      <c r="AI2808">
        <v>9.2367699999999997E-2</v>
      </c>
      <c r="AJ2808">
        <f t="shared" si="105"/>
        <v>9.2367699999999997E-2</v>
      </c>
      <c r="AO2808">
        <v>9.2367699999999997E-2</v>
      </c>
      <c r="AR2808" s="8">
        <v>0</v>
      </c>
      <c r="AS2808">
        <v>2.6282740000000002</v>
      </c>
    </row>
    <row r="2809" spans="1:45" x14ac:dyDescent="0.25">
      <c r="A2809">
        <v>488</v>
      </c>
      <c r="B2809">
        <v>1999</v>
      </c>
      <c r="C2809" s="8">
        <v>0</v>
      </c>
      <c r="D2809">
        <v>0.101574</v>
      </c>
      <c r="E2809">
        <v>0.67920910000000001</v>
      </c>
      <c r="F2809">
        <v>7.0654499999999995E-2</v>
      </c>
      <c r="G2809">
        <v>1.9025829999999999</v>
      </c>
      <c r="H2809">
        <v>0.2643317</v>
      </c>
      <c r="Q2809" s="10">
        <f t="shared" si="106"/>
        <v>9.8461796708170456E-4</v>
      </c>
      <c r="AI2809">
        <v>0.1180794</v>
      </c>
      <c r="AJ2809">
        <f t="shared" si="105"/>
        <v>0.1180794</v>
      </c>
      <c r="AO2809">
        <v>0.1180794</v>
      </c>
      <c r="AR2809" s="8">
        <v>0</v>
      </c>
      <c r="AS2809">
        <v>2.3610570000000002</v>
      </c>
    </row>
    <row r="2810" spans="1:45" x14ac:dyDescent="0.25">
      <c r="A2810">
        <v>488</v>
      </c>
      <c r="B2810">
        <v>2000</v>
      </c>
      <c r="C2810" s="8">
        <v>0</v>
      </c>
      <c r="D2810">
        <v>9.2367699999999997E-2</v>
      </c>
      <c r="E2810">
        <v>0.68590680000000004</v>
      </c>
      <c r="F2810">
        <v>5.49054E-2</v>
      </c>
      <c r="G2810">
        <v>1.3392520000000001</v>
      </c>
      <c r="H2810">
        <v>0.27523239999999999</v>
      </c>
      <c r="Q2810" s="10">
        <f t="shared" si="106"/>
        <v>2.7173665761330949E-3</v>
      </c>
      <c r="AI2810">
        <v>0.1639169</v>
      </c>
      <c r="AJ2810">
        <f t="shared" si="105"/>
        <v>0.1639169</v>
      </c>
      <c r="AO2810">
        <v>0.1639169</v>
      </c>
      <c r="AR2810" s="8">
        <v>0</v>
      </c>
      <c r="AS2810">
        <v>2.324592</v>
      </c>
    </row>
    <row r="2811" spans="1:45" x14ac:dyDescent="0.25">
      <c r="A2811">
        <v>488</v>
      </c>
      <c r="B2811">
        <v>2001</v>
      </c>
      <c r="C2811" s="8">
        <v>0</v>
      </c>
      <c r="D2811">
        <v>0.1180794</v>
      </c>
      <c r="E2811">
        <v>0.74016950000000004</v>
      </c>
      <c r="F2811">
        <v>5.5724999999999997E-2</v>
      </c>
      <c r="G2811">
        <v>1.652488</v>
      </c>
      <c r="H2811">
        <v>0.25674209999999997</v>
      </c>
      <c r="Q2811" s="10">
        <f t="shared" si="106"/>
        <v>1.5150340077777337E-3</v>
      </c>
      <c r="AI2811">
        <v>0.20906179999999999</v>
      </c>
      <c r="AJ2811">
        <f t="shared" si="105"/>
        <v>0.20906179999999999</v>
      </c>
      <c r="AO2811">
        <v>0.20906179999999999</v>
      </c>
      <c r="AR2811" s="8">
        <v>0</v>
      </c>
      <c r="AS2811">
        <v>1.9025829999999999</v>
      </c>
    </row>
    <row r="2812" spans="1:45" x14ac:dyDescent="0.25">
      <c r="A2812">
        <v>488</v>
      </c>
      <c r="B2812">
        <v>2002</v>
      </c>
      <c r="C2812" s="8">
        <v>0</v>
      </c>
      <c r="D2812">
        <v>0.1639169</v>
      </c>
      <c r="E2812">
        <v>0.68857440000000003</v>
      </c>
      <c r="F2812">
        <v>4.2932100000000001E-2</v>
      </c>
      <c r="G2812">
        <v>1.5236019999999999</v>
      </c>
      <c r="H2812">
        <v>0.28334619999999999</v>
      </c>
      <c r="Q2812" s="10">
        <f t="shared" si="106"/>
        <v>2.2999258633573313E-3</v>
      </c>
      <c r="AI2812">
        <v>0.23946429999999999</v>
      </c>
      <c r="AJ2812">
        <f t="shared" si="105"/>
        <v>0.23946429999999999</v>
      </c>
      <c r="AO2812">
        <v>0.23946429999999999</v>
      </c>
      <c r="AR2812" s="8">
        <v>0</v>
      </c>
      <c r="AS2812">
        <v>1.3392520000000001</v>
      </c>
    </row>
    <row r="2813" spans="1:45" x14ac:dyDescent="0.25">
      <c r="A2813">
        <v>488</v>
      </c>
      <c r="B2813">
        <v>2003</v>
      </c>
      <c r="C2813" s="8">
        <v>0</v>
      </c>
      <c r="D2813">
        <v>0.20906179999999999</v>
      </c>
      <c r="E2813">
        <v>0.71802089999999996</v>
      </c>
      <c r="F2813">
        <v>5.8650899999999999E-2</v>
      </c>
      <c r="G2813">
        <v>1.991541</v>
      </c>
      <c r="H2813">
        <v>0.28272750000000002</v>
      </c>
      <c r="Q2813" s="10">
        <f t="shared" si="106"/>
        <v>9.4017137478337508E-4</v>
      </c>
      <c r="AI2813">
        <v>3.0506000000000001E-3</v>
      </c>
      <c r="AJ2813">
        <f t="shared" si="105"/>
        <v>3.0506000000000001E-3</v>
      </c>
      <c r="AO2813">
        <v>3.0506000000000001E-3</v>
      </c>
      <c r="AR2813" s="8">
        <v>0</v>
      </c>
      <c r="AS2813">
        <v>1.652488</v>
      </c>
    </row>
    <row r="2814" spans="1:45" x14ac:dyDescent="0.25">
      <c r="A2814">
        <v>488</v>
      </c>
      <c r="B2814">
        <v>2004</v>
      </c>
      <c r="C2814" s="8">
        <v>0</v>
      </c>
      <c r="D2814">
        <v>0.23946429999999999</v>
      </c>
      <c r="E2814">
        <v>0.74143119999999996</v>
      </c>
      <c r="F2814">
        <v>5.1534900000000002E-2</v>
      </c>
      <c r="G2814">
        <v>2.211052</v>
      </c>
      <c r="H2814">
        <v>0.31376409999999999</v>
      </c>
      <c r="Q2814" s="10">
        <f t="shared" si="106"/>
        <v>7.000878898271106E-4</v>
      </c>
      <c r="AI2814">
        <v>-4.23119E-2</v>
      </c>
      <c r="AJ2814">
        <f t="shared" si="105"/>
        <v>-4.23119E-2</v>
      </c>
      <c r="AO2814">
        <v>-4.23119E-2</v>
      </c>
      <c r="AR2814" s="8">
        <v>0</v>
      </c>
      <c r="AS2814">
        <v>1.5236019999999999</v>
      </c>
    </row>
    <row r="2815" spans="1:45" x14ac:dyDescent="0.25">
      <c r="A2815">
        <v>489</v>
      </c>
      <c r="B2815">
        <v>1999</v>
      </c>
      <c r="C2815" s="8">
        <v>0</v>
      </c>
      <c r="D2815">
        <v>3.0506000000000001E-3</v>
      </c>
      <c r="E2815">
        <v>0.1246091</v>
      </c>
      <c r="F2815">
        <v>6.1875699999999999E-2</v>
      </c>
      <c r="G2815">
        <v>0.55932420000000005</v>
      </c>
      <c r="H2815">
        <v>0.17291019999999999</v>
      </c>
      <c r="Q2815" s="10">
        <f t="shared" si="106"/>
        <v>1.7941690254657985E-2</v>
      </c>
      <c r="AI2815">
        <v>-1.4777E-2</v>
      </c>
      <c r="AJ2815">
        <f t="shared" si="105"/>
        <v>-1.4777E-2</v>
      </c>
      <c r="AO2815">
        <v>-1.4777E-2</v>
      </c>
      <c r="AR2815" s="8">
        <v>0</v>
      </c>
      <c r="AS2815">
        <v>1.991541</v>
      </c>
    </row>
    <row r="2816" spans="1:45" x14ac:dyDescent="0.25">
      <c r="A2816">
        <v>489</v>
      </c>
      <c r="B2816">
        <v>2000</v>
      </c>
      <c r="C2816" s="8">
        <v>0</v>
      </c>
      <c r="D2816">
        <v>-4.23119E-2</v>
      </c>
      <c r="E2816">
        <v>0.10279099999999999</v>
      </c>
      <c r="F2816">
        <v>3.0202799999999998E-2</v>
      </c>
      <c r="G2816">
        <v>0.4134563</v>
      </c>
      <c r="H2816">
        <v>0.1759735</v>
      </c>
      <c r="Q2816" s="10">
        <f t="shared" si="106"/>
        <v>2.9258458104673535E-2</v>
      </c>
      <c r="AI2816">
        <v>4.5611000000000002E-3</v>
      </c>
      <c r="AJ2816">
        <f t="shared" si="105"/>
        <v>4.5611000000000002E-3</v>
      </c>
      <c r="AO2816">
        <v>4.5611000000000002E-3</v>
      </c>
      <c r="AR2816" s="8">
        <v>0</v>
      </c>
      <c r="AS2816">
        <v>2.211052</v>
      </c>
    </row>
    <row r="2817" spans="1:45" x14ac:dyDescent="0.25">
      <c r="A2817">
        <v>489</v>
      </c>
      <c r="B2817">
        <v>2001</v>
      </c>
      <c r="C2817" s="8">
        <v>0</v>
      </c>
      <c r="D2817">
        <v>-1.4777E-2</v>
      </c>
      <c r="E2817">
        <v>0.1180541</v>
      </c>
      <c r="F2817">
        <v>3.74081E-2</v>
      </c>
      <c r="G2817">
        <v>0.43941150000000001</v>
      </c>
      <c r="H2817">
        <v>0.12668740000000001</v>
      </c>
      <c r="Q2817" s="10">
        <f t="shared" si="106"/>
        <v>2.5525623859597356E-2</v>
      </c>
      <c r="AI2817">
        <v>9.8943E-3</v>
      </c>
      <c r="AJ2817">
        <f t="shared" si="105"/>
        <v>9.8943E-3</v>
      </c>
      <c r="AO2817">
        <v>9.8943E-3</v>
      </c>
      <c r="AR2817" s="8">
        <v>0</v>
      </c>
      <c r="AS2817">
        <v>0.55932420000000005</v>
      </c>
    </row>
    <row r="2818" spans="1:45" x14ac:dyDescent="0.25">
      <c r="A2818">
        <v>489</v>
      </c>
      <c r="B2818">
        <v>2002</v>
      </c>
      <c r="C2818" s="8">
        <v>0</v>
      </c>
      <c r="D2818">
        <v>4.5611000000000002E-3</v>
      </c>
      <c r="E2818">
        <v>0.1143213</v>
      </c>
      <c r="F2818">
        <v>4.3615800000000003E-2</v>
      </c>
      <c r="G2818">
        <v>0.36356470000000002</v>
      </c>
      <c r="H2818">
        <v>0.11709410000000001</v>
      </c>
      <c r="Q2818" s="10">
        <f t="shared" si="106"/>
        <v>2.7558305372333555E-2</v>
      </c>
      <c r="AI2818">
        <v>2.49097E-2</v>
      </c>
      <c r="AJ2818">
        <f t="shared" si="105"/>
        <v>2.49097E-2</v>
      </c>
      <c r="AO2818">
        <v>2.49097E-2</v>
      </c>
      <c r="AR2818" s="8">
        <v>0</v>
      </c>
      <c r="AS2818">
        <v>0.4134563</v>
      </c>
    </row>
    <row r="2819" spans="1:45" x14ac:dyDescent="0.25">
      <c r="A2819">
        <v>489</v>
      </c>
      <c r="B2819">
        <v>2003</v>
      </c>
      <c r="C2819" s="8">
        <v>0</v>
      </c>
      <c r="D2819">
        <v>9.8943E-3</v>
      </c>
      <c r="E2819">
        <v>0.1119124</v>
      </c>
      <c r="F2819">
        <v>5.06536E-2</v>
      </c>
      <c r="G2819">
        <v>0.4153927</v>
      </c>
      <c r="H2819">
        <v>0.12042319999999999</v>
      </c>
      <c r="Q2819" s="10">
        <f t="shared" si="106"/>
        <v>2.4254041609905824E-2</v>
      </c>
      <c r="AI2819">
        <v>0.35042899999999999</v>
      </c>
      <c r="AJ2819">
        <f t="shared" si="105"/>
        <v>0.35042899999999999</v>
      </c>
      <c r="AO2819">
        <v>0.35042899999999999</v>
      </c>
      <c r="AR2819" s="8">
        <v>0</v>
      </c>
      <c r="AS2819">
        <v>0.43941150000000001</v>
      </c>
    </row>
    <row r="2820" spans="1:45" x14ac:dyDescent="0.25">
      <c r="A2820">
        <v>489</v>
      </c>
      <c r="B2820">
        <v>2004</v>
      </c>
      <c r="C2820" s="8">
        <v>0</v>
      </c>
      <c r="D2820">
        <v>2.49097E-2</v>
      </c>
      <c r="E2820">
        <v>0.1416288</v>
      </c>
      <c r="F2820">
        <v>5.0862900000000003E-2</v>
      </c>
      <c r="G2820">
        <v>0.47954190000000002</v>
      </c>
      <c r="H2820">
        <v>0.1394088</v>
      </c>
      <c r="Q2820" s="10">
        <f t="shared" si="106"/>
        <v>2.1378876926757832E-2</v>
      </c>
      <c r="AI2820">
        <v>0.3793955</v>
      </c>
      <c r="AJ2820">
        <f t="shared" si="105"/>
        <v>0.3793955</v>
      </c>
      <c r="AO2820">
        <v>0.3793955</v>
      </c>
      <c r="AR2820" s="8">
        <v>0</v>
      </c>
      <c r="AS2820">
        <v>0.36356470000000002</v>
      </c>
    </row>
    <row r="2821" spans="1:45" x14ac:dyDescent="0.25">
      <c r="A2821">
        <v>490</v>
      </c>
      <c r="B2821">
        <v>1995</v>
      </c>
      <c r="C2821" s="8">
        <v>0</v>
      </c>
      <c r="D2821">
        <v>0.35042899999999999</v>
      </c>
      <c r="E2821">
        <v>0.4451116</v>
      </c>
      <c r="F2821">
        <v>6.3276600000000002E-2</v>
      </c>
      <c r="G2821">
        <v>2.5713879999999998</v>
      </c>
      <c r="H2821">
        <v>0.337397</v>
      </c>
      <c r="Q2821" s="10">
        <f t="shared" si="106"/>
        <v>5.8678065446976057E-4</v>
      </c>
      <c r="AI2821">
        <v>-4.5730600000000003E-2</v>
      </c>
      <c r="AJ2821">
        <f t="shared" ref="AJ2821:AJ2884" si="107">MAX(MIN(AI2821,AM$5),AM$4)</f>
        <v>-4.5730600000000003E-2</v>
      </c>
      <c r="AO2821">
        <v>-4.5730600000000003E-2</v>
      </c>
      <c r="AR2821" s="8">
        <v>0</v>
      </c>
      <c r="AS2821">
        <v>0.4153927</v>
      </c>
    </row>
    <row r="2822" spans="1:45" x14ac:dyDescent="0.25">
      <c r="A2822">
        <v>490</v>
      </c>
      <c r="B2822">
        <v>1996</v>
      </c>
      <c r="C2822" s="8">
        <v>0</v>
      </c>
      <c r="D2822">
        <v>0.3793955</v>
      </c>
      <c r="E2822">
        <v>0.41244449999999999</v>
      </c>
      <c r="F2822">
        <v>2.87596E-2</v>
      </c>
      <c r="G2822">
        <v>1.1485669999999999</v>
      </c>
      <c r="H2822">
        <v>0.35940929999999999</v>
      </c>
      <c r="Q2822" s="10">
        <f t="shared" si="106"/>
        <v>7.9735020320702895E-3</v>
      </c>
      <c r="AI2822">
        <v>-8.8692000000000007E-3</v>
      </c>
      <c r="AJ2822">
        <f t="shared" si="107"/>
        <v>-8.8692000000000007E-3</v>
      </c>
      <c r="AO2822">
        <v>-8.8692000000000007E-3</v>
      </c>
      <c r="AR2822" s="8">
        <v>0</v>
      </c>
      <c r="AS2822">
        <v>0.47954190000000002</v>
      </c>
    </row>
    <row r="2823" spans="1:45" x14ac:dyDescent="0.25">
      <c r="A2823">
        <v>491</v>
      </c>
      <c r="B2823">
        <v>1995</v>
      </c>
      <c r="C2823" s="8">
        <v>0</v>
      </c>
      <c r="D2823">
        <v>-4.5730600000000003E-2</v>
      </c>
      <c r="E2823">
        <v>8.3814299999999994E-2</v>
      </c>
      <c r="F2823">
        <v>4.6639300000000002E-2</v>
      </c>
      <c r="G2823">
        <v>0.64718310000000001</v>
      </c>
      <c r="H2823">
        <v>8.4364300000000003E-2</v>
      </c>
      <c r="Q2823" s="10">
        <f t="shared" ref="Q2823:Q2886" si="108">1/(1+EXP(-(J$6+SUMPRODUCT(K$6:O$6,D2823:H2823))))</f>
        <v>1.7353928944390088E-2</v>
      </c>
      <c r="AI2823">
        <v>4.22967E-2</v>
      </c>
      <c r="AJ2823">
        <f t="shared" si="107"/>
        <v>4.22967E-2</v>
      </c>
      <c r="AO2823">
        <v>4.22967E-2</v>
      </c>
      <c r="AR2823" s="8">
        <v>0</v>
      </c>
      <c r="AS2823">
        <v>2.5713879999999998</v>
      </c>
    </row>
    <row r="2824" spans="1:45" x14ac:dyDescent="0.25">
      <c r="A2824">
        <v>491</v>
      </c>
      <c r="B2824">
        <v>1996</v>
      </c>
      <c r="C2824" s="8">
        <v>0</v>
      </c>
      <c r="D2824">
        <v>-8.8692000000000007E-3</v>
      </c>
      <c r="E2824">
        <v>8.3509799999999995E-2</v>
      </c>
      <c r="F2824">
        <v>3.8866699999999997E-2</v>
      </c>
      <c r="G2824">
        <v>0.62121440000000006</v>
      </c>
      <c r="H2824">
        <v>9.2991000000000004E-2</v>
      </c>
      <c r="Q2824" s="10">
        <f t="shared" si="108"/>
        <v>1.9611958008589871E-2</v>
      </c>
      <c r="AI2824">
        <v>3.5027299999999997E-2</v>
      </c>
      <c r="AJ2824">
        <f t="shared" si="107"/>
        <v>3.5027299999999997E-2</v>
      </c>
      <c r="AO2824">
        <v>3.5027299999999997E-2</v>
      </c>
      <c r="AR2824" s="8">
        <v>0</v>
      </c>
      <c r="AS2824">
        <v>1.1485669999999999</v>
      </c>
    </row>
    <row r="2825" spans="1:45" x14ac:dyDescent="0.25">
      <c r="A2825">
        <v>491</v>
      </c>
      <c r="B2825">
        <v>1997</v>
      </c>
      <c r="C2825" s="8">
        <v>0</v>
      </c>
      <c r="D2825">
        <v>4.22967E-2</v>
      </c>
      <c r="E2825">
        <v>0.10952050000000001</v>
      </c>
      <c r="F2825">
        <v>2.6265299999999998E-2</v>
      </c>
      <c r="G2825">
        <v>0.89115299999999997</v>
      </c>
      <c r="H2825">
        <v>0.13895370000000001</v>
      </c>
      <c r="Q2825" s="10">
        <f t="shared" si="108"/>
        <v>1.4353337791314969E-2</v>
      </c>
      <c r="AI2825">
        <v>0.26499109999999998</v>
      </c>
      <c r="AJ2825">
        <f t="shared" si="107"/>
        <v>0.26499109999999998</v>
      </c>
      <c r="AO2825">
        <v>0.26499109999999998</v>
      </c>
      <c r="AR2825" s="8">
        <v>0</v>
      </c>
      <c r="AS2825">
        <v>0.64718310000000001</v>
      </c>
    </row>
    <row r="2826" spans="1:45" x14ac:dyDescent="0.25">
      <c r="A2826">
        <v>491</v>
      </c>
      <c r="B2826">
        <v>1998</v>
      </c>
      <c r="C2826" s="8">
        <v>0</v>
      </c>
      <c r="D2826">
        <v>3.5027299999999997E-2</v>
      </c>
      <c r="E2826">
        <v>7.3508500000000004E-2</v>
      </c>
      <c r="F2826">
        <v>4.4957999999999998E-2</v>
      </c>
      <c r="G2826">
        <v>0.73745519999999998</v>
      </c>
      <c r="H2826">
        <v>0.1319372</v>
      </c>
      <c r="Q2826" s="10">
        <f t="shared" si="108"/>
        <v>1.6481368955819073E-2</v>
      </c>
      <c r="AI2826">
        <v>0.29897600000000002</v>
      </c>
      <c r="AJ2826">
        <f t="shared" si="107"/>
        <v>0.29897600000000002</v>
      </c>
      <c r="AO2826">
        <v>0.29897600000000002</v>
      </c>
      <c r="AR2826" s="8">
        <v>0</v>
      </c>
      <c r="AS2826">
        <v>0.62121440000000006</v>
      </c>
    </row>
    <row r="2827" spans="1:45" x14ac:dyDescent="0.25">
      <c r="A2827">
        <v>492</v>
      </c>
      <c r="B2827">
        <v>2002</v>
      </c>
      <c r="C2827" s="8">
        <v>0</v>
      </c>
      <c r="D2827">
        <v>0.26499109999999998</v>
      </c>
      <c r="E2827">
        <v>0.4251721</v>
      </c>
      <c r="F2827">
        <v>5.1101000000000001E-2</v>
      </c>
      <c r="G2827">
        <v>1.8091950000000001</v>
      </c>
      <c r="H2827">
        <v>0.24891669999999999</v>
      </c>
      <c r="Q2827" s="10">
        <f t="shared" si="108"/>
        <v>2.0466577578388202E-3</v>
      </c>
      <c r="AI2827">
        <v>0.32968520000000001</v>
      </c>
      <c r="AJ2827">
        <f t="shared" si="107"/>
        <v>0.32968520000000001</v>
      </c>
      <c r="AO2827">
        <v>0.32968520000000001</v>
      </c>
      <c r="AR2827" s="8">
        <v>0</v>
      </c>
      <c r="AS2827">
        <v>0.89115299999999997</v>
      </c>
    </row>
    <row r="2828" spans="1:45" x14ac:dyDescent="0.25">
      <c r="A2828">
        <v>492</v>
      </c>
      <c r="B2828">
        <v>2003</v>
      </c>
      <c r="C2828" s="8">
        <v>0</v>
      </c>
      <c r="D2828">
        <v>0.29897600000000002</v>
      </c>
      <c r="E2828">
        <v>0.47240729999999997</v>
      </c>
      <c r="F2828">
        <v>6.0964999999999998E-2</v>
      </c>
      <c r="G2828">
        <v>2.6246999999999998</v>
      </c>
      <c r="H2828">
        <v>0.26635750000000002</v>
      </c>
      <c r="Q2828" s="10">
        <f t="shared" si="108"/>
        <v>4.9434888205545095E-4</v>
      </c>
      <c r="AI2828">
        <v>3.0417E-2</v>
      </c>
      <c r="AJ2828">
        <f t="shared" si="107"/>
        <v>3.0417E-2</v>
      </c>
      <c r="AO2828">
        <v>3.0417E-2</v>
      </c>
      <c r="AR2828" s="8">
        <v>0</v>
      </c>
      <c r="AS2828">
        <v>0.73745519999999998</v>
      </c>
    </row>
    <row r="2829" spans="1:45" x14ac:dyDescent="0.25">
      <c r="A2829">
        <v>492</v>
      </c>
      <c r="B2829">
        <v>2004</v>
      </c>
      <c r="C2829" s="8">
        <v>0</v>
      </c>
      <c r="D2829">
        <v>0.32968520000000001</v>
      </c>
      <c r="E2829">
        <v>0.51740889999999995</v>
      </c>
      <c r="F2829">
        <v>7.6541600000000001E-2</v>
      </c>
      <c r="G2829">
        <v>2.6845460000000001</v>
      </c>
      <c r="H2829">
        <v>0.2828215</v>
      </c>
      <c r="Q2829" s="10">
        <f t="shared" si="108"/>
        <v>3.8027047826252419E-4</v>
      </c>
      <c r="AI2829">
        <v>2.72318E-2</v>
      </c>
      <c r="AJ2829">
        <f t="shared" si="107"/>
        <v>2.72318E-2</v>
      </c>
      <c r="AO2829">
        <v>2.72318E-2</v>
      </c>
      <c r="AR2829" s="8">
        <v>0</v>
      </c>
      <c r="AS2829">
        <v>1.8091950000000001</v>
      </c>
    </row>
    <row r="2830" spans="1:45" x14ac:dyDescent="0.25">
      <c r="A2830">
        <v>493</v>
      </c>
      <c r="B2830">
        <v>1995</v>
      </c>
      <c r="C2830" s="8">
        <v>0</v>
      </c>
      <c r="D2830">
        <v>3.0417E-2</v>
      </c>
      <c r="E2830">
        <v>-0.1838089</v>
      </c>
      <c r="F2830">
        <v>7.0246699999999995E-2</v>
      </c>
      <c r="G2830">
        <v>0.29717700000000002</v>
      </c>
      <c r="H2830">
        <v>9.6795099999999995E-2</v>
      </c>
      <c r="Q2830" s="10">
        <f t="shared" si="108"/>
        <v>3.7720146489105051E-2</v>
      </c>
      <c r="AI2830">
        <v>-1.4659500000000001E-2</v>
      </c>
      <c r="AJ2830">
        <f t="shared" si="107"/>
        <v>-1.4659500000000001E-2</v>
      </c>
      <c r="AO2830">
        <v>-1.4659500000000001E-2</v>
      </c>
      <c r="AR2830" s="8">
        <v>0</v>
      </c>
      <c r="AS2830">
        <v>2.6246999999999998</v>
      </c>
    </row>
    <row r="2831" spans="1:45" x14ac:dyDescent="0.25">
      <c r="A2831">
        <v>493</v>
      </c>
      <c r="B2831">
        <v>1996</v>
      </c>
      <c r="C2831" s="8">
        <v>0</v>
      </c>
      <c r="D2831">
        <v>2.72318E-2</v>
      </c>
      <c r="E2831">
        <v>-0.20270630000000001</v>
      </c>
      <c r="F2831">
        <v>2.88274E-2</v>
      </c>
      <c r="G2831">
        <v>1.1674420000000001</v>
      </c>
      <c r="H2831">
        <v>9.7242700000000001E-2</v>
      </c>
      <c r="Q2831" s="10">
        <f t="shared" si="108"/>
        <v>1.3813349930364493E-2</v>
      </c>
      <c r="AI2831">
        <v>-1.87592E-2</v>
      </c>
      <c r="AJ2831">
        <f t="shared" si="107"/>
        <v>-1.87592E-2</v>
      </c>
      <c r="AO2831">
        <v>-1.87592E-2</v>
      </c>
      <c r="AR2831" s="8">
        <v>0</v>
      </c>
      <c r="AS2831">
        <v>2.6845460000000001</v>
      </c>
    </row>
    <row r="2832" spans="1:45" x14ac:dyDescent="0.25">
      <c r="A2832">
        <v>493</v>
      </c>
      <c r="B2832">
        <v>1997</v>
      </c>
      <c r="C2832" s="8">
        <v>0</v>
      </c>
      <c r="D2832">
        <v>-1.4659500000000001E-2</v>
      </c>
      <c r="E2832">
        <v>-0.25634400000000002</v>
      </c>
      <c r="F2832">
        <v>5.0349699999999997E-2</v>
      </c>
      <c r="G2832">
        <v>0.43552020000000002</v>
      </c>
      <c r="H2832">
        <v>9.03085E-2</v>
      </c>
      <c r="Q2832" s="10">
        <f t="shared" si="108"/>
        <v>3.8506957341004164E-2</v>
      </c>
      <c r="AI2832">
        <v>-2.24765E-2</v>
      </c>
      <c r="AJ2832">
        <f t="shared" si="107"/>
        <v>-2.24765E-2</v>
      </c>
      <c r="AO2832">
        <v>-2.24765E-2</v>
      </c>
      <c r="AR2832" s="8">
        <v>0</v>
      </c>
      <c r="AS2832">
        <v>0.29717700000000002</v>
      </c>
    </row>
    <row r="2833" spans="1:45" x14ac:dyDescent="0.25">
      <c r="A2833">
        <v>494</v>
      </c>
      <c r="B2833">
        <v>1995</v>
      </c>
      <c r="C2833" s="8">
        <v>0</v>
      </c>
      <c r="D2833">
        <v>-1.87592E-2</v>
      </c>
      <c r="E2833">
        <v>1.3610300000000001E-2</v>
      </c>
      <c r="F2833">
        <v>5.7948600000000003E-2</v>
      </c>
      <c r="G2833">
        <v>0.81680450000000004</v>
      </c>
      <c r="H2833">
        <v>0.1856709</v>
      </c>
      <c r="Q2833" s="10">
        <f t="shared" si="108"/>
        <v>1.4469104005041351E-2</v>
      </c>
      <c r="AI2833">
        <v>0.56263379999999996</v>
      </c>
      <c r="AJ2833">
        <f t="shared" si="107"/>
        <v>0.52051970800000003</v>
      </c>
      <c r="AO2833">
        <v>0.52051970800000003</v>
      </c>
      <c r="AR2833" s="8">
        <v>0</v>
      </c>
      <c r="AS2833">
        <v>1.1674420000000001</v>
      </c>
    </row>
    <row r="2834" spans="1:45" x14ac:dyDescent="0.25">
      <c r="A2834">
        <v>494</v>
      </c>
      <c r="B2834">
        <v>1996</v>
      </c>
      <c r="C2834" s="8">
        <v>0</v>
      </c>
      <c r="D2834">
        <v>-2.24765E-2</v>
      </c>
      <c r="E2834">
        <v>3.98798E-2</v>
      </c>
      <c r="F2834">
        <v>4.42923E-2</v>
      </c>
      <c r="G2834">
        <v>1.1255919999999999</v>
      </c>
      <c r="H2834">
        <v>0.31819809999999998</v>
      </c>
      <c r="Q2834" s="10">
        <f t="shared" si="108"/>
        <v>1.0337189766141517E-2</v>
      </c>
      <c r="AI2834">
        <v>0.57709100000000002</v>
      </c>
      <c r="AJ2834">
        <f t="shared" si="107"/>
        <v>0.52051970800000003</v>
      </c>
      <c r="AO2834">
        <v>0.52051970800000003</v>
      </c>
      <c r="AR2834" s="8">
        <v>0</v>
      </c>
      <c r="AS2834">
        <v>0.43552020000000002</v>
      </c>
    </row>
    <row r="2835" spans="1:45" x14ac:dyDescent="0.25">
      <c r="A2835">
        <v>495</v>
      </c>
      <c r="B2835">
        <v>1995</v>
      </c>
      <c r="C2835" s="8">
        <v>0</v>
      </c>
      <c r="D2835">
        <v>0.56263379999999996</v>
      </c>
      <c r="E2835">
        <v>0.35107359999999999</v>
      </c>
      <c r="F2835">
        <v>5.49399E-2</v>
      </c>
      <c r="G2835">
        <v>2.2822819999999999</v>
      </c>
      <c r="H2835">
        <v>0.32494820000000002</v>
      </c>
      <c r="Q2835" s="10">
        <f t="shared" si="108"/>
        <v>1.2344256507001823E-3</v>
      </c>
      <c r="AI2835">
        <v>0.51558389999999998</v>
      </c>
      <c r="AJ2835">
        <f t="shared" si="107"/>
        <v>0.51558389999999998</v>
      </c>
      <c r="AO2835">
        <v>0.51558389999999998</v>
      </c>
      <c r="AR2835" s="8">
        <v>0</v>
      </c>
      <c r="AS2835">
        <v>0.81680450000000004</v>
      </c>
    </row>
    <row r="2836" spans="1:45" x14ac:dyDescent="0.25">
      <c r="A2836">
        <v>495</v>
      </c>
      <c r="B2836">
        <v>1996</v>
      </c>
      <c r="C2836" s="8">
        <v>0</v>
      </c>
      <c r="D2836">
        <v>0.57709100000000002</v>
      </c>
      <c r="E2836">
        <v>0.37919009999999997</v>
      </c>
      <c r="F2836">
        <v>4.8541500000000001E-2</v>
      </c>
      <c r="G2836">
        <v>1.706698</v>
      </c>
      <c r="H2836">
        <v>0.31666539999999999</v>
      </c>
      <c r="Q2836" s="10">
        <f t="shared" si="108"/>
        <v>3.1177850494450141E-3</v>
      </c>
      <c r="AI2836">
        <v>0.50286909999999996</v>
      </c>
      <c r="AJ2836">
        <f t="shared" si="107"/>
        <v>0.50286909999999996</v>
      </c>
      <c r="AO2836">
        <v>0.50286909999999996</v>
      </c>
      <c r="AR2836" s="8">
        <v>0</v>
      </c>
      <c r="AS2836">
        <v>1.1255919999999999</v>
      </c>
    </row>
    <row r="2837" spans="1:45" x14ac:dyDescent="0.25">
      <c r="A2837">
        <v>495</v>
      </c>
      <c r="B2837">
        <v>1997</v>
      </c>
      <c r="C2837" s="8">
        <v>0</v>
      </c>
      <c r="D2837">
        <v>0.51558389999999998</v>
      </c>
      <c r="E2837">
        <v>0.38143759999999999</v>
      </c>
      <c r="F2837">
        <v>5.8622199999999999E-2</v>
      </c>
      <c r="G2837">
        <v>1.9384429999999999</v>
      </c>
      <c r="H2837">
        <v>0.32378570000000001</v>
      </c>
      <c r="Q2837" s="10">
        <f t="shared" si="108"/>
        <v>1.942574042708912E-3</v>
      </c>
      <c r="AI2837">
        <v>0.51028039999999997</v>
      </c>
      <c r="AJ2837">
        <f t="shared" si="107"/>
        <v>0.51028039999999997</v>
      </c>
      <c r="AO2837">
        <v>0.51028039999999997</v>
      </c>
      <c r="AR2837" s="8">
        <v>0</v>
      </c>
      <c r="AS2837">
        <v>2.2822819999999999</v>
      </c>
    </row>
    <row r="2838" spans="1:45" x14ac:dyDescent="0.25">
      <c r="A2838">
        <v>495</v>
      </c>
      <c r="B2838">
        <v>1998</v>
      </c>
      <c r="C2838" s="8">
        <v>0</v>
      </c>
      <c r="D2838">
        <v>0.50286909999999996</v>
      </c>
      <c r="E2838">
        <v>0.42818800000000001</v>
      </c>
      <c r="F2838">
        <v>4.2934100000000003E-2</v>
      </c>
      <c r="G2838">
        <v>1.525879</v>
      </c>
      <c r="H2838">
        <v>0.29535739999999999</v>
      </c>
      <c r="Q2838" s="10">
        <f t="shared" si="108"/>
        <v>3.8735228583400192E-3</v>
      </c>
      <c r="AI2838">
        <v>0.47970269999999998</v>
      </c>
      <c r="AJ2838">
        <f t="shared" si="107"/>
        <v>0.47970269999999998</v>
      </c>
      <c r="AO2838">
        <v>0.47970269999999998</v>
      </c>
      <c r="AR2838" s="8">
        <v>0</v>
      </c>
      <c r="AS2838">
        <v>1.706698</v>
      </c>
    </row>
    <row r="2839" spans="1:45" x14ac:dyDescent="0.25">
      <c r="A2839">
        <v>495</v>
      </c>
      <c r="B2839">
        <v>1999</v>
      </c>
      <c r="C2839" s="8">
        <v>0</v>
      </c>
      <c r="D2839">
        <v>0.51028039999999997</v>
      </c>
      <c r="E2839">
        <v>0.45604210000000001</v>
      </c>
      <c r="F2839">
        <v>4.1609100000000003E-2</v>
      </c>
      <c r="G2839">
        <v>1.305866</v>
      </c>
      <c r="H2839">
        <v>0.30894690000000002</v>
      </c>
      <c r="Q2839" s="10">
        <f t="shared" si="108"/>
        <v>5.391598481939386E-3</v>
      </c>
      <c r="AI2839">
        <v>0.3943818</v>
      </c>
      <c r="AJ2839">
        <f t="shared" si="107"/>
        <v>0.3943818</v>
      </c>
      <c r="AO2839">
        <v>0.3943818</v>
      </c>
      <c r="AR2839" s="8">
        <v>0</v>
      </c>
      <c r="AS2839">
        <v>1.9384429999999999</v>
      </c>
    </row>
    <row r="2840" spans="1:45" x14ac:dyDescent="0.25">
      <c r="A2840">
        <v>495</v>
      </c>
      <c r="B2840">
        <v>2000</v>
      </c>
      <c r="C2840" s="8">
        <v>0</v>
      </c>
      <c r="D2840">
        <v>0.47970269999999998</v>
      </c>
      <c r="E2840">
        <v>0.47466170000000002</v>
      </c>
      <c r="F2840">
        <v>7.32796E-2</v>
      </c>
      <c r="G2840">
        <v>2.3521380000000001</v>
      </c>
      <c r="H2840">
        <v>0.33728429999999998</v>
      </c>
      <c r="Q2840" s="10">
        <f t="shared" si="108"/>
        <v>7.7617379248743343E-4</v>
      </c>
      <c r="AI2840">
        <v>0.38421680000000002</v>
      </c>
      <c r="AJ2840">
        <f t="shared" si="107"/>
        <v>0.38421680000000002</v>
      </c>
      <c r="AO2840">
        <v>0.38421680000000002</v>
      </c>
      <c r="AR2840" s="8">
        <v>0</v>
      </c>
      <c r="AS2840">
        <v>1.525879</v>
      </c>
    </row>
    <row r="2841" spans="1:45" x14ac:dyDescent="0.25">
      <c r="A2841">
        <v>496</v>
      </c>
      <c r="B2841">
        <v>1997</v>
      </c>
      <c r="C2841" s="8">
        <v>0</v>
      </c>
      <c r="D2841">
        <v>0.3943818</v>
      </c>
      <c r="E2841">
        <v>0.19075</v>
      </c>
      <c r="F2841">
        <v>5.77446E-2</v>
      </c>
      <c r="G2841">
        <v>0.73003510000000005</v>
      </c>
      <c r="H2841">
        <v>0.3313256</v>
      </c>
      <c r="Q2841" s="10">
        <f t="shared" si="108"/>
        <v>1.6669670357011224E-2</v>
      </c>
      <c r="AI2841">
        <v>0.36497109999999999</v>
      </c>
      <c r="AJ2841">
        <f t="shared" si="107"/>
        <v>0.36497109999999999</v>
      </c>
      <c r="AO2841">
        <v>0.36497109999999999</v>
      </c>
      <c r="AR2841" s="8">
        <v>0</v>
      </c>
      <c r="AS2841">
        <v>1.305866</v>
      </c>
    </row>
    <row r="2842" spans="1:45" x14ac:dyDescent="0.25">
      <c r="A2842">
        <v>496</v>
      </c>
      <c r="B2842">
        <v>1998</v>
      </c>
      <c r="C2842" s="8">
        <v>0</v>
      </c>
      <c r="D2842">
        <v>0.38421680000000002</v>
      </c>
      <c r="E2842">
        <v>0.18309600000000001</v>
      </c>
      <c r="F2842">
        <v>4.9342799999999999E-2</v>
      </c>
      <c r="G2842">
        <v>0.50405060000000002</v>
      </c>
      <c r="H2842">
        <v>0.31397229999999998</v>
      </c>
      <c r="Q2842" s="10">
        <f t="shared" si="108"/>
        <v>2.52376311243309E-2</v>
      </c>
      <c r="AI2842">
        <v>0.36348619999999998</v>
      </c>
      <c r="AJ2842">
        <f t="shared" si="107"/>
        <v>0.36348619999999998</v>
      </c>
      <c r="AO2842">
        <v>0.36348619999999998</v>
      </c>
      <c r="AR2842" s="8">
        <v>0</v>
      </c>
      <c r="AS2842">
        <v>2.3521380000000001</v>
      </c>
    </row>
    <row r="2843" spans="1:45" x14ac:dyDescent="0.25">
      <c r="A2843">
        <v>496</v>
      </c>
      <c r="B2843">
        <v>1999</v>
      </c>
      <c r="C2843" s="8">
        <v>0</v>
      </c>
      <c r="D2843">
        <v>0.36497109999999999</v>
      </c>
      <c r="E2843">
        <v>0.17365320000000001</v>
      </c>
      <c r="F2843">
        <v>4.6332699999999997E-2</v>
      </c>
      <c r="G2843">
        <v>0.25495719999999999</v>
      </c>
      <c r="H2843">
        <v>0.31456529999999999</v>
      </c>
      <c r="Q2843" s="10">
        <f t="shared" si="108"/>
        <v>3.8173095034363676E-2</v>
      </c>
      <c r="AI2843">
        <v>0.35015669999999999</v>
      </c>
      <c r="AJ2843">
        <f t="shared" si="107"/>
        <v>0.35015669999999999</v>
      </c>
      <c r="AO2843">
        <v>0.35015669999999999</v>
      </c>
      <c r="AR2843" s="8">
        <v>0</v>
      </c>
      <c r="AS2843">
        <v>0.73003510000000005</v>
      </c>
    </row>
    <row r="2844" spans="1:45" x14ac:dyDescent="0.25">
      <c r="A2844">
        <v>496</v>
      </c>
      <c r="B2844">
        <v>2000</v>
      </c>
      <c r="C2844" s="8">
        <v>0</v>
      </c>
      <c r="D2844">
        <v>0.36348619999999998</v>
      </c>
      <c r="E2844">
        <v>0.18231539999999999</v>
      </c>
      <c r="F2844">
        <v>4.3949599999999998E-2</v>
      </c>
      <c r="G2844">
        <v>0.1455496</v>
      </c>
      <c r="H2844">
        <v>0.30790420000000002</v>
      </c>
      <c r="Q2844" s="10">
        <f t="shared" si="108"/>
        <v>4.519036651635714E-2</v>
      </c>
      <c r="AI2844">
        <v>0.29297079999999998</v>
      </c>
      <c r="AJ2844">
        <f t="shared" si="107"/>
        <v>0.29297079999999998</v>
      </c>
      <c r="AO2844">
        <v>0.29297079999999998</v>
      </c>
      <c r="AR2844" s="8">
        <v>0</v>
      </c>
      <c r="AS2844">
        <v>0.50405060000000002</v>
      </c>
    </row>
    <row r="2845" spans="1:45" x14ac:dyDescent="0.25">
      <c r="A2845">
        <v>496</v>
      </c>
      <c r="B2845">
        <v>2001</v>
      </c>
      <c r="C2845" s="8">
        <v>0</v>
      </c>
      <c r="D2845">
        <v>0.35015669999999999</v>
      </c>
      <c r="E2845">
        <v>0.14784079999999999</v>
      </c>
      <c r="F2845">
        <v>1.6526900000000001E-2</v>
      </c>
      <c r="G2845">
        <v>8.8723800000000005E-2</v>
      </c>
      <c r="H2845">
        <v>0.27798230000000002</v>
      </c>
      <c r="Q2845" s="10">
        <f t="shared" si="108"/>
        <v>6.211411161640612E-2</v>
      </c>
      <c r="AI2845">
        <v>0.33489819999999998</v>
      </c>
      <c r="AJ2845">
        <f t="shared" si="107"/>
        <v>0.33489819999999998</v>
      </c>
      <c r="AO2845">
        <v>0.33489819999999998</v>
      </c>
      <c r="AR2845" s="8">
        <v>0</v>
      </c>
      <c r="AS2845">
        <v>0.25495719999999999</v>
      </c>
    </row>
    <row r="2846" spans="1:45" x14ac:dyDescent="0.25">
      <c r="A2846">
        <v>496</v>
      </c>
      <c r="B2846">
        <v>2002</v>
      </c>
      <c r="C2846" s="8">
        <v>0</v>
      </c>
      <c r="D2846">
        <v>0.29297079999999998</v>
      </c>
      <c r="E2846">
        <v>2.3943800000000001E-2</v>
      </c>
      <c r="F2846">
        <v>4.6895699999999998E-2</v>
      </c>
      <c r="G2846">
        <v>0.1181653</v>
      </c>
      <c r="H2846">
        <v>0.32242340000000003</v>
      </c>
      <c r="Q2846" s="10">
        <f t="shared" si="108"/>
        <v>5.6226270140569787E-2</v>
      </c>
      <c r="AI2846">
        <v>0.30743720000000002</v>
      </c>
      <c r="AJ2846">
        <f t="shared" si="107"/>
        <v>0.30743720000000002</v>
      </c>
      <c r="AO2846">
        <v>0.30743720000000002</v>
      </c>
      <c r="AR2846" s="8">
        <v>0</v>
      </c>
      <c r="AS2846">
        <v>0.1455496</v>
      </c>
    </row>
    <row r="2847" spans="1:45" x14ac:dyDescent="0.25">
      <c r="A2847">
        <v>496</v>
      </c>
      <c r="B2847">
        <v>2003</v>
      </c>
      <c r="C2847" s="8">
        <v>0</v>
      </c>
      <c r="D2847">
        <v>0.33489819999999998</v>
      </c>
      <c r="E2847">
        <v>4.1115499999999999E-2</v>
      </c>
      <c r="F2847">
        <v>6.0665700000000003E-2</v>
      </c>
      <c r="G2847">
        <v>0.20088780000000001</v>
      </c>
      <c r="H2847">
        <v>0.35436509999999999</v>
      </c>
      <c r="Q2847" s="10">
        <f t="shared" si="108"/>
        <v>4.5205640969254272E-2</v>
      </c>
      <c r="AI2847">
        <v>0.38096219999999997</v>
      </c>
      <c r="AJ2847">
        <f t="shared" si="107"/>
        <v>0.38096219999999997</v>
      </c>
      <c r="AO2847">
        <v>0.38096219999999997</v>
      </c>
      <c r="AR2847" s="8">
        <v>0</v>
      </c>
      <c r="AS2847">
        <v>8.8723800000000005E-2</v>
      </c>
    </row>
    <row r="2848" spans="1:45" x14ac:dyDescent="0.25">
      <c r="A2848">
        <v>496</v>
      </c>
      <c r="B2848">
        <v>2004</v>
      </c>
      <c r="C2848" s="8">
        <v>0</v>
      </c>
      <c r="D2848">
        <v>0.30743720000000002</v>
      </c>
      <c r="E2848">
        <v>4.4497700000000001E-2</v>
      </c>
      <c r="F2848">
        <v>4.7788400000000002E-2</v>
      </c>
      <c r="G2848">
        <v>0.53772889999999995</v>
      </c>
      <c r="H2848">
        <v>0.3700678</v>
      </c>
      <c r="Q2848" s="10">
        <f t="shared" si="108"/>
        <v>2.9580243692106968E-2</v>
      </c>
      <c r="AI2848">
        <v>0.31301289999999998</v>
      </c>
      <c r="AJ2848">
        <f t="shared" si="107"/>
        <v>0.31301289999999998</v>
      </c>
      <c r="AO2848">
        <v>0.31301289999999998</v>
      </c>
      <c r="AR2848" s="8">
        <v>0</v>
      </c>
      <c r="AS2848">
        <v>0.1181653</v>
      </c>
    </row>
    <row r="2849" spans="1:45" x14ac:dyDescent="0.25">
      <c r="A2849">
        <v>497</v>
      </c>
      <c r="B2849">
        <v>1996</v>
      </c>
      <c r="C2849" s="8">
        <v>0</v>
      </c>
      <c r="D2849">
        <v>0.38096219999999997</v>
      </c>
      <c r="E2849">
        <v>-5.1315100000000002E-2</v>
      </c>
      <c r="F2849">
        <v>3.9683900000000001E-2</v>
      </c>
      <c r="G2849">
        <v>14.348089999999999</v>
      </c>
      <c r="H2849">
        <v>0.1934495</v>
      </c>
      <c r="Q2849" s="10">
        <f t="shared" si="108"/>
        <v>9.5586268850108551E-12</v>
      </c>
      <c r="AI2849">
        <v>9.1287699999999999E-2</v>
      </c>
      <c r="AJ2849">
        <f t="shared" si="107"/>
        <v>9.1287699999999999E-2</v>
      </c>
      <c r="AO2849">
        <v>9.1287699999999999E-2</v>
      </c>
      <c r="AR2849" s="8">
        <v>0</v>
      </c>
      <c r="AS2849">
        <v>0.20088780000000001</v>
      </c>
    </row>
    <row r="2850" spans="1:45" x14ac:dyDescent="0.25">
      <c r="A2850">
        <v>497</v>
      </c>
      <c r="B2850">
        <v>1997</v>
      </c>
      <c r="C2850" s="8">
        <v>0</v>
      </c>
      <c r="D2850">
        <v>0.31301289999999998</v>
      </c>
      <c r="E2850">
        <v>2.54658E-2</v>
      </c>
      <c r="F2850">
        <v>3.9613299999999997E-2</v>
      </c>
      <c r="G2850">
        <v>1.6231059999999999</v>
      </c>
      <c r="H2850">
        <v>0.1425681</v>
      </c>
      <c r="Q2850" s="10">
        <f t="shared" si="108"/>
        <v>5.1382943857485137E-3</v>
      </c>
      <c r="AI2850">
        <v>9.6102099999999996E-2</v>
      </c>
      <c r="AJ2850">
        <f t="shared" si="107"/>
        <v>9.6102099999999996E-2</v>
      </c>
      <c r="AO2850">
        <v>9.6102099999999996E-2</v>
      </c>
      <c r="AR2850" s="8">
        <v>0</v>
      </c>
      <c r="AS2850">
        <v>0.53772889999999995</v>
      </c>
    </row>
    <row r="2851" spans="1:45" x14ac:dyDescent="0.25">
      <c r="A2851">
        <v>497</v>
      </c>
      <c r="B2851">
        <v>1998</v>
      </c>
      <c r="C2851" s="8">
        <v>0</v>
      </c>
      <c r="D2851">
        <v>9.1287699999999999E-2</v>
      </c>
      <c r="E2851">
        <v>4.7994299999999997E-2</v>
      </c>
      <c r="F2851">
        <v>3.4666799999999998E-2</v>
      </c>
      <c r="G2851">
        <v>0.39740730000000002</v>
      </c>
      <c r="H2851">
        <v>0.12483850000000001</v>
      </c>
      <c r="Q2851" s="10">
        <f t="shared" si="108"/>
        <v>3.2025453997805459E-2</v>
      </c>
      <c r="AI2851">
        <v>0.13672909999999999</v>
      </c>
      <c r="AJ2851">
        <f t="shared" si="107"/>
        <v>0.13672909999999999</v>
      </c>
      <c r="AO2851">
        <v>0.13672909999999999</v>
      </c>
      <c r="AR2851" s="8">
        <v>0</v>
      </c>
      <c r="AS2851">
        <v>14.348089999999999</v>
      </c>
    </row>
    <row r="2852" spans="1:45" x14ac:dyDescent="0.25">
      <c r="A2852">
        <v>497</v>
      </c>
      <c r="B2852">
        <v>1999</v>
      </c>
      <c r="C2852" s="8">
        <v>0</v>
      </c>
      <c r="D2852">
        <v>9.6102099999999996E-2</v>
      </c>
      <c r="E2852">
        <v>1.04145E-2</v>
      </c>
      <c r="F2852">
        <v>3.5412199999999998E-2</v>
      </c>
      <c r="G2852">
        <v>0.36732019999999999</v>
      </c>
      <c r="H2852">
        <v>0.10691879999999999</v>
      </c>
      <c r="Q2852" s="10">
        <f t="shared" si="108"/>
        <v>3.485240193826545E-2</v>
      </c>
      <c r="AI2852">
        <v>0.1273436</v>
      </c>
      <c r="AJ2852">
        <f t="shared" si="107"/>
        <v>0.1273436</v>
      </c>
      <c r="AO2852">
        <v>0.1273436</v>
      </c>
      <c r="AR2852" s="8">
        <v>0</v>
      </c>
      <c r="AS2852">
        <v>1.6231059999999999</v>
      </c>
    </row>
    <row r="2853" spans="1:45" x14ac:dyDescent="0.25">
      <c r="A2853">
        <v>497</v>
      </c>
      <c r="B2853">
        <v>2000</v>
      </c>
      <c r="C2853" s="8">
        <v>0</v>
      </c>
      <c r="D2853">
        <v>0.13672909999999999</v>
      </c>
      <c r="E2853">
        <v>-1.3441E-2</v>
      </c>
      <c r="F2853">
        <v>5.5600200000000002E-2</v>
      </c>
      <c r="G2853">
        <v>0.69343600000000005</v>
      </c>
      <c r="H2853">
        <v>0.1192535</v>
      </c>
      <c r="Q2853" s="10">
        <f t="shared" si="108"/>
        <v>1.9017888301141657E-2</v>
      </c>
      <c r="AI2853">
        <v>0.15044550000000001</v>
      </c>
      <c r="AJ2853">
        <f t="shared" si="107"/>
        <v>0.15044550000000001</v>
      </c>
      <c r="AO2853">
        <v>0.15044550000000001</v>
      </c>
      <c r="AR2853" s="8">
        <v>0</v>
      </c>
      <c r="AS2853">
        <v>0.39740730000000002</v>
      </c>
    </row>
    <row r="2854" spans="1:45" x14ac:dyDescent="0.25">
      <c r="A2854">
        <v>497</v>
      </c>
      <c r="B2854">
        <v>2001</v>
      </c>
      <c r="C2854" s="8">
        <v>0</v>
      </c>
      <c r="D2854">
        <v>0.1273436</v>
      </c>
      <c r="E2854">
        <v>-2.0725000000000001E-3</v>
      </c>
      <c r="F2854">
        <v>3.7935400000000001E-2</v>
      </c>
      <c r="G2854">
        <v>0.51655660000000003</v>
      </c>
      <c r="H2854">
        <v>0.1249846</v>
      </c>
      <c r="Q2854" s="10">
        <f t="shared" si="108"/>
        <v>2.8281285632971168E-2</v>
      </c>
      <c r="AI2854">
        <v>9.6444000000000002E-2</v>
      </c>
      <c r="AJ2854">
        <f t="shared" si="107"/>
        <v>9.6444000000000002E-2</v>
      </c>
      <c r="AO2854">
        <v>9.6444000000000002E-2</v>
      </c>
      <c r="AR2854" s="8">
        <v>0</v>
      </c>
      <c r="AS2854">
        <v>0.36732019999999999</v>
      </c>
    </row>
    <row r="2855" spans="1:45" x14ac:dyDescent="0.25">
      <c r="A2855">
        <v>497</v>
      </c>
      <c r="B2855">
        <v>2002</v>
      </c>
      <c r="C2855" s="8">
        <v>0</v>
      </c>
      <c r="D2855">
        <v>0.15044550000000001</v>
      </c>
      <c r="E2855">
        <v>-0.1367208</v>
      </c>
      <c r="F2855">
        <v>4.0346199999999999E-2</v>
      </c>
      <c r="G2855">
        <v>0.35637180000000002</v>
      </c>
      <c r="H2855">
        <v>0.1298376</v>
      </c>
      <c r="Q2855" s="10">
        <f t="shared" si="108"/>
        <v>4.3416919380436125E-2</v>
      </c>
      <c r="AI2855">
        <v>0.17604700000000001</v>
      </c>
      <c r="AJ2855">
        <f t="shared" si="107"/>
        <v>0.17604700000000001</v>
      </c>
      <c r="AO2855">
        <v>0.17604700000000001</v>
      </c>
      <c r="AR2855" s="8">
        <v>0</v>
      </c>
      <c r="AS2855">
        <v>0.69343600000000005</v>
      </c>
    </row>
    <row r="2856" spans="1:45" x14ac:dyDescent="0.25">
      <c r="A2856">
        <v>497</v>
      </c>
      <c r="B2856">
        <v>2003</v>
      </c>
      <c r="C2856" s="8">
        <v>0</v>
      </c>
      <c r="D2856">
        <v>9.6444000000000002E-2</v>
      </c>
      <c r="E2856">
        <v>-0.27635989999999999</v>
      </c>
      <c r="F2856">
        <v>3.3649100000000001E-2</v>
      </c>
      <c r="G2856">
        <v>0.40953119999999998</v>
      </c>
      <c r="H2856">
        <v>0.14355609999999999</v>
      </c>
      <c r="Q2856" s="10">
        <f t="shared" si="108"/>
        <v>5.0474191201624677E-2</v>
      </c>
      <c r="AI2856">
        <v>0.29503119999999999</v>
      </c>
      <c r="AJ2856">
        <f t="shared" si="107"/>
        <v>0.29503119999999999</v>
      </c>
      <c r="AO2856">
        <v>0.29503119999999999</v>
      </c>
      <c r="AR2856" s="8">
        <v>0</v>
      </c>
      <c r="AS2856">
        <v>0.51655660000000003</v>
      </c>
    </row>
    <row r="2857" spans="1:45" x14ac:dyDescent="0.25">
      <c r="A2857">
        <v>497</v>
      </c>
      <c r="B2857">
        <v>2004</v>
      </c>
      <c r="C2857" s="8">
        <v>0</v>
      </c>
      <c r="D2857">
        <v>0.17604700000000001</v>
      </c>
      <c r="E2857">
        <v>-0.38952239999999999</v>
      </c>
      <c r="F2857">
        <v>4.16307E-2</v>
      </c>
      <c r="G2857">
        <v>0.67802320000000005</v>
      </c>
      <c r="H2857">
        <v>0.17164280000000001</v>
      </c>
      <c r="Q2857" s="10">
        <f t="shared" si="108"/>
        <v>3.8743450057211234E-2</v>
      </c>
      <c r="AI2857">
        <v>0.23492640000000001</v>
      </c>
      <c r="AJ2857">
        <f t="shared" si="107"/>
        <v>0.23492640000000001</v>
      </c>
      <c r="AO2857">
        <v>0.23492640000000001</v>
      </c>
      <c r="AR2857" s="8">
        <v>0</v>
      </c>
      <c r="AS2857">
        <v>0.35637180000000002</v>
      </c>
    </row>
    <row r="2858" spans="1:45" x14ac:dyDescent="0.25">
      <c r="A2858">
        <v>498</v>
      </c>
      <c r="B2858">
        <v>1995</v>
      </c>
      <c r="C2858" s="8">
        <v>0</v>
      </c>
      <c r="D2858">
        <v>0.29503119999999999</v>
      </c>
      <c r="E2858">
        <v>0.46886250000000002</v>
      </c>
      <c r="F2858">
        <v>7.8552200000000003E-2</v>
      </c>
      <c r="G2858">
        <v>2.4534129999999998</v>
      </c>
      <c r="H2858">
        <v>0.4181183</v>
      </c>
      <c r="Q2858" s="10">
        <f t="shared" si="108"/>
        <v>6.2201456650520565E-4</v>
      </c>
      <c r="AI2858">
        <v>0.28876800000000002</v>
      </c>
      <c r="AJ2858">
        <f t="shared" si="107"/>
        <v>0.28876800000000002</v>
      </c>
      <c r="AO2858">
        <v>0.28876800000000002</v>
      </c>
      <c r="AR2858" s="8">
        <v>0</v>
      </c>
      <c r="AS2858">
        <v>0.40953119999999998</v>
      </c>
    </row>
    <row r="2859" spans="1:45" x14ac:dyDescent="0.25">
      <c r="A2859">
        <v>498</v>
      </c>
      <c r="B2859">
        <v>1996</v>
      </c>
      <c r="C2859" s="8">
        <v>0</v>
      </c>
      <c r="D2859">
        <v>0.23492640000000001</v>
      </c>
      <c r="E2859">
        <v>0.4400135</v>
      </c>
      <c r="F2859">
        <v>7.19698E-2</v>
      </c>
      <c r="G2859">
        <v>2.1232030000000002</v>
      </c>
      <c r="H2859">
        <v>0.36065730000000001</v>
      </c>
      <c r="Q2859" s="10">
        <f t="shared" si="108"/>
        <v>1.0887660890921218E-3</v>
      </c>
      <c r="AI2859">
        <v>0.2571061</v>
      </c>
      <c r="AJ2859">
        <f t="shared" si="107"/>
        <v>0.2571061</v>
      </c>
      <c r="AO2859">
        <v>0.2571061</v>
      </c>
      <c r="AR2859" s="8">
        <v>0</v>
      </c>
      <c r="AS2859">
        <v>0.67802320000000005</v>
      </c>
    </row>
    <row r="2860" spans="1:45" x14ac:dyDescent="0.25">
      <c r="A2860">
        <v>498</v>
      </c>
      <c r="B2860">
        <v>1997</v>
      </c>
      <c r="C2860" s="8">
        <v>0</v>
      </c>
      <c r="D2860">
        <v>0.28876800000000002</v>
      </c>
      <c r="E2860">
        <v>0.48466110000000001</v>
      </c>
      <c r="F2860">
        <v>7.6287199999999999E-2</v>
      </c>
      <c r="G2860">
        <v>3.1352380000000002</v>
      </c>
      <c r="H2860">
        <v>0.39378059999999998</v>
      </c>
      <c r="Q2860" s="10">
        <f t="shared" si="108"/>
        <v>2.0526389227792067E-4</v>
      </c>
      <c r="AI2860">
        <v>0.2960642</v>
      </c>
      <c r="AJ2860">
        <f t="shared" si="107"/>
        <v>0.2960642</v>
      </c>
      <c r="AO2860">
        <v>0.2960642</v>
      </c>
      <c r="AR2860" s="8">
        <v>0</v>
      </c>
      <c r="AS2860">
        <v>2.4534129999999998</v>
      </c>
    </row>
    <row r="2861" spans="1:45" x14ac:dyDescent="0.25">
      <c r="A2861">
        <v>498</v>
      </c>
      <c r="B2861">
        <v>1998</v>
      </c>
      <c r="C2861" s="8">
        <v>0</v>
      </c>
      <c r="D2861">
        <v>0.2571061</v>
      </c>
      <c r="E2861">
        <v>0.49265170000000003</v>
      </c>
      <c r="F2861">
        <v>6.80534E-2</v>
      </c>
      <c r="G2861">
        <v>2.3064580000000001</v>
      </c>
      <c r="H2861">
        <v>0.3760752</v>
      </c>
      <c r="Q2861" s="10">
        <f t="shared" si="108"/>
        <v>7.9203028546288433E-4</v>
      </c>
      <c r="AI2861">
        <v>0.24284810000000001</v>
      </c>
      <c r="AJ2861">
        <f t="shared" si="107"/>
        <v>0.24284810000000001</v>
      </c>
      <c r="AO2861">
        <v>0.24284810000000001</v>
      </c>
      <c r="AR2861" s="8">
        <v>0</v>
      </c>
      <c r="AS2861">
        <v>2.1232030000000002</v>
      </c>
    </row>
    <row r="2862" spans="1:45" x14ac:dyDescent="0.25">
      <c r="A2862">
        <v>498</v>
      </c>
      <c r="B2862">
        <v>1999</v>
      </c>
      <c r="C2862" s="8">
        <v>0</v>
      </c>
      <c r="D2862">
        <v>0.2960642</v>
      </c>
      <c r="E2862">
        <v>0.51340889999999995</v>
      </c>
      <c r="F2862">
        <v>6.5611100000000006E-2</v>
      </c>
      <c r="G2862">
        <v>2.7242000000000002</v>
      </c>
      <c r="H2862">
        <v>0.3738301</v>
      </c>
      <c r="Q2862" s="10">
        <f t="shared" si="108"/>
        <v>4.0886260616200158E-4</v>
      </c>
      <c r="AI2862">
        <v>0.1890685</v>
      </c>
      <c r="AJ2862">
        <f t="shared" si="107"/>
        <v>0.1890685</v>
      </c>
      <c r="AO2862">
        <v>0.1890685</v>
      </c>
      <c r="AR2862" s="8">
        <v>0</v>
      </c>
      <c r="AS2862">
        <v>3.1352380000000002</v>
      </c>
    </row>
    <row r="2863" spans="1:45" x14ac:dyDescent="0.25">
      <c r="A2863">
        <v>498</v>
      </c>
      <c r="B2863">
        <v>2000</v>
      </c>
      <c r="C2863" s="8">
        <v>0</v>
      </c>
      <c r="D2863">
        <v>0.24284810000000001</v>
      </c>
      <c r="E2863">
        <v>0.47008420000000001</v>
      </c>
      <c r="F2863">
        <v>7.2005700000000006E-2</v>
      </c>
      <c r="G2863">
        <v>1.791194</v>
      </c>
      <c r="H2863">
        <v>0.35264800000000002</v>
      </c>
      <c r="Q2863" s="10">
        <f t="shared" si="108"/>
        <v>1.7643188933825383E-3</v>
      </c>
      <c r="AI2863">
        <v>0.17495830000000001</v>
      </c>
      <c r="AJ2863">
        <f t="shared" si="107"/>
        <v>0.17495830000000001</v>
      </c>
      <c r="AO2863">
        <v>0.17495830000000001</v>
      </c>
      <c r="AR2863" s="8">
        <v>0</v>
      </c>
      <c r="AS2863">
        <v>2.3064580000000001</v>
      </c>
    </row>
    <row r="2864" spans="1:45" x14ac:dyDescent="0.25">
      <c r="A2864">
        <v>498</v>
      </c>
      <c r="B2864">
        <v>2001</v>
      </c>
      <c r="C2864" s="8">
        <v>0</v>
      </c>
      <c r="D2864">
        <v>0.1890685</v>
      </c>
      <c r="E2864">
        <v>0.4563181</v>
      </c>
      <c r="F2864">
        <v>5.00163E-2</v>
      </c>
      <c r="G2864">
        <v>1.7882469999999999</v>
      </c>
      <c r="H2864">
        <v>0.31117070000000002</v>
      </c>
      <c r="Q2864" s="10">
        <f t="shared" si="108"/>
        <v>2.0546193620179475E-3</v>
      </c>
      <c r="AI2864">
        <v>0.1762881</v>
      </c>
      <c r="AJ2864">
        <f t="shared" si="107"/>
        <v>0.1762881</v>
      </c>
      <c r="AO2864">
        <v>0.1762881</v>
      </c>
      <c r="AR2864" s="8">
        <v>0</v>
      </c>
      <c r="AS2864">
        <v>2.7242000000000002</v>
      </c>
    </row>
    <row r="2865" spans="1:45" x14ac:dyDescent="0.25">
      <c r="A2865">
        <v>498</v>
      </c>
      <c r="B2865">
        <v>2002</v>
      </c>
      <c r="C2865" s="8">
        <v>0</v>
      </c>
      <c r="D2865">
        <v>0.17495830000000001</v>
      </c>
      <c r="E2865">
        <v>0.42638609999999999</v>
      </c>
      <c r="F2865">
        <v>4.6207999999999999E-2</v>
      </c>
      <c r="G2865">
        <v>1.7997609999999999</v>
      </c>
      <c r="H2865">
        <v>0.31550800000000001</v>
      </c>
      <c r="Q2865" s="10">
        <f t="shared" si="108"/>
        <v>2.165078381581646E-3</v>
      </c>
      <c r="AI2865">
        <v>0.22197120000000001</v>
      </c>
      <c r="AJ2865">
        <f t="shared" si="107"/>
        <v>0.22197120000000001</v>
      </c>
      <c r="AO2865">
        <v>0.22197120000000001</v>
      </c>
      <c r="AR2865" s="8">
        <v>0</v>
      </c>
      <c r="AS2865">
        <v>1.791194</v>
      </c>
    </row>
    <row r="2866" spans="1:45" x14ac:dyDescent="0.25">
      <c r="A2866">
        <v>498</v>
      </c>
      <c r="B2866">
        <v>2003</v>
      </c>
      <c r="C2866" s="8">
        <v>0</v>
      </c>
      <c r="D2866">
        <v>0.1762881</v>
      </c>
      <c r="E2866">
        <v>0.3929436</v>
      </c>
      <c r="F2866">
        <v>5.7074300000000001E-2</v>
      </c>
      <c r="G2866">
        <v>1.4565429999999999</v>
      </c>
      <c r="H2866">
        <v>0.30075499999999999</v>
      </c>
      <c r="Q2866" s="10">
        <f t="shared" si="108"/>
        <v>3.5648330830701127E-3</v>
      </c>
      <c r="AI2866">
        <v>0.2130367</v>
      </c>
      <c r="AJ2866">
        <f t="shared" si="107"/>
        <v>0.2130367</v>
      </c>
      <c r="AO2866">
        <v>0.2130367</v>
      </c>
      <c r="AR2866" s="8">
        <v>0</v>
      </c>
      <c r="AS2866">
        <v>1.7882469999999999</v>
      </c>
    </row>
    <row r="2867" spans="1:45" x14ac:dyDescent="0.25">
      <c r="A2867">
        <v>498</v>
      </c>
      <c r="B2867">
        <v>2004</v>
      </c>
      <c r="C2867" s="8">
        <v>0</v>
      </c>
      <c r="D2867">
        <v>0.22197120000000001</v>
      </c>
      <c r="E2867">
        <v>0.41236489999999998</v>
      </c>
      <c r="F2867">
        <v>5.9195999999999999E-2</v>
      </c>
      <c r="G2867">
        <v>2.2060680000000001</v>
      </c>
      <c r="H2867">
        <v>0.35109590000000002</v>
      </c>
      <c r="Q2867" s="10">
        <f t="shared" si="108"/>
        <v>1.0877147762035177E-3</v>
      </c>
      <c r="AI2867">
        <v>0.22322</v>
      </c>
      <c r="AJ2867">
        <f t="shared" si="107"/>
        <v>0.22322</v>
      </c>
      <c r="AO2867">
        <v>0.22322</v>
      </c>
      <c r="AR2867" s="8">
        <v>0</v>
      </c>
      <c r="AS2867">
        <v>1.7997609999999999</v>
      </c>
    </row>
    <row r="2868" spans="1:45" x14ac:dyDescent="0.25">
      <c r="A2868">
        <v>499</v>
      </c>
      <c r="B2868">
        <v>1997</v>
      </c>
      <c r="C2868" s="8">
        <v>0</v>
      </c>
      <c r="D2868">
        <v>0.2130367</v>
      </c>
      <c r="E2868">
        <v>-4.6814300000000003E-2</v>
      </c>
      <c r="F2868">
        <v>2.3685299999999999E-2</v>
      </c>
      <c r="G2868">
        <v>1.857874</v>
      </c>
      <c r="H2868">
        <v>0.15119360000000001</v>
      </c>
      <c r="Q2868" s="10">
        <f t="shared" si="108"/>
        <v>4.3053343944222605E-3</v>
      </c>
      <c r="AI2868">
        <v>9.3061000000000005E-2</v>
      </c>
      <c r="AJ2868">
        <f t="shared" si="107"/>
        <v>9.3061000000000005E-2</v>
      </c>
      <c r="AO2868">
        <v>9.3061000000000005E-2</v>
      </c>
      <c r="AR2868" s="8">
        <v>0</v>
      </c>
      <c r="AS2868">
        <v>1.4565429999999999</v>
      </c>
    </row>
    <row r="2869" spans="1:45" x14ac:dyDescent="0.25">
      <c r="A2869">
        <v>499</v>
      </c>
      <c r="B2869">
        <v>1998</v>
      </c>
      <c r="C2869" s="8">
        <v>0</v>
      </c>
      <c r="D2869">
        <v>0.22322</v>
      </c>
      <c r="E2869">
        <v>-0.20497309999999999</v>
      </c>
      <c r="F2869">
        <v>2.42671E-2</v>
      </c>
      <c r="G2869">
        <v>0.53569929999999999</v>
      </c>
      <c r="H2869">
        <v>0.23232659999999999</v>
      </c>
      <c r="Q2869" s="10">
        <f t="shared" si="108"/>
        <v>4.4926354043376283E-2</v>
      </c>
      <c r="AI2869">
        <v>0.12609960000000001</v>
      </c>
      <c r="AJ2869">
        <f t="shared" si="107"/>
        <v>0.12609960000000001</v>
      </c>
      <c r="AO2869">
        <v>0.12609960000000001</v>
      </c>
      <c r="AR2869" s="8">
        <v>0</v>
      </c>
      <c r="AS2869">
        <v>2.2060680000000001</v>
      </c>
    </row>
    <row r="2870" spans="1:45" x14ac:dyDescent="0.25">
      <c r="A2870">
        <v>500</v>
      </c>
      <c r="B2870">
        <v>1995</v>
      </c>
      <c r="C2870" s="8">
        <v>0</v>
      </c>
      <c r="D2870">
        <v>9.3061000000000005E-2</v>
      </c>
      <c r="E2870">
        <v>-0.12866610000000001</v>
      </c>
      <c r="F2870">
        <v>4.2089399999999999E-2</v>
      </c>
      <c r="G2870">
        <v>0.19738939999999999</v>
      </c>
      <c r="H2870">
        <v>0.53146459999999995</v>
      </c>
      <c r="Q2870" s="10">
        <f t="shared" si="108"/>
        <v>6.6626448867343965E-2</v>
      </c>
      <c r="AI2870">
        <v>0.1019661</v>
      </c>
      <c r="AJ2870">
        <f t="shared" si="107"/>
        <v>0.1019661</v>
      </c>
      <c r="AO2870">
        <v>0.1019661</v>
      </c>
      <c r="AR2870" s="8">
        <v>0</v>
      </c>
      <c r="AS2870">
        <v>1.857874</v>
      </c>
    </row>
    <row r="2871" spans="1:45" x14ac:dyDescent="0.25">
      <c r="A2871">
        <v>500</v>
      </c>
      <c r="B2871">
        <v>1996</v>
      </c>
      <c r="C2871" s="8">
        <v>1</v>
      </c>
      <c r="D2871">
        <v>0.12609960000000001</v>
      </c>
      <c r="E2871">
        <v>-0.14100260000000001</v>
      </c>
      <c r="F2871">
        <v>5.1884399999999997E-2</v>
      </c>
      <c r="G2871">
        <v>8.8891100000000001E-2</v>
      </c>
      <c r="H2871">
        <v>0.57536030000000005</v>
      </c>
      <c r="Q2871" s="10">
        <f t="shared" si="108"/>
        <v>7.682272465904999E-2</v>
      </c>
      <c r="AI2871">
        <v>0.10186050000000001</v>
      </c>
      <c r="AJ2871">
        <f t="shared" si="107"/>
        <v>0.10186050000000001</v>
      </c>
      <c r="AO2871">
        <v>0.10186050000000001</v>
      </c>
      <c r="AR2871" s="8">
        <v>0</v>
      </c>
      <c r="AS2871">
        <v>0.53569929999999999</v>
      </c>
    </row>
    <row r="2872" spans="1:45" x14ac:dyDescent="0.25">
      <c r="A2872">
        <v>501</v>
      </c>
      <c r="B2872">
        <v>1995</v>
      </c>
      <c r="C2872" s="8">
        <v>0</v>
      </c>
      <c r="D2872">
        <v>0.1019661</v>
      </c>
      <c r="E2872">
        <v>-0.1128296</v>
      </c>
      <c r="F2872">
        <v>5.4901800000000001E-2</v>
      </c>
      <c r="G2872">
        <v>0.126668</v>
      </c>
      <c r="H2872">
        <v>0.57625020000000005</v>
      </c>
      <c r="Q2872" s="10">
        <f t="shared" si="108"/>
        <v>6.7794537778026437E-2</v>
      </c>
      <c r="AI2872">
        <v>0.1104757</v>
      </c>
      <c r="AJ2872">
        <f t="shared" si="107"/>
        <v>0.1104757</v>
      </c>
      <c r="AO2872">
        <v>0.1104757</v>
      </c>
      <c r="AR2872" s="8">
        <v>0</v>
      </c>
      <c r="AS2872">
        <v>0.19738939999999999</v>
      </c>
    </row>
    <row r="2873" spans="1:45" x14ac:dyDescent="0.25">
      <c r="A2873">
        <v>501</v>
      </c>
      <c r="B2873">
        <v>1996</v>
      </c>
      <c r="C2873" s="8">
        <v>0</v>
      </c>
      <c r="D2873">
        <v>0.10186050000000001</v>
      </c>
      <c r="E2873">
        <v>-0.13163929999999999</v>
      </c>
      <c r="F2873">
        <v>5.6128200000000003E-2</v>
      </c>
      <c r="G2873">
        <v>5.3470200000000002E-2</v>
      </c>
      <c r="H2873">
        <v>0.5211055</v>
      </c>
      <c r="Q2873" s="10">
        <f t="shared" si="108"/>
        <v>7.4391996876712926E-2</v>
      </c>
      <c r="AI2873">
        <v>0.36062309999999997</v>
      </c>
      <c r="AJ2873">
        <f t="shared" si="107"/>
        <v>0.36062309999999997</v>
      </c>
      <c r="AO2873">
        <v>0.36062309999999997</v>
      </c>
      <c r="AR2873" s="8">
        <v>1</v>
      </c>
      <c r="AS2873">
        <v>8.8891100000000001E-2</v>
      </c>
    </row>
    <row r="2874" spans="1:45" x14ac:dyDescent="0.25">
      <c r="A2874">
        <v>501</v>
      </c>
      <c r="B2874">
        <v>1997</v>
      </c>
      <c r="C2874" s="8">
        <v>1</v>
      </c>
      <c r="D2874">
        <v>0.1104757</v>
      </c>
      <c r="E2874">
        <v>-0.1969071</v>
      </c>
      <c r="F2874">
        <v>3.14235E-2</v>
      </c>
      <c r="G2874">
        <v>5.9797299999999998E-2</v>
      </c>
      <c r="H2874">
        <v>0.51651599999999998</v>
      </c>
      <c r="Q2874" s="10">
        <f t="shared" si="108"/>
        <v>9.6394448942627969E-2</v>
      </c>
      <c r="AI2874">
        <v>0.2015229</v>
      </c>
      <c r="AJ2874">
        <f t="shared" si="107"/>
        <v>0.2015229</v>
      </c>
      <c r="AO2874">
        <v>0.2015229</v>
      </c>
      <c r="AR2874" s="8">
        <v>0</v>
      </c>
      <c r="AS2874">
        <v>0.126668</v>
      </c>
    </row>
    <row r="2875" spans="1:45" x14ac:dyDescent="0.25">
      <c r="A2875">
        <v>502</v>
      </c>
      <c r="B2875">
        <v>1995</v>
      </c>
      <c r="C2875" s="8">
        <v>0</v>
      </c>
      <c r="D2875">
        <v>0.36062309999999997</v>
      </c>
      <c r="E2875">
        <v>0.27571089999999998</v>
      </c>
      <c r="F2875">
        <v>5.0820400000000002E-2</v>
      </c>
      <c r="G2875">
        <v>1.016335</v>
      </c>
      <c r="H2875">
        <v>0.43090620000000002</v>
      </c>
      <c r="Q2875" s="10">
        <f t="shared" si="108"/>
        <v>1.041513898943454E-2</v>
      </c>
      <c r="AI2875">
        <v>0.25463239999999998</v>
      </c>
      <c r="AJ2875">
        <f t="shared" si="107"/>
        <v>0.25463239999999998</v>
      </c>
      <c r="AO2875">
        <v>0.25463239999999998</v>
      </c>
      <c r="AR2875" s="8">
        <v>0</v>
      </c>
      <c r="AS2875">
        <v>5.3470200000000002E-2</v>
      </c>
    </row>
    <row r="2876" spans="1:45" x14ac:dyDescent="0.25">
      <c r="A2876">
        <v>502</v>
      </c>
      <c r="B2876">
        <v>1996</v>
      </c>
      <c r="C2876" s="8">
        <v>0</v>
      </c>
      <c r="D2876">
        <v>0.2015229</v>
      </c>
      <c r="E2876">
        <v>0.22926250000000001</v>
      </c>
      <c r="F2876">
        <v>4.8075899999999998E-2</v>
      </c>
      <c r="G2876">
        <v>0.68904679999999996</v>
      </c>
      <c r="H2876">
        <v>0.39788000000000001</v>
      </c>
      <c r="Q2876" s="10">
        <f t="shared" si="108"/>
        <v>1.7474778909157995E-2</v>
      </c>
      <c r="AI2876">
        <v>0.2521853</v>
      </c>
      <c r="AJ2876">
        <f t="shared" si="107"/>
        <v>0.2521853</v>
      </c>
      <c r="AO2876">
        <v>0.2521853</v>
      </c>
      <c r="AR2876" s="8">
        <v>1</v>
      </c>
      <c r="AS2876">
        <v>5.9797299999999998E-2</v>
      </c>
    </row>
    <row r="2877" spans="1:45" x14ac:dyDescent="0.25">
      <c r="A2877">
        <v>502</v>
      </c>
      <c r="B2877">
        <v>1997</v>
      </c>
      <c r="C2877" s="8">
        <v>0</v>
      </c>
      <c r="D2877">
        <v>0.25463239999999998</v>
      </c>
      <c r="E2877">
        <v>0.20496</v>
      </c>
      <c r="F2877">
        <v>5.3725299999999997E-2</v>
      </c>
      <c r="G2877">
        <v>1.0747640000000001</v>
      </c>
      <c r="H2877">
        <v>0.45717639999999998</v>
      </c>
      <c r="Q2877" s="10">
        <f t="shared" si="108"/>
        <v>9.9997792339007758E-3</v>
      </c>
      <c r="AI2877">
        <v>0.22588040000000001</v>
      </c>
      <c r="AJ2877">
        <f t="shared" si="107"/>
        <v>0.22588040000000001</v>
      </c>
      <c r="AO2877">
        <v>0.22588040000000001</v>
      </c>
      <c r="AR2877" s="8">
        <v>0</v>
      </c>
      <c r="AS2877">
        <v>1.016335</v>
      </c>
    </row>
    <row r="2878" spans="1:45" x14ac:dyDescent="0.25">
      <c r="A2878">
        <v>502</v>
      </c>
      <c r="B2878">
        <v>1998</v>
      </c>
      <c r="C2878" s="8">
        <v>0</v>
      </c>
      <c r="D2878">
        <v>0.2521853</v>
      </c>
      <c r="E2878">
        <v>0.1692024</v>
      </c>
      <c r="F2878">
        <v>4.4560299999999997E-2</v>
      </c>
      <c r="G2878">
        <v>0.62857189999999996</v>
      </c>
      <c r="H2878">
        <v>0.40123989999999998</v>
      </c>
      <c r="Q2878" s="10">
        <f t="shared" si="108"/>
        <v>2.1999974358883592E-2</v>
      </c>
      <c r="AI2878">
        <v>0.17603469999999999</v>
      </c>
      <c r="AJ2878">
        <f t="shared" si="107"/>
        <v>0.17603469999999999</v>
      </c>
      <c r="AO2878">
        <v>0.17603469999999999</v>
      </c>
      <c r="AR2878" s="8">
        <v>0</v>
      </c>
      <c r="AS2878">
        <v>0.68904679999999996</v>
      </c>
    </row>
    <row r="2879" spans="1:45" x14ac:dyDescent="0.25">
      <c r="A2879">
        <v>502</v>
      </c>
      <c r="B2879">
        <v>1999</v>
      </c>
      <c r="C2879" s="8">
        <v>0</v>
      </c>
      <c r="D2879">
        <v>0.22588040000000001</v>
      </c>
      <c r="E2879">
        <v>0.1982227</v>
      </c>
      <c r="F2879">
        <v>4.6490400000000001E-2</v>
      </c>
      <c r="G2879">
        <v>0.3984316</v>
      </c>
      <c r="H2879">
        <v>0.48102250000000002</v>
      </c>
      <c r="Q2879" s="10">
        <f t="shared" si="108"/>
        <v>3.0864106956392148E-2</v>
      </c>
      <c r="AI2879">
        <v>0.25146869999999999</v>
      </c>
      <c r="AJ2879">
        <f t="shared" si="107"/>
        <v>0.25146869999999999</v>
      </c>
      <c r="AO2879">
        <v>0.25146869999999999</v>
      </c>
      <c r="AR2879" s="8">
        <v>0</v>
      </c>
      <c r="AS2879">
        <v>1.0747640000000001</v>
      </c>
    </row>
    <row r="2880" spans="1:45" x14ac:dyDescent="0.25">
      <c r="A2880">
        <v>502</v>
      </c>
      <c r="B2880">
        <v>2000</v>
      </c>
      <c r="C2880" s="8">
        <v>0</v>
      </c>
      <c r="D2880">
        <v>0.17603469999999999</v>
      </c>
      <c r="E2880">
        <v>0.1513217</v>
      </c>
      <c r="F2880">
        <v>1.9569799999999998E-2</v>
      </c>
      <c r="G2880">
        <v>0.30587730000000002</v>
      </c>
      <c r="H2880">
        <v>0.50000880000000003</v>
      </c>
      <c r="Q2880" s="10">
        <f t="shared" si="108"/>
        <v>4.6323638840764729E-2</v>
      </c>
      <c r="AI2880">
        <v>0.26073160000000001</v>
      </c>
      <c r="AJ2880">
        <f t="shared" si="107"/>
        <v>0.26073160000000001</v>
      </c>
      <c r="AO2880">
        <v>0.26073160000000001</v>
      </c>
      <c r="AR2880" s="8">
        <v>0</v>
      </c>
      <c r="AS2880">
        <v>0.62857189999999996</v>
      </c>
    </row>
    <row r="2881" spans="1:45" x14ac:dyDescent="0.25">
      <c r="A2881">
        <v>502</v>
      </c>
      <c r="B2881">
        <v>2001</v>
      </c>
      <c r="C2881" s="8">
        <v>0</v>
      </c>
      <c r="D2881">
        <v>0.25146869999999999</v>
      </c>
      <c r="E2881">
        <v>0.1708422</v>
      </c>
      <c r="F2881">
        <v>5.0400199999999999E-2</v>
      </c>
      <c r="G2881">
        <v>0.57455000000000001</v>
      </c>
      <c r="H2881">
        <v>0.56543840000000001</v>
      </c>
      <c r="Q2881" s="10">
        <f t="shared" si="108"/>
        <v>2.5184557179319236E-2</v>
      </c>
      <c r="AI2881">
        <v>0.38205499999999998</v>
      </c>
      <c r="AJ2881">
        <f t="shared" si="107"/>
        <v>0.38205499999999998</v>
      </c>
      <c r="AO2881">
        <v>0.38205499999999998</v>
      </c>
      <c r="AR2881" s="8">
        <v>0</v>
      </c>
      <c r="AS2881">
        <v>0.3984316</v>
      </c>
    </row>
    <row r="2882" spans="1:45" x14ac:dyDescent="0.25">
      <c r="A2882">
        <v>502</v>
      </c>
      <c r="B2882">
        <v>2002</v>
      </c>
      <c r="C2882" s="8">
        <v>0</v>
      </c>
      <c r="D2882">
        <v>0.26073160000000001</v>
      </c>
      <c r="E2882">
        <v>0.1737503</v>
      </c>
      <c r="F2882">
        <v>6.4119999999999996E-2</v>
      </c>
      <c r="G2882">
        <v>0.47892689999999999</v>
      </c>
      <c r="H2882">
        <v>0.56152299999999999</v>
      </c>
      <c r="Q2882" s="10">
        <f t="shared" si="108"/>
        <v>2.6180919731104684E-2</v>
      </c>
      <c r="AI2882">
        <v>-0.16358839999999999</v>
      </c>
      <c r="AJ2882">
        <f t="shared" si="107"/>
        <v>-0.113345184</v>
      </c>
      <c r="AO2882">
        <v>-0.113345184</v>
      </c>
      <c r="AR2882" s="8">
        <v>0</v>
      </c>
      <c r="AS2882">
        <v>0.30587730000000002</v>
      </c>
    </row>
    <row r="2883" spans="1:45" x14ac:dyDescent="0.25">
      <c r="A2883">
        <v>502</v>
      </c>
      <c r="B2883">
        <v>2004</v>
      </c>
      <c r="C2883" s="8">
        <v>0</v>
      </c>
      <c r="D2883">
        <v>0.38205499999999998</v>
      </c>
      <c r="E2883">
        <v>8.7405899999999995E-2</v>
      </c>
      <c r="F2883">
        <v>7.1598400000000006E-2</v>
      </c>
      <c r="G2883">
        <v>1.3580209999999999</v>
      </c>
      <c r="H2883">
        <v>0.46027669999999998</v>
      </c>
      <c r="Q2883" s="10">
        <f t="shared" si="108"/>
        <v>6.9374714199887909E-3</v>
      </c>
      <c r="AI2883">
        <v>3.8979999999999999E-4</v>
      </c>
      <c r="AJ2883">
        <f t="shared" si="107"/>
        <v>3.8979999999999999E-4</v>
      </c>
      <c r="AO2883">
        <v>3.8979999999999999E-4</v>
      </c>
      <c r="AR2883" s="8">
        <v>0</v>
      </c>
      <c r="AS2883">
        <v>0.57455000000000001</v>
      </c>
    </row>
    <row r="2884" spans="1:45" x14ac:dyDescent="0.25">
      <c r="A2884">
        <v>503</v>
      </c>
      <c r="B2884">
        <v>1995</v>
      </c>
      <c r="C2884" s="8">
        <v>0</v>
      </c>
      <c r="D2884">
        <v>-0.16358839999999999</v>
      </c>
      <c r="E2884">
        <v>0.14118449999999999</v>
      </c>
      <c r="F2884">
        <v>5.9749799999999999E-2</v>
      </c>
      <c r="G2884">
        <v>0.71395200000000003</v>
      </c>
      <c r="H2884">
        <v>0.1197001</v>
      </c>
      <c r="Q2884" s="10">
        <f t="shared" si="108"/>
        <v>1.2641314830801541E-2</v>
      </c>
      <c r="AI2884">
        <v>6.4459699999999995E-2</v>
      </c>
      <c r="AJ2884">
        <f t="shared" si="107"/>
        <v>6.4459699999999995E-2</v>
      </c>
      <c r="AO2884">
        <v>6.4459699999999995E-2</v>
      </c>
      <c r="AR2884" s="8">
        <v>0</v>
      </c>
      <c r="AS2884">
        <v>0.47892689999999999</v>
      </c>
    </row>
    <row r="2885" spans="1:45" x14ac:dyDescent="0.25">
      <c r="A2885">
        <v>503</v>
      </c>
      <c r="B2885">
        <v>1996</v>
      </c>
      <c r="C2885" s="8">
        <v>0</v>
      </c>
      <c r="D2885">
        <v>3.8979999999999999E-4</v>
      </c>
      <c r="E2885">
        <v>0.16402800000000001</v>
      </c>
      <c r="F2885">
        <v>6.3515199999999994E-2</v>
      </c>
      <c r="G2885">
        <v>0.94515289999999996</v>
      </c>
      <c r="H2885">
        <v>0.19361</v>
      </c>
      <c r="Q2885" s="10">
        <f t="shared" si="108"/>
        <v>9.2294558587052277E-3</v>
      </c>
      <c r="AI2885">
        <v>-1.7726100000000002E-2</v>
      </c>
      <c r="AJ2885">
        <f t="shared" ref="AJ2885:AJ2948" si="109">MAX(MIN(AI2885,AM$5),AM$4)</f>
        <v>-1.7726100000000002E-2</v>
      </c>
      <c r="AO2885">
        <v>-1.7726100000000002E-2</v>
      </c>
      <c r="AR2885" s="8">
        <v>0</v>
      </c>
      <c r="AS2885">
        <v>1.3580209999999999</v>
      </c>
    </row>
    <row r="2886" spans="1:45" x14ac:dyDescent="0.25">
      <c r="A2886">
        <v>504</v>
      </c>
      <c r="B2886">
        <v>2001</v>
      </c>
      <c r="C2886" s="8">
        <v>0</v>
      </c>
      <c r="D2886">
        <v>6.4459699999999995E-2</v>
      </c>
      <c r="E2886">
        <v>9.4142799999999999E-2</v>
      </c>
      <c r="F2886">
        <v>1.9846200000000001E-2</v>
      </c>
      <c r="G2886">
        <v>0.51657580000000003</v>
      </c>
      <c r="H2886">
        <v>0.12971489999999999</v>
      </c>
      <c r="Q2886" s="10">
        <f t="shared" si="108"/>
        <v>2.7781064427459236E-2</v>
      </c>
      <c r="AI2886">
        <v>5.3652600000000002E-2</v>
      </c>
      <c r="AJ2886">
        <f t="shared" si="109"/>
        <v>5.3652600000000002E-2</v>
      </c>
      <c r="AO2886">
        <v>5.3652600000000002E-2</v>
      </c>
      <c r="AR2886" s="8">
        <v>0</v>
      </c>
      <c r="AS2886">
        <v>0.71395200000000003</v>
      </c>
    </row>
    <row r="2887" spans="1:45" x14ac:dyDescent="0.25">
      <c r="A2887">
        <v>504</v>
      </c>
      <c r="B2887">
        <v>2002</v>
      </c>
      <c r="C2887" s="8">
        <v>0</v>
      </c>
      <c r="D2887">
        <v>-1.7726100000000002E-2</v>
      </c>
      <c r="E2887">
        <v>6.46954E-2</v>
      </c>
      <c r="F2887">
        <v>5.2690099999999997E-2</v>
      </c>
      <c r="G2887">
        <v>0.45254810000000001</v>
      </c>
      <c r="H2887">
        <v>0.126468</v>
      </c>
      <c r="Q2887" s="10">
        <f t="shared" ref="Q2887:Q2950" si="110">1/(1+EXP(-(J$6+SUMPRODUCT(K$6:O$6,D2887:H2887))))</f>
        <v>2.3912174129512402E-2</v>
      </c>
      <c r="AI2887">
        <v>0.2260904</v>
      </c>
      <c r="AJ2887">
        <f t="shared" si="109"/>
        <v>0.2260904</v>
      </c>
      <c r="AO2887">
        <v>0.2260904</v>
      </c>
      <c r="AR2887" s="8">
        <v>0</v>
      </c>
      <c r="AS2887">
        <v>0.94515289999999996</v>
      </c>
    </row>
    <row r="2888" spans="1:45" x14ac:dyDescent="0.25">
      <c r="A2888">
        <v>504</v>
      </c>
      <c r="B2888">
        <v>2003</v>
      </c>
      <c r="C2888" s="8">
        <v>0</v>
      </c>
      <c r="D2888">
        <v>5.3652600000000002E-2</v>
      </c>
      <c r="E2888">
        <v>0.1045615</v>
      </c>
      <c r="F2888">
        <v>6.1128599999999998E-2</v>
      </c>
      <c r="G2888">
        <v>0.59847830000000002</v>
      </c>
      <c r="H2888">
        <v>0.1234804</v>
      </c>
      <c r="Q2888" s="10">
        <f t="shared" si="110"/>
        <v>1.7302384336373842E-2</v>
      </c>
      <c r="AI2888">
        <v>0.27133889999999999</v>
      </c>
      <c r="AJ2888">
        <f t="shared" si="109"/>
        <v>0.27133889999999999</v>
      </c>
      <c r="AO2888">
        <v>0.27133889999999999</v>
      </c>
      <c r="AR2888" s="8">
        <v>0</v>
      </c>
      <c r="AS2888">
        <v>0.51657580000000003</v>
      </c>
    </row>
    <row r="2889" spans="1:45" x14ac:dyDescent="0.25">
      <c r="A2889">
        <v>505</v>
      </c>
      <c r="B2889">
        <v>1995</v>
      </c>
      <c r="C2889" s="8">
        <v>0</v>
      </c>
      <c r="D2889">
        <v>0.2260904</v>
      </c>
      <c r="E2889">
        <v>0.2495743</v>
      </c>
      <c r="F2889">
        <v>7.2957999999999995E-2</v>
      </c>
      <c r="G2889">
        <v>1.2500389999999999</v>
      </c>
      <c r="H2889">
        <v>0.33552520000000002</v>
      </c>
      <c r="Q2889" s="10">
        <f t="shared" si="110"/>
        <v>5.5943369353980464E-3</v>
      </c>
      <c r="AI2889">
        <v>0.2373941</v>
      </c>
      <c r="AJ2889">
        <f t="shared" si="109"/>
        <v>0.2373941</v>
      </c>
      <c r="AO2889">
        <v>0.2373941</v>
      </c>
      <c r="AR2889" s="8">
        <v>0</v>
      </c>
      <c r="AS2889">
        <v>0.45254810000000001</v>
      </c>
    </row>
    <row r="2890" spans="1:45" x14ac:dyDescent="0.25">
      <c r="A2890">
        <v>505</v>
      </c>
      <c r="B2890">
        <v>1996</v>
      </c>
      <c r="C2890" s="8">
        <v>0</v>
      </c>
      <c r="D2890">
        <v>0.27133889999999999</v>
      </c>
      <c r="E2890">
        <v>0.30711889999999997</v>
      </c>
      <c r="F2890">
        <v>6.0703699999999999E-2</v>
      </c>
      <c r="G2890">
        <v>1.7234799999999999</v>
      </c>
      <c r="H2890">
        <v>0.35185270000000002</v>
      </c>
      <c r="Q2890" s="10">
        <f t="shared" si="110"/>
        <v>2.7548264459419298E-3</v>
      </c>
      <c r="AI2890">
        <v>0.2597102</v>
      </c>
      <c r="AJ2890">
        <f t="shared" si="109"/>
        <v>0.2597102</v>
      </c>
      <c r="AO2890">
        <v>0.2597102</v>
      </c>
      <c r="AR2890" s="8">
        <v>0</v>
      </c>
      <c r="AS2890">
        <v>0.59847830000000002</v>
      </c>
    </row>
    <row r="2891" spans="1:45" x14ac:dyDescent="0.25">
      <c r="A2891">
        <v>505</v>
      </c>
      <c r="B2891">
        <v>1997</v>
      </c>
      <c r="C2891" s="8">
        <v>0</v>
      </c>
      <c r="D2891">
        <v>0.2373941</v>
      </c>
      <c r="E2891">
        <v>0.29138459999999999</v>
      </c>
      <c r="F2891">
        <v>5.7174000000000003E-2</v>
      </c>
      <c r="G2891">
        <v>1.6601699999999999</v>
      </c>
      <c r="H2891">
        <v>0.40041729999999998</v>
      </c>
      <c r="Q2891" s="10">
        <f t="shared" si="110"/>
        <v>3.257249733239354E-3</v>
      </c>
      <c r="AI2891">
        <v>0.18602920000000001</v>
      </c>
      <c r="AJ2891">
        <f t="shared" si="109"/>
        <v>0.18602920000000001</v>
      </c>
      <c r="AO2891">
        <v>0.18602920000000001</v>
      </c>
      <c r="AR2891" s="8">
        <v>0</v>
      </c>
      <c r="AS2891">
        <v>1.2500389999999999</v>
      </c>
    </row>
    <row r="2892" spans="1:45" x14ac:dyDescent="0.25">
      <c r="A2892">
        <v>505</v>
      </c>
      <c r="B2892">
        <v>1998</v>
      </c>
      <c r="C2892" s="8">
        <v>0</v>
      </c>
      <c r="D2892">
        <v>0.2597102</v>
      </c>
      <c r="E2892">
        <v>0.34212559999999997</v>
      </c>
      <c r="F2892">
        <v>7.1871000000000004E-2</v>
      </c>
      <c r="G2892">
        <v>1.8283959999999999</v>
      </c>
      <c r="H2892">
        <v>0.3732664</v>
      </c>
      <c r="Q2892" s="10">
        <f t="shared" si="110"/>
        <v>2.0443836579637684E-3</v>
      </c>
      <c r="AI2892">
        <v>0.2106731</v>
      </c>
      <c r="AJ2892">
        <f t="shared" si="109"/>
        <v>0.2106731</v>
      </c>
      <c r="AO2892">
        <v>0.2106731</v>
      </c>
      <c r="AR2892" s="8">
        <v>0</v>
      </c>
      <c r="AS2892">
        <v>1.7234799999999999</v>
      </c>
    </row>
    <row r="2893" spans="1:45" x14ac:dyDescent="0.25">
      <c r="A2893">
        <v>505</v>
      </c>
      <c r="B2893">
        <v>1999</v>
      </c>
      <c r="C2893" s="8">
        <v>0</v>
      </c>
      <c r="D2893">
        <v>0.18602920000000001</v>
      </c>
      <c r="E2893">
        <v>0.22649549999999999</v>
      </c>
      <c r="F2893">
        <v>6.1175199999999999E-2</v>
      </c>
      <c r="G2893">
        <v>1.0349660000000001</v>
      </c>
      <c r="H2893">
        <v>0.31718649999999998</v>
      </c>
      <c r="Q2893" s="10">
        <f t="shared" si="110"/>
        <v>8.68178055566283E-3</v>
      </c>
      <c r="AI2893">
        <v>0.19381509999999999</v>
      </c>
      <c r="AJ2893">
        <f t="shared" si="109"/>
        <v>0.19381509999999999</v>
      </c>
      <c r="AO2893">
        <v>0.19381509999999999</v>
      </c>
      <c r="AR2893" s="8">
        <v>0</v>
      </c>
      <c r="AS2893">
        <v>1.6601699999999999</v>
      </c>
    </row>
    <row r="2894" spans="1:45" x14ac:dyDescent="0.25">
      <c r="A2894">
        <v>505</v>
      </c>
      <c r="B2894">
        <v>2000</v>
      </c>
      <c r="C2894" s="8">
        <v>0</v>
      </c>
      <c r="D2894">
        <v>0.2106731</v>
      </c>
      <c r="E2894">
        <v>0.2454141</v>
      </c>
      <c r="F2894">
        <v>4.24772E-2</v>
      </c>
      <c r="G2894">
        <v>0.75083330000000004</v>
      </c>
      <c r="H2894">
        <v>0.2884603</v>
      </c>
      <c r="Q2894" s="10">
        <f t="shared" si="110"/>
        <v>1.5208907070052263E-2</v>
      </c>
      <c r="AI2894">
        <v>0.14780299999999999</v>
      </c>
      <c r="AJ2894">
        <f t="shared" si="109"/>
        <v>0.14780299999999999</v>
      </c>
      <c r="AO2894">
        <v>0.14780299999999999</v>
      </c>
      <c r="AR2894" s="8">
        <v>0</v>
      </c>
      <c r="AS2894">
        <v>1.8283959999999999</v>
      </c>
    </row>
    <row r="2895" spans="1:45" x14ac:dyDescent="0.25">
      <c r="A2895">
        <v>505</v>
      </c>
      <c r="B2895">
        <v>2001</v>
      </c>
      <c r="C2895" s="8">
        <v>0</v>
      </c>
      <c r="D2895">
        <v>0.19381509999999999</v>
      </c>
      <c r="E2895">
        <v>0.26714199999999999</v>
      </c>
      <c r="F2895">
        <v>4.8076199999999999E-2</v>
      </c>
      <c r="G2895">
        <v>1.349413</v>
      </c>
      <c r="H2895">
        <v>0.28289379999999997</v>
      </c>
      <c r="Q2895" s="10">
        <f t="shared" si="110"/>
        <v>5.4252217829131753E-3</v>
      </c>
      <c r="AI2895">
        <v>0.1505495</v>
      </c>
      <c r="AJ2895">
        <f t="shared" si="109"/>
        <v>0.1505495</v>
      </c>
      <c r="AO2895">
        <v>0.1505495</v>
      </c>
      <c r="AR2895" s="8">
        <v>0</v>
      </c>
      <c r="AS2895">
        <v>1.0349660000000001</v>
      </c>
    </row>
    <row r="2896" spans="1:45" x14ac:dyDescent="0.25">
      <c r="A2896">
        <v>505</v>
      </c>
      <c r="B2896">
        <v>2002</v>
      </c>
      <c r="C2896" s="8">
        <v>0</v>
      </c>
      <c r="D2896">
        <v>0.14780299999999999</v>
      </c>
      <c r="E2896">
        <v>0.28354580000000001</v>
      </c>
      <c r="F2896">
        <v>4.5126300000000001E-2</v>
      </c>
      <c r="G2896">
        <v>1.2381120000000001</v>
      </c>
      <c r="H2896">
        <v>0.2770936</v>
      </c>
      <c r="Q2896" s="10">
        <f t="shared" si="110"/>
        <v>6.3256008319118109E-3</v>
      </c>
      <c r="AI2896">
        <v>0.12781310000000001</v>
      </c>
      <c r="AJ2896">
        <f t="shared" si="109"/>
        <v>0.12781310000000001</v>
      </c>
      <c r="AO2896">
        <v>0.12781310000000001</v>
      </c>
      <c r="AR2896" s="8">
        <v>0</v>
      </c>
      <c r="AS2896">
        <v>0.75083330000000004</v>
      </c>
    </row>
    <row r="2897" spans="1:45" x14ac:dyDescent="0.25">
      <c r="A2897">
        <v>505</v>
      </c>
      <c r="B2897">
        <v>2003</v>
      </c>
      <c r="C2897" s="8">
        <v>0</v>
      </c>
      <c r="D2897">
        <v>0.1505495</v>
      </c>
      <c r="E2897">
        <v>0.3164689</v>
      </c>
      <c r="F2897">
        <v>5.32129E-2</v>
      </c>
      <c r="G2897">
        <v>1.53243</v>
      </c>
      <c r="H2897">
        <v>0.1740476</v>
      </c>
      <c r="Q2897" s="10">
        <f t="shared" si="110"/>
        <v>3.3311343320557626E-3</v>
      </c>
      <c r="AI2897">
        <v>-4.9394899999999999E-2</v>
      </c>
      <c r="AJ2897">
        <f t="shared" si="109"/>
        <v>-4.9394899999999999E-2</v>
      </c>
      <c r="AO2897">
        <v>-4.9394899999999999E-2</v>
      </c>
      <c r="AR2897" s="8">
        <v>0</v>
      </c>
      <c r="AS2897">
        <v>1.349413</v>
      </c>
    </row>
    <row r="2898" spans="1:45" x14ac:dyDescent="0.25">
      <c r="A2898">
        <v>505</v>
      </c>
      <c r="B2898">
        <v>2004</v>
      </c>
      <c r="C2898" s="8">
        <v>0</v>
      </c>
      <c r="D2898">
        <v>0.12781310000000001</v>
      </c>
      <c r="E2898">
        <v>0.34129510000000002</v>
      </c>
      <c r="F2898">
        <v>5.57186E-2</v>
      </c>
      <c r="G2898">
        <v>2.6543800000000002</v>
      </c>
      <c r="H2898">
        <v>0.23677970000000001</v>
      </c>
      <c r="Q2898" s="10">
        <f t="shared" si="110"/>
        <v>5.4415875545002685E-4</v>
      </c>
      <c r="AI2898">
        <v>7.2786000000000003E-2</v>
      </c>
      <c r="AJ2898">
        <f t="shared" si="109"/>
        <v>7.2786000000000003E-2</v>
      </c>
      <c r="AO2898">
        <v>7.2786000000000003E-2</v>
      </c>
      <c r="AR2898" s="8">
        <v>0</v>
      </c>
      <c r="AS2898">
        <v>1.2381120000000001</v>
      </c>
    </row>
    <row r="2899" spans="1:45" x14ac:dyDescent="0.25">
      <c r="A2899">
        <v>506</v>
      </c>
      <c r="B2899">
        <v>1995</v>
      </c>
      <c r="C2899" s="8">
        <v>0</v>
      </c>
      <c r="D2899">
        <v>-4.9394899999999999E-2</v>
      </c>
      <c r="E2899">
        <v>0.21078710000000001</v>
      </c>
      <c r="F2899">
        <v>2.8296700000000001E-2</v>
      </c>
      <c r="G2899">
        <v>0.60396890000000003</v>
      </c>
      <c r="H2899">
        <v>0.17656079999999999</v>
      </c>
      <c r="Q2899" s="10">
        <f t="shared" si="110"/>
        <v>1.8893852034513769E-2</v>
      </c>
      <c r="AI2899">
        <v>6.3964199999999999E-2</v>
      </c>
      <c r="AJ2899">
        <f t="shared" si="109"/>
        <v>6.3964199999999999E-2</v>
      </c>
      <c r="AO2899">
        <v>6.3964199999999999E-2</v>
      </c>
      <c r="AR2899" s="8">
        <v>0</v>
      </c>
      <c r="AS2899">
        <v>1.53243</v>
      </c>
    </row>
    <row r="2900" spans="1:45" x14ac:dyDescent="0.25">
      <c r="A2900">
        <v>506</v>
      </c>
      <c r="B2900">
        <v>1996</v>
      </c>
      <c r="C2900" s="8">
        <v>0</v>
      </c>
      <c r="D2900">
        <v>7.2786000000000003E-2</v>
      </c>
      <c r="E2900">
        <v>0.25945439999999997</v>
      </c>
      <c r="F2900">
        <v>5.4440299999999997E-2</v>
      </c>
      <c r="G2900">
        <v>0.86456949999999999</v>
      </c>
      <c r="H2900">
        <v>0.18915580000000001</v>
      </c>
      <c r="Q2900" s="10">
        <f t="shared" si="110"/>
        <v>1.0084832094836384E-2</v>
      </c>
      <c r="AI2900">
        <v>6.6778000000000002E-3</v>
      </c>
      <c r="AJ2900">
        <f t="shared" si="109"/>
        <v>6.6778000000000002E-3</v>
      </c>
      <c r="AO2900">
        <v>6.6778000000000002E-3</v>
      </c>
      <c r="AR2900" s="8">
        <v>0</v>
      </c>
      <c r="AS2900">
        <v>2.6543800000000002</v>
      </c>
    </row>
    <row r="2901" spans="1:45" x14ac:dyDescent="0.25">
      <c r="A2901">
        <v>506</v>
      </c>
      <c r="B2901">
        <v>1997</v>
      </c>
      <c r="C2901" s="8">
        <v>0</v>
      </c>
      <c r="D2901">
        <v>6.3964199999999999E-2</v>
      </c>
      <c r="E2901">
        <v>0.26105109999999998</v>
      </c>
      <c r="F2901">
        <v>4.7990100000000001E-2</v>
      </c>
      <c r="G2901">
        <v>0.99056250000000001</v>
      </c>
      <c r="H2901">
        <v>8.5174700000000006E-2</v>
      </c>
      <c r="Q2901" s="10">
        <f t="shared" si="110"/>
        <v>8.1126136083708288E-3</v>
      </c>
      <c r="AI2901">
        <v>-0.1218457</v>
      </c>
      <c r="AJ2901">
        <f t="shared" si="109"/>
        <v>-0.113345184</v>
      </c>
      <c r="AO2901">
        <v>-0.113345184</v>
      </c>
      <c r="AR2901" s="8">
        <v>0</v>
      </c>
      <c r="AS2901">
        <v>0.60396890000000003</v>
      </c>
    </row>
    <row r="2902" spans="1:45" x14ac:dyDescent="0.25">
      <c r="A2902">
        <v>506</v>
      </c>
      <c r="B2902">
        <v>1998</v>
      </c>
      <c r="C2902" s="8">
        <v>0</v>
      </c>
      <c r="D2902">
        <v>6.6778000000000002E-3</v>
      </c>
      <c r="E2902">
        <v>0.1202406</v>
      </c>
      <c r="F2902">
        <v>-1.8819900000000001E-2</v>
      </c>
      <c r="G2902">
        <v>0.41586899999999999</v>
      </c>
      <c r="H2902">
        <v>8.7064000000000002E-2</v>
      </c>
      <c r="Q2902" s="10">
        <f t="shared" si="110"/>
        <v>4.0164783994218071E-2</v>
      </c>
      <c r="AI2902">
        <v>-8.3804500000000004E-2</v>
      </c>
      <c r="AJ2902">
        <f t="shared" si="109"/>
        <v>-8.3804500000000004E-2</v>
      </c>
      <c r="AO2902">
        <v>-8.3804500000000004E-2</v>
      </c>
      <c r="AR2902" s="8">
        <v>0</v>
      </c>
      <c r="AS2902">
        <v>0.86456949999999999</v>
      </c>
    </row>
    <row r="2903" spans="1:45" x14ac:dyDescent="0.25">
      <c r="A2903">
        <v>507</v>
      </c>
      <c r="B2903">
        <v>2000</v>
      </c>
      <c r="C2903" s="8">
        <v>0</v>
      </c>
      <c r="D2903">
        <v>-0.1218457</v>
      </c>
      <c r="E2903">
        <v>0.2130251</v>
      </c>
      <c r="F2903">
        <v>3.41488E-2</v>
      </c>
      <c r="G2903">
        <v>0.71872539999999996</v>
      </c>
      <c r="H2903">
        <v>0.1086577</v>
      </c>
      <c r="Q2903" s="10">
        <f t="shared" si="110"/>
        <v>1.3995998981788608E-2</v>
      </c>
      <c r="AI2903">
        <v>-0.1038092</v>
      </c>
      <c r="AJ2903">
        <f t="shared" si="109"/>
        <v>-0.1038092</v>
      </c>
      <c r="AO2903">
        <v>-0.1038092</v>
      </c>
      <c r="AR2903" s="8">
        <v>0</v>
      </c>
      <c r="AS2903">
        <v>0.99056250000000001</v>
      </c>
    </row>
    <row r="2904" spans="1:45" x14ac:dyDescent="0.25">
      <c r="A2904">
        <v>507</v>
      </c>
      <c r="B2904">
        <v>2001</v>
      </c>
      <c r="C2904" s="8">
        <v>0</v>
      </c>
      <c r="D2904">
        <v>-8.3804500000000004E-2</v>
      </c>
      <c r="E2904">
        <v>0.19011320000000001</v>
      </c>
      <c r="F2904">
        <v>2.31887E-2</v>
      </c>
      <c r="G2904">
        <v>0.66505329999999996</v>
      </c>
      <c r="H2904">
        <v>8.3177000000000001E-2</v>
      </c>
      <c r="Q2904" s="10">
        <f t="shared" si="110"/>
        <v>1.7150994113451414E-2</v>
      </c>
      <c r="AI2904">
        <v>-4.5700999999999997E-3</v>
      </c>
      <c r="AJ2904">
        <f t="shared" si="109"/>
        <v>-4.5700999999999997E-3</v>
      </c>
      <c r="AO2904">
        <v>-4.5700999999999997E-3</v>
      </c>
      <c r="AR2904" s="8">
        <v>0</v>
      </c>
      <c r="AS2904">
        <v>0.41586899999999999</v>
      </c>
    </row>
    <row r="2905" spans="1:45" x14ac:dyDescent="0.25">
      <c r="A2905">
        <v>507</v>
      </c>
      <c r="B2905">
        <v>2002</v>
      </c>
      <c r="C2905" s="8">
        <v>0</v>
      </c>
      <c r="D2905">
        <v>-0.1038092</v>
      </c>
      <c r="E2905">
        <v>0.2196023</v>
      </c>
      <c r="F2905">
        <v>2.0898300000000002E-2</v>
      </c>
      <c r="G2905">
        <v>0.64927780000000002</v>
      </c>
      <c r="H2905">
        <v>0.13154830000000001</v>
      </c>
      <c r="Q2905" s="10">
        <f t="shared" si="110"/>
        <v>1.7530458903024553E-2</v>
      </c>
      <c r="AI2905">
        <v>5.1322300000000001E-2</v>
      </c>
      <c r="AJ2905">
        <f t="shared" si="109"/>
        <v>5.1322300000000001E-2</v>
      </c>
      <c r="AO2905">
        <v>5.1322300000000001E-2</v>
      </c>
      <c r="AR2905" s="8">
        <v>0</v>
      </c>
      <c r="AS2905">
        <v>0.71872539999999996</v>
      </c>
    </row>
    <row r="2906" spans="1:45" x14ac:dyDescent="0.25">
      <c r="A2906">
        <v>507</v>
      </c>
      <c r="B2906">
        <v>2003</v>
      </c>
      <c r="C2906" s="8">
        <v>0</v>
      </c>
      <c r="D2906">
        <v>-4.5700999999999997E-3</v>
      </c>
      <c r="E2906">
        <v>0.19174540000000001</v>
      </c>
      <c r="F2906">
        <v>1.6259599999999999E-2</v>
      </c>
      <c r="G2906">
        <v>0.75968219999999997</v>
      </c>
      <c r="H2906">
        <v>0.1364263</v>
      </c>
      <c r="Q2906" s="10">
        <f t="shared" si="110"/>
        <v>1.662124855952719E-2</v>
      </c>
      <c r="AI2906">
        <v>5.4159600000000002E-2</v>
      </c>
      <c r="AJ2906">
        <f t="shared" si="109"/>
        <v>5.4159600000000002E-2</v>
      </c>
      <c r="AO2906">
        <v>5.4159600000000002E-2</v>
      </c>
      <c r="AR2906" s="8">
        <v>0</v>
      </c>
      <c r="AS2906">
        <v>0.66505329999999996</v>
      </c>
    </row>
    <row r="2907" spans="1:45" x14ac:dyDescent="0.25">
      <c r="A2907">
        <v>507</v>
      </c>
      <c r="B2907">
        <v>2004</v>
      </c>
      <c r="C2907" s="8">
        <v>0</v>
      </c>
      <c r="D2907">
        <v>5.1322300000000001E-2</v>
      </c>
      <c r="E2907">
        <v>0.18925520000000001</v>
      </c>
      <c r="F2907">
        <v>2.3394600000000002E-2</v>
      </c>
      <c r="G2907">
        <v>0.74444759999999999</v>
      </c>
      <c r="H2907">
        <v>0.14580070000000001</v>
      </c>
      <c r="Q2907" s="10">
        <f t="shared" si="110"/>
        <v>1.6617918994350032E-2</v>
      </c>
      <c r="AI2907">
        <v>7.3647500000000005E-2</v>
      </c>
      <c r="AJ2907">
        <f t="shared" si="109"/>
        <v>7.3647500000000005E-2</v>
      </c>
      <c r="AO2907">
        <v>7.3647500000000005E-2</v>
      </c>
      <c r="AR2907" s="8">
        <v>0</v>
      </c>
      <c r="AS2907">
        <v>0.64927780000000002</v>
      </c>
    </row>
    <row r="2908" spans="1:45" x14ac:dyDescent="0.25">
      <c r="A2908">
        <v>508</v>
      </c>
      <c r="B2908">
        <v>1995</v>
      </c>
      <c r="C2908" s="8">
        <v>0</v>
      </c>
      <c r="D2908">
        <v>5.4159600000000002E-2</v>
      </c>
      <c r="E2908">
        <v>0.38334099999999999</v>
      </c>
      <c r="F2908">
        <v>5.4561699999999998E-2</v>
      </c>
      <c r="G2908">
        <v>2.0906470000000001</v>
      </c>
      <c r="H2908">
        <v>0.29899569999999998</v>
      </c>
      <c r="Q2908" s="10">
        <f t="shared" si="110"/>
        <v>1.277961721173175E-3</v>
      </c>
      <c r="AI2908">
        <v>0.1066392</v>
      </c>
      <c r="AJ2908">
        <f t="shared" si="109"/>
        <v>0.1066392</v>
      </c>
      <c r="AO2908">
        <v>0.1066392</v>
      </c>
      <c r="AR2908" s="8">
        <v>0</v>
      </c>
      <c r="AS2908">
        <v>0.75968219999999997</v>
      </c>
    </row>
    <row r="2909" spans="1:45" x14ac:dyDescent="0.25">
      <c r="A2909">
        <v>508</v>
      </c>
      <c r="B2909">
        <v>1996</v>
      </c>
      <c r="C2909" s="8">
        <v>0</v>
      </c>
      <c r="D2909">
        <v>7.3647500000000005E-2</v>
      </c>
      <c r="E2909">
        <v>0.38185920000000001</v>
      </c>
      <c r="F2909">
        <v>3.6211399999999998E-2</v>
      </c>
      <c r="G2909">
        <v>1.907802</v>
      </c>
      <c r="H2909">
        <v>0.26288099999999998</v>
      </c>
      <c r="Q2909" s="10">
        <f t="shared" si="110"/>
        <v>1.9554159555905076E-3</v>
      </c>
      <c r="AI2909">
        <v>0.1431134</v>
      </c>
      <c r="AJ2909">
        <f t="shared" si="109"/>
        <v>0.1431134</v>
      </c>
      <c r="AO2909">
        <v>0.1431134</v>
      </c>
      <c r="AR2909" s="8">
        <v>0</v>
      </c>
      <c r="AS2909">
        <v>0.74444759999999999</v>
      </c>
    </row>
    <row r="2910" spans="1:45" x14ac:dyDescent="0.25">
      <c r="A2910">
        <v>508</v>
      </c>
      <c r="B2910">
        <v>1997</v>
      </c>
      <c r="C2910" s="8">
        <v>0</v>
      </c>
      <c r="D2910">
        <v>0.1066392</v>
      </c>
      <c r="E2910">
        <v>0.33555059999999998</v>
      </c>
      <c r="F2910">
        <v>3.3212699999999998E-2</v>
      </c>
      <c r="G2910">
        <v>1.0480210000000001</v>
      </c>
      <c r="H2910">
        <v>0.26312930000000001</v>
      </c>
      <c r="Q2910" s="10">
        <f t="shared" si="110"/>
        <v>8.49364511294292E-3</v>
      </c>
      <c r="AI2910">
        <v>0.1085515</v>
      </c>
      <c r="AJ2910">
        <f t="shared" si="109"/>
        <v>0.1085515</v>
      </c>
      <c r="AO2910">
        <v>0.1085515</v>
      </c>
      <c r="AR2910" s="8">
        <v>0</v>
      </c>
      <c r="AS2910">
        <v>2.0906470000000001</v>
      </c>
    </row>
    <row r="2911" spans="1:45" x14ac:dyDescent="0.25">
      <c r="A2911">
        <v>508</v>
      </c>
      <c r="B2911">
        <v>1998</v>
      </c>
      <c r="C2911" s="8">
        <v>0</v>
      </c>
      <c r="D2911">
        <v>0.1431134</v>
      </c>
      <c r="E2911">
        <v>0.33559919999999999</v>
      </c>
      <c r="F2911">
        <v>3.7760700000000001E-2</v>
      </c>
      <c r="G2911">
        <v>0.65907910000000003</v>
      </c>
      <c r="H2911">
        <v>0.29739660000000001</v>
      </c>
      <c r="Q2911" s="10">
        <f t="shared" si="110"/>
        <v>1.5670340348784423E-2</v>
      </c>
      <c r="AI2911">
        <v>9.0835799999999994E-2</v>
      </c>
      <c r="AJ2911">
        <f t="shared" si="109"/>
        <v>9.0835799999999994E-2</v>
      </c>
      <c r="AO2911">
        <v>9.0835799999999994E-2</v>
      </c>
      <c r="AR2911" s="8">
        <v>0</v>
      </c>
      <c r="AS2911">
        <v>1.907802</v>
      </c>
    </row>
    <row r="2912" spans="1:45" x14ac:dyDescent="0.25">
      <c r="A2912">
        <v>508</v>
      </c>
      <c r="B2912">
        <v>1999</v>
      </c>
      <c r="C2912" s="8">
        <v>0</v>
      </c>
      <c r="D2912">
        <v>0.1085515</v>
      </c>
      <c r="E2912">
        <v>0.34615230000000002</v>
      </c>
      <c r="F2912">
        <v>2.3389699999999999E-2</v>
      </c>
      <c r="G2912">
        <v>0.30108489999999999</v>
      </c>
      <c r="H2912">
        <v>0.29844100000000001</v>
      </c>
      <c r="Q2912" s="10">
        <f t="shared" si="110"/>
        <v>2.9777898647424712E-2</v>
      </c>
      <c r="AI2912">
        <v>7.9007999999999995E-2</v>
      </c>
      <c r="AJ2912">
        <f t="shared" si="109"/>
        <v>7.9007999999999995E-2</v>
      </c>
      <c r="AO2912">
        <v>7.9007999999999995E-2</v>
      </c>
      <c r="AR2912" s="8">
        <v>0</v>
      </c>
      <c r="AS2912">
        <v>1.0480210000000001</v>
      </c>
    </row>
    <row r="2913" spans="1:45" x14ac:dyDescent="0.25">
      <c r="A2913">
        <v>508</v>
      </c>
      <c r="B2913">
        <v>2000</v>
      </c>
      <c r="C2913" s="8">
        <v>0</v>
      </c>
      <c r="D2913">
        <v>9.0835799999999994E-2</v>
      </c>
      <c r="E2913">
        <v>0.33762110000000001</v>
      </c>
      <c r="F2913">
        <v>4.2015700000000003E-2</v>
      </c>
      <c r="G2913">
        <v>0.23150490000000001</v>
      </c>
      <c r="H2913">
        <v>0.31480399999999997</v>
      </c>
      <c r="Q2913" s="10">
        <f t="shared" si="110"/>
        <v>2.9123241651729293E-2</v>
      </c>
      <c r="AI2913">
        <v>0.1111163</v>
      </c>
      <c r="AJ2913">
        <f t="shared" si="109"/>
        <v>0.1111163</v>
      </c>
      <c r="AO2913">
        <v>0.1111163</v>
      </c>
      <c r="AR2913" s="8">
        <v>0</v>
      </c>
      <c r="AS2913">
        <v>0.65907910000000003</v>
      </c>
    </row>
    <row r="2914" spans="1:45" x14ac:dyDescent="0.25">
      <c r="A2914">
        <v>508</v>
      </c>
      <c r="B2914">
        <v>2001</v>
      </c>
      <c r="C2914" s="8">
        <v>0</v>
      </c>
      <c r="D2914">
        <v>7.9007999999999995E-2</v>
      </c>
      <c r="E2914">
        <v>0.3487615</v>
      </c>
      <c r="F2914">
        <v>4.7296400000000002E-2</v>
      </c>
      <c r="G2914">
        <v>0.73770000000000002</v>
      </c>
      <c r="H2914">
        <v>0.30944179999999999</v>
      </c>
      <c r="Q2914" s="10">
        <f t="shared" si="110"/>
        <v>1.2370463333264707E-2</v>
      </c>
      <c r="AI2914">
        <v>8.35312E-2</v>
      </c>
      <c r="AJ2914">
        <f t="shared" si="109"/>
        <v>8.35312E-2</v>
      </c>
      <c r="AO2914">
        <v>8.35312E-2</v>
      </c>
      <c r="AR2914" s="8">
        <v>0</v>
      </c>
      <c r="AS2914">
        <v>0.30108489999999999</v>
      </c>
    </row>
    <row r="2915" spans="1:45" x14ac:dyDescent="0.25">
      <c r="A2915">
        <v>508</v>
      </c>
      <c r="B2915">
        <v>2002</v>
      </c>
      <c r="C2915" s="8">
        <v>0</v>
      </c>
      <c r="D2915">
        <v>0.1111163</v>
      </c>
      <c r="E2915">
        <v>0.37760729999999998</v>
      </c>
      <c r="F2915">
        <v>2.3861199999999999E-2</v>
      </c>
      <c r="G2915">
        <v>0.50806099999999998</v>
      </c>
      <c r="H2915">
        <v>0.28265810000000002</v>
      </c>
      <c r="Q2915" s="10">
        <f t="shared" si="110"/>
        <v>2.0395784383412118E-2</v>
      </c>
      <c r="AI2915">
        <v>3.0145100000000001E-2</v>
      </c>
      <c r="AJ2915">
        <f t="shared" si="109"/>
        <v>3.0145100000000001E-2</v>
      </c>
      <c r="AO2915">
        <v>3.0145100000000001E-2</v>
      </c>
      <c r="AR2915" s="8">
        <v>0</v>
      </c>
      <c r="AS2915">
        <v>0.23150490000000001</v>
      </c>
    </row>
    <row r="2916" spans="1:45" x14ac:dyDescent="0.25">
      <c r="A2916">
        <v>508</v>
      </c>
      <c r="B2916">
        <v>2003</v>
      </c>
      <c r="C2916" s="8">
        <v>0</v>
      </c>
      <c r="D2916">
        <v>8.35312E-2</v>
      </c>
      <c r="E2916">
        <v>0.34326820000000002</v>
      </c>
      <c r="F2916">
        <v>3.9615699999999997E-2</v>
      </c>
      <c r="G2916">
        <v>0.9803752</v>
      </c>
      <c r="H2916">
        <v>0.33280690000000002</v>
      </c>
      <c r="Q2916" s="10">
        <f t="shared" si="110"/>
        <v>9.1851299109886528E-3</v>
      </c>
      <c r="AI2916">
        <v>2.66535E-2</v>
      </c>
      <c r="AJ2916">
        <f t="shared" si="109"/>
        <v>2.66535E-2</v>
      </c>
      <c r="AO2916">
        <v>2.66535E-2</v>
      </c>
      <c r="AR2916" s="8">
        <v>0</v>
      </c>
      <c r="AS2916">
        <v>0.73770000000000002</v>
      </c>
    </row>
    <row r="2917" spans="1:45" x14ac:dyDescent="0.25">
      <c r="A2917">
        <v>509</v>
      </c>
      <c r="B2917">
        <v>1995</v>
      </c>
      <c r="C2917" s="8">
        <v>0</v>
      </c>
      <c r="D2917">
        <v>3.0145100000000001E-2</v>
      </c>
      <c r="E2917">
        <v>0.34179110000000001</v>
      </c>
      <c r="F2917">
        <v>7.0397500000000002E-2</v>
      </c>
      <c r="G2917">
        <v>2.467692</v>
      </c>
      <c r="H2917">
        <v>0.39319549999999998</v>
      </c>
      <c r="Q2917" s="10">
        <f t="shared" si="110"/>
        <v>6.8878124567644465E-4</v>
      </c>
      <c r="AI2917">
        <v>0.1269092</v>
      </c>
      <c r="AJ2917">
        <f t="shared" si="109"/>
        <v>0.1269092</v>
      </c>
      <c r="AO2917">
        <v>0.1269092</v>
      </c>
      <c r="AR2917" s="8">
        <v>0</v>
      </c>
      <c r="AS2917">
        <v>0.50806099999999998</v>
      </c>
    </row>
    <row r="2918" spans="1:45" x14ac:dyDescent="0.25">
      <c r="A2918">
        <v>509</v>
      </c>
      <c r="B2918">
        <v>1996</v>
      </c>
      <c r="C2918" s="8">
        <v>0</v>
      </c>
      <c r="D2918">
        <v>2.66535E-2</v>
      </c>
      <c r="E2918">
        <v>0.37332140000000003</v>
      </c>
      <c r="F2918">
        <v>5.3398300000000003E-2</v>
      </c>
      <c r="G2918">
        <v>2.5717919999999999</v>
      </c>
      <c r="H2918">
        <v>0.2891801</v>
      </c>
      <c r="Q2918" s="10">
        <f t="shared" si="110"/>
        <v>5.9785368943580854E-4</v>
      </c>
      <c r="AI2918">
        <v>-0.12133969999999999</v>
      </c>
      <c r="AJ2918">
        <f t="shared" si="109"/>
        <v>-0.113345184</v>
      </c>
      <c r="AO2918">
        <v>-0.113345184</v>
      </c>
      <c r="AR2918" s="8">
        <v>0</v>
      </c>
      <c r="AS2918">
        <v>0.9803752</v>
      </c>
    </row>
    <row r="2919" spans="1:45" x14ac:dyDescent="0.25">
      <c r="A2919">
        <v>509</v>
      </c>
      <c r="B2919">
        <v>1997</v>
      </c>
      <c r="C2919" s="8">
        <v>0</v>
      </c>
      <c r="D2919">
        <v>0.1269092</v>
      </c>
      <c r="E2919">
        <v>0.56236489999999995</v>
      </c>
      <c r="F2919">
        <v>5.0024600000000002E-2</v>
      </c>
      <c r="G2919">
        <v>4.1654059999999999</v>
      </c>
      <c r="H2919">
        <v>0.33981210000000001</v>
      </c>
      <c r="Q2919" s="10">
        <f t="shared" si="110"/>
        <v>3.9621296823722467E-5</v>
      </c>
      <c r="AI2919">
        <v>5.3069199999999997E-2</v>
      </c>
      <c r="AJ2919">
        <f t="shared" si="109"/>
        <v>5.3069199999999997E-2</v>
      </c>
      <c r="AO2919">
        <v>5.3069199999999997E-2</v>
      </c>
      <c r="AR2919" s="8">
        <v>0</v>
      </c>
      <c r="AS2919">
        <v>2.467692</v>
      </c>
    </row>
    <row r="2920" spans="1:45" x14ac:dyDescent="0.25">
      <c r="A2920">
        <v>509</v>
      </c>
      <c r="B2920">
        <v>1998</v>
      </c>
      <c r="C2920" s="8">
        <v>0</v>
      </c>
      <c r="D2920">
        <v>-0.12133969999999999</v>
      </c>
      <c r="E2920">
        <v>0.55216489999999996</v>
      </c>
      <c r="F2920">
        <v>5.9307400000000003E-2</v>
      </c>
      <c r="G2920">
        <v>3.724091</v>
      </c>
      <c r="H2920">
        <v>0.3504429</v>
      </c>
      <c r="Q2920" s="10">
        <f t="shared" si="110"/>
        <v>6.8505052679162216E-5</v>
      </c>
      <c r="AI2920">
        <v>8.1803399999999998E-2</v>
      </c>
      <c r="AJ2920">
        <f t="shared" si="109"/>
        <v>8.1803399999999998E-2</v>
      </c>
      <c r="AO2920">
        <v>8.1803399999999998E-2</v>
      </c>
      <c r="AR2920" s="8">
        <v>0</v>
      </c>
      <c r="AS2920">
        <v>2.5717919999999999</v>
      </c>
    </row>
    <row r="2921" spans="1:45" x14ac:dyDescent="0.25">
      <c r="A2921">
        <v>509</v>
      </c>
      <c r="B2921">
        <v>1999</v>
      </c>
      <c r="C2921" s="8">
        <v>0</v>
      </c>
      <c r="D2921">
        <v>5.3069199999999997E-2</v>
      </c>
      <c r="E2921">
        <v>0.78125290000000003</v>
      </c>
      <c r="F2921">
        <v>7.0263800000000001E-2</v>
      </c>
      <c r="G2921">
        <v>4.8290819999999997</v>
      </c>
      <c r="H2921">
        <v>0.35120570000000001</v>
      </c>
      <c r="Q2921" s="10">
        <f t="shared" si="110"/>
        <v>8.3150539596264679E-6</v>
      </c>
      <c r="AI2921">
        <v>6.5770300000000004E-2</v>
      </c>
      <c r="AJ2921">
        <f t="shared" si="109"/>
        <v>6.5770300000000004E-2</v>
      </c>
      <c r="AO2921">
        <v>6.5770300000000004E-2</v>
      </c>
      <c r="AR2921" s="8">
        <v>0</v>
      </c>
      <c r="AS2921">
        <v>4.1654059999999999</v>
      </c>
    </row>
    <row r="2922" spans="1:45" x14ac:dyDescent="0.25">
      <c r="A2922">
        <v>509</v>
      </c>
      <c r="B2922">
        <v>2000</v>
      </c>
      <c r="C2922" s="8">
        <v>0</v>
      </c>
      <c r="D2922">
        <v>8.1803399999999998E-2</v>
      </c>
      <c r="E2922">
        <v>0.8054055</v>
      </c>
      <c r="F2922">
        <v>0.10075000000000001</v>
      </c>
      <c r="G2922">
        <v>6.479133</v>
      </c>
      <c r="H2922">
        <v>0.46929890000000002</v>
      </c>
      <c r="Q2922" s="10">
        <f t="shared" si="110"/>
        <v>4.9394875055511084E-7</v>
      </c>
      <c r="AI2922">
        <v>4.9956800000000003E-2</v>
      </c>
      <c r="AJ2922">
        <f t="shared" si="109"/>
        <v>4.9956800000000003E-2</v>
      </c>
      <c r="AO2922">
        <v>4.9956800000000003E-2</v>
      </c>
      <c r="AR2922" s="8">
        <v>0</v>
      </c>
      <c r="AS2922">
        <v>3.724091</v>
      </c>
    </row>
    <row r="2923" spans="1:45" x14ac:dyDescent="0.25">
      <c r="A2923">
        <v>509</v>
      </c>
      <c r="B2923">
        <v>2001</v>
      </c>
      <c r="C2923" s="8">
        <v>0</v>
      </c>
      <c r="D2923">
        <v>6.5770300000000004E-2</v>
      </c>
      <c r="E2923">
        <v>0.50171410000000005</v>
      </c>
      <c r="F2923">
        <v>7.9122300000000007E-2</v>
      </c>
      <c r="G2923">
        <v>6.5529149999999996</v>
      </c>
      <c r="H2923">
        <v>0.3507982</v>
      </c>
      <c r="Q2923" s="10">
        <f t="shared" si="110"/>
        <v>7.494550963054164E-7</v>
      </c>
      <c r="AI2923">
        <v>0.1073972</v>
      </c>
      <c r="AJ2923">
        <f t="shared" si="109"/>
        <v>0.1073972</v>
      </c>
      <c r="AO2923">
        <v>0.1073972</v>
      </c>
      <c r="AR2923" s="8">
        <v>0</v>
      </c>
      <c r="AS2923">
        <v>4.8290819999999997</v>
      </c>
    </row>
    <row r="2924" spans="1:45" x14ac:dyDescent="0.25">
      <c r="A2924">
        <v>509</v>
      </c>
      <c r="B2924">
        <v>2003</v>
      </c>
      <c r="C2924" s="8">
        <v>0</v>
      </c>
      <c r="D2924">
        <v>4.9956800000000003E-2</v>
      </c>
      <c r="E2924">
        <v>0.62580380000000002</v>
      </c>
      <c r="F2924">
        <v>9.0931300000000007E-2</v>
      </c>
      <c r="G2924">
        <v>5.9738610000000003</v>
      </c>
      <c r="H2924">
        <v>0.33558159999999998</v>
      </c>
      <c r="Q2924" s="10">
        <f t="shared" si="110"/>
        <v>1.4098659405215876E-6</v>
      </c>
      <c r="AI2924">
        <v>0.21094969999999999</v>
      </c>
      <c r="AJ2924">
        <f t="shared" si="109"/>
        <v>0.21094969999999999</v>
      </c>
      <c r="AO2924">
        <v>0.21094969999999999</v>
      </c>
      <c r="AR2924" s="8">
        <v>0</v>
      </c>
      <c r="AS2924">
        <v>6.479133</v>
      </c>
    </row>
    <row r="2925" spans="1:45" x14ac:dyDescent="0.25">
      <c r="A2925">
        <v>509</v>
      </c>
      <c r="B2925">
        <v>2004</v>
      </c>
      <c r="C2925" s="8">
        <v>0</v>
      </c>
      <c r="D2925">
        <v>0.1073972</v>
      </c>
      <c r="E2925">
        <v>0.66643379999999997</v>
      </c>
      <c r="F2925">
        <v>8.6019700000000004E-2</v>
      </c>
      <c r="G2925">
        <v>6.1150320000000002</v>
      </c>
      <c r="H2925">
        <v>0.32794089999999998</v>
      </c>
      <c r="Q2925" s="10">
        <f t="shared" si="110"/>
        <v>1.1250244885602013E-6</v>
      </c>
      <c r="AI2925">
        <v>9.6296400000000004E-2</v>
      </c>
      <c r="AJ2925">
        <f t="shared" si="109"/>
        <v>9.6296400000000004E-2</v>
      </c>
      <c r="AO2925">
        <v>9.6296400000000004E-2</v>
      </c>
      <c r="AR2925" s="8">
        <v>0</v>
      </c>
      <c r="AS2925">
        <v>6.5529149999999996</v>
      </c>
    </row>
    <row r="2926" spans="1:45" x14ac:dyDescent="0.25">
      <c r="A2926">
        <v>510</v>
      </c>
      <c r="B2926">
        <v>1995</v>
      </c>
      <c r="C2926" s="8">
        <v>0</v>
      </c>
      <c r="D2926">
        <v>0.21094969999999999</v>
      </c>
      <c r="E2926">
        <v>-0.46342680000000003</v>
      </c>
      <c r="F2926">
        <v>7.4765399999999996E-2</v>
      </c>
      <c r="G2926">
        <v>0.49512119999999998</v>
      </c>
      <c r="H2926">
        <v>0.59917750000000003</v>
      </c>
      <c r="Q2926" s="10">
        <f t="shared" si="110"/>
        <v>5.7433410743698912E-2</v>
      </c>
      <c r="AI2926">
        <v>8.3901100000000006E-2</v>
      </c>
      <c r="AJ2926">
        <f t="shared" si="109"/>
        <v>8.3901100000000006E-2</v>
      </c>
      <c r="AO2926">
        <v>8.3901100000000006E-2</v>
      </c>
      <c r="AR2926" s="8">
        <v>0</v>
      </c>
      <c r="AS2926">
        <v>5.9738610000000003</v>
      </c>
    </row>
    <row r="2927" spans="1:45" x14ac:dyDescent="0.25">
      <c r="A2927">
        <v>510</v>
      </c>
      <c r="B2927">
        <v>1996</v>
      </c>
      <c r="C2927" s="8">
        <v>0</v>
      </c>
      <c r="D2927">
        <v>9.6296400000000004E-2</v>
      </c>
      <c r="E2927">
        <v>-0.80477010000000004</v>
      </c>
      <c r="F2927">
        <v>5.3580599999999999E-2</v>
      </c>
      <c r="G2927">
        <v>0.4066767</v>
      </c>
      <c r="H2927">
        <v>0.71397549999999999</v>
      </c>
      <c r="Q2927" s="10">
        <f t="shared" si="110"/>
        <v>0.12264410780034957</v>
      </c>
      <c r="AI2927">
        <v>0.2395109</v>
      </c>
      <c r="AJ2927">
        <f t="shared" si="109"/>
        <v>0.2395109</v>
      </c>
      <c r="AO2927">
        <v>0.2395109</v>
      </c>
      <c r="AR2927" s="8">
        <v>0</v>
      </c>
      <c r="AS2927">
        <v>6.1150320000000002</v>
      </c>
    </row>
    <row r="2928" spans="1:45" x14ac:dyDescent="0.25">
      <c r="A2928">
        <v>510</v>
      </c>
      <c r="B2928">
        <v>1997</v>
      </c>
      <c r="C2928" s="8">
        <v>0</v>
      </c>
      <c r="D2928">
        <v>8.3901100000000006E-2</v>
      </c>
      <c r="E2928">
        <v>-1.0244059999999999</v>
      </c>
      <c r="F2928">
        <v>7.4526200000000001E-2</v>
      </c>
      <c r="G2928">
        <v>0.18556039999999999</v>
      </c>
      <c r="H2928">
        <v>0.67760739999999997</v>
      </c>
      <c r="Q2928" s="10">
        <f t="shared" si="110"/>
        <v>0.18375354539653047</v>
      </c>
      <c r="AI2928">
        <v>0.22029899999999999</v>
      </c>
      <c r="AJ2928">
        <f t="shared" si="109"/>
        <v>0.22029899999999999</v>
      </c>
      <c r="AO2928">
        <v>0.22029899999999999</v>
      </c>
      <c r="AR2928" s="8">
        <v>0</v>
      </c>
      <c r="AS2928">
        <v>0.49512119999999998</v>
      </c>
    </row>
    <row r="2929" spans="1:45" x14ac:dyDescent="0.25">
      <c r="A2929">
        <v>511</v>
      </c>
      <c r="B2929">
        <v>2002</v>
      </c>
      <c r="C2929" s="8">
        <v>0</v>
      </c>
      <c r="D2929">
        <v>0.2395109</v>
      </c>
      <c r="E2929">
        <v>0.2810802</v>
      </c>
      <c r="F2929">
        <v>5.6000099999999997E-2</v>
      </c>
      <c r="G2929">
        <v>0.65496529999999997</v>
      </c>
      <c r="H2929">
        <v>0.2275498</v>
      </c>
      <c r="Q2929" s="10">
        <f t="shared" si="110"/>
        <v>1.4721713576032814E-2</v>
      </c>
      <c r="AI2929">
        <v>0.26157999999999998</v>
      </c>
      <c r="AJ2929">
        <f t="shared" si="109"/>
        <v>0.26157999999999998</v>
      </c>
      <c r="AO2929">
        <v>0.26157999999999998</v>
      </c>
      <c r="AR2929" s="8">
        <v>0</v>
      </c>
      <c r="AS2929">
        <v>0.4066767</v>
      </c>
    </row>
    <row r="2930" spans="1:45" x14ac:dyDescent="0.25">
      <c r="A2930">
        <v>511</v>
      </c>
      <c r="B2930">
        <v>2003</v>
      </c>
      <c r="C2930" s="8">
        <v>0</v>
      </c>
      <c r="D2930">
        <v>0.22029899999999999</v>
      </c>
      <c r="E2930">
        <v>0.28352759999999999</v>
      </c>
      <c r="F2930">
        <v>4.3788599999999997E-2</v>
      </c>
      <c r="G2930">
        <v>0.54332139999999995</v>
      </c>
      <c r="H2930">
        <v>0.20013839999999999</v>
      </c>
      <c r="Q2930" s="10">
        <f t="shared" si="110"/>
        <v>1.8770639732693221E-2</v>
      </c>
      <c r="AI2930">
        <v>0.1175322</v>
      </c>
      <c r="AJ2930">
        <f t="shared" si="109"/>
        <v>0.1175322</v>
      </c>
      <c r="AO2930">
        <v>0.1175322</v>
      </c>
      <c r="AR2930" s="8">
        <v>0</v>
      </c>
      <c r="AS2930">
        <v>0.18556039999999999</v>
      </c>
    </row>
    <row r="2931" spans="1:45" x14ac:dyDescent="0.25">
      <c r="A2931">
        <v>511</v>
      </c>
      <c r="B2931">
        <v>2004</v>
      </c>
      <c r="C2931" s="8">
        <v>0</v>
      </c>
      <c r="D2931">
        <v>0.26157999999999998</v>
      </c>
      <c r="E2931">
        <v>0.2748004</v>
      </c>
      <c r="F2931">
        <v>3.8847600000000003E-2</v>
      </c>
      <c r="G2931">
        <v>0.51609369999999999</v>
      </c>
      <c r="H2931">
        <v>0.21653600000000001</v>
      </c>
      <c r="Q2931" s="10">
        <f t="shared" si="110"/>
        <v>2.1172733729421092E-2</v>
      </c>
      <c r="AI2931">
        <v>8.3185700000000001E-2</v>
      </c>
      <c r="AJ2931">
        <f t="shared" si="109"/>
        <v>8.3185700000000001E-2</v>
      </c>
      <c r="AO2931">
        <v>8.3185700000000001E-2</v>
      </c>
      <c r="AR2931" s="8">
        <v>0</v>
      </c>
      <c r="AS2931">
        <v>0.65496529999999997</v>
      </c>
    </row>
    <row r="2932" spans="1:45" x14ac:dyDescent="0.25">
      <c r="A2932">
        <v>512</v>
      </c>
      <c r="B2932">
        <v>1995</v>
      </c>
      <c r="C2932" s="8">
        <v>0</v>
      </c>
      <c r="D2932">
        <v>0.1175322</v>
      </c>
      <c r="E2932">
        <v>0.57557789999999998</v>
      </c>
      <c r="F2932">
        <v>8.8684700000000005E-2</v>
      </c>
      <c r="G2932">
        <v>5.5771949999999997</v>
      </c>
      <c r="H2932">
        <v>0.24915780000000001</v>
      </c>
      <c r="Q2932" s="10">
        <f t="shared" si="110"/>
        <v>2.8322239392443257E-6</v>
      </c>
      <c r="AI2932">
        <v>0.13573950000000001</v>
      </c>
      <c r="AJ2932">
        <f t="shared" si="109"/>
        <v>0.13573950000000001</v>
      </c>
      <c r="AO2932">
        <v>0.13573950000000001</v>
      </c>
      <c r="AR2932" s="8">
        <v>0</v>
      </c>
      <c r="AS2932">
        <v>0.54332139999999995</v>
      </c>
    </row>
    <row r="2933" spans="1:45" x14ac:dyDescent="0.25">
      <c r="A2933">
        <v>512</v>
      </c>
      <c r="B2933">
        <v>1996</v>
      </c>
      <c r="C2933" s="8">
        <v>0</v>
      </c>
      <c r="D2933">
        <v>8.3185700000000001E-2</v>
      </c>
      <c r="E2933">
        <v>0.5841092</v>
      </c>
      <c r="F2933">
        <v>8.9909000000000003E-2</v>
      </c>
      <c r="G2933">
        <v>6.970256</v>
      </c>
      <c r="H2933">
        <v>0.25032529999999997</v>
      </c>
      <c r="Q2933" s="10">
        <f t="shared" si="110"/>
        <v>2.9682380722291856E-7</v>
      </c>
      <c r="AI2933">
        <v>0.1740525</v>
      </c>
      <c r="AJ2933">
        <f t="shared" si="109"/>
        <v>0.1740525</v>
      </c>
      <c r="AO2933">
        <v>0.1740525</v>
      </c>
      <c r="AR2933" s="8">
        <v>0</v>
      </c>
      <c r="AS2933">
        <v>0.51609369999999999</v>
      </c>
    </row>
    <row r="2934" spans="1:45" x14ac:dyDescent="0.25">
      <c r="A2934">
        <v>512</v>
      </c>
      <c r="B2934">
        <v>1997</v>
      </c>
      <c r="C2934" s="8">
        <v>0</v>
      </c>
      <c r="D2934">
        <v>0.13573950000000001</v>
      </c>
      <c r="E2934">
        <v>0.63183920000000005</v>
      </c>
      <c r="F2934">
        <v>8.1319699999999995E-2</v>
      </c>
      <c r="G2934">
        <v>13.06629</v>
      </c>
      <c r="H2934">
        <v>0.23695920000000001</v>
      </c>
      <c r="Q2934" s="10">
        <f t="shared" si="110"/>
        <v>1.8157622888388058E-11</v>
      </c>
      <c r="AI2934">
        <v>0.13769239999999999</v>
      </c>
      <c r="AJ2934">
        <f t="shared" si="109"/>
        <v>0.13769239999999999</v>
      </c>
      <c r="AO2934">
        <v>0.13769239999999999</v>
      </c>
      <c r="AR2934" s="8">
        <v>0</v>
      </c>
      <c r="AS2934">
        <v>5.5771949999999997</v>
      </c>
    </row>
    <row r="2935" spans="1:45" x14ac:dyDescent="0.25">
      <c r="A2935">
        <v>512</v>
      </c>
      <c r="B2935">
        <v>1998</v>
      </c>
      <c r="C2935" s="8">
        <v>0</v>
      </c>
      <c r="D2935">
        <v>0.1740525</v>
      </c>
      <c r="E2935">
        <v>0.64163800000000004</v>
      </c>
      <c r="F2935">
        <v>8.4804199999999996E-2</v>
      </c>
      <c r="G2935">
        <v>17.12415</v>
      </c>
      <c r="H2935">
        <v>0.2303374</v>
      </c>
      <c r="Q2935" s="10">
        <f t="shared" si="110"/>
        <v>2.7382830188935226E-14</v>
      </c>
      <c r="AI2935">
        <v>0.17898359999999999</v>
      </c>
      <c r="AJ2935">
        <f t="shared" si="109"/>
        <v>0.17898359999999999</v>
      </c>
      <c r="AO2935">
        <v>0.17898359999999999</v>
      </c>
      <c r="AR2935" s="8">
        <v>0</v>
      </c>
      <c r="AS2935">
        <v>6.970256</v>
      </c>
    </row>
    <row r="2936" spans="1:45" x14ac:dyDescent="0.25">
      <c r="A2936">
        <v>512</v>
      </c>
      <c r="B2936">
        <v>1999</v>
      </c>
      <c r="C2936" s="8">
        <v>0</v>
      </c>
      <c r="D2936">
        <v>0.13769239999999999</v>
      </c>
      <c r="E2936">
        <v>0.66951119999999997</v>
      </c>
      <c r="F2936">
        <v>0.12585360000000001</v>
      </c>
      <c r="G2936">
        <v>10.77158</v>
      </c>
      <c r="H2936">
        <v>0.40687190000000001</v>
      </c>
      <c r="Q2936" s="10">
        <f t="shared" si="110"/>
        <v>5.1854641968655212E-10</v>
      </c>
      <c r="AI2936">
        <v>0.1576079</v>
      </c>
      <c r="AJ2936">
        <f t="shared" si="109"/>
        <v>0.1576079</v>
      </c>
      <c r="AO2936">
        <v>0.1576079</v>
      </c>
      <c r="AR2936" s="8">
        <v>0</v>
      </c>
      <c r="AS2936">
        <v>13.06629</v>
      </c>
    </row>
    <row r="2937" spans="1:45" x14ac:dyDescent="0.25">
      <c r="A2937">
        <v>512</v>
      </c>
      <c r="B2937">
        <v>2000</v>
      </c>
      <c r="C2937" s="8">
        <v>0</v>
      </c>
      <c r="D2937">
        <v>0.17898359999999999</v>
      </c>
      <c r="E2937">
        <v>0.55915930000000003</v>
      </c>
      <c r="F2937">
        <v>0.1018922</v>
      </c>
      <c r="G2937">
        <v>16.67388</v>
      </c>
      <c r="H2937">
        <v>0.28188570000000002</v>
      </c>
      <c r="Q2937" s="10">
        <f t="shared" si="110"/>
        <v>5.7093519770455774E-14</v>
      </c>
      <c r="AI2937">
        <v>0.1605596</v>
      </c>
      <c r="AJ2937">
        <f t="shared" si="109"/>
        <v>0.1605596</v>
      </c>
      <c r="AO2937">
        <v>0.1605596</v>
      </c>
      <c r="AR2937" s="8">
        <v>0</v>
      </c>
      <c r="AS2937">
        <v>17.12415</v>
      </c>
    </row>
    <row r="2938" spans="1:45" x14ac:dyDescent="0.25">
      <c r="A2938">
        <v>512</v>
      </c>
      <c r="B2938">
        <v>2001</v>
      </c>
      <c r="C2938" s="8">
        <v>0</v>
      </c>
      <c r="D2938">
        <v>0.1576079</v>
      </c>
      <c r="E2938">
        <v>0.6121316</v>
      </c>
      <c r="F2938">
        <v>0.1040456</v>
      </c>
      <c r="G2938">
        <v>12.05288</v>
      </c>
      <c r="H2938">
        <v>0.2290469</v>
      </c>
      <c r="Q2938" s="10">
        <f t="shared" si="110"/>
        <v>7.8655922186248337E-11</v>
      </c>
      <c r="AI2938">
        <v>7.5074399999999999E-2</v>
      </c>
      <c r="AJ2938">
        <f t="shared" si="109"/>
        <v>7.5074399999999999E-2</v>
      </c>
      <c r="AO2938">
        <v>7.5074399999999999E-2</v>
      </c>
      <c r="AR2938" s="8">
        <v>0</v>
      </c>
      <c r="AS2938">
        <v>10.77158</v>
      </c>
    </row>
    <row r="2939" spans="1:45" x14ac:dyDescent="0.25">
      <c r="A2939">
        <v>512</v>
      </c>
      <c r="B2939">
        <v>2002</v>
      </c>
      <c r="C2939" s="8">
        <v>0</v>
      </c>
      <c r="D2939">
        <v>0.1605596</v>
      </c>
      <c r="E2939">
        <v>0.65037789999999995</v>
      </c>
      <c r="F2939">
        <v>0.112193</v>
      </c>
      <c r="G2939">
        <v>7.1677710000000001</v>
      </c>
      <c r="H2939">
        <v>0.23428389999999999</v>
      </c>
      <c r="Q2939" s="10">
        <f t="shared" si="110"/>
        <v>1.683247398029627E-7</v>
      </c>
      <c r="AI2939">
        <v>0.1354542</v>
      </c>
      <c r="AJ2939">
        <f t="shared" si="109"/>
        <v>0.1354542</v>
      </c>
      <c r="AO2939">
        <v>0.1354542</v>
      </c>
      <c r="AR2939" s="8">
        <v>0</v>
      </c>
      <c r="AS2939">
        <v>16.67388</v>
      </c>
    </row>
    <row r="2940" spans="1:45" x14ac:dyDescent="0.25">
      <c r="A2940">
        <v>512</v>
      </c>
      <c r="B2940">
        <v>2003</v>
      </c>
      <c r="C2940" s="8">
        <v>0</v>
      </c>
      <c r="D2940">
        <v>7.5074399999999999E-2</v>
      </c>
      <c r="E2940">
        <v>0.28512379999999998</v>
      </c>
      <c r="F2940">
        <v>4.5853999999999999E-2</v>
      </c>
      <c r="G2940">
        <v>5.2845680000000002</v>
      </c>
      <c r="H2940">
        <v>0.1620259</v>
      </c>
      <c r="Q2940" s="10">
        <f t="shared" si="110"/>
        <v>9.0315554645984087E-6</v>
      </c>
      <c r="AI2940">
        <v>0.22749659999999999</v>
      </c>
      <c r="AJ2940">
        <f t="shared" si="109"/>
        <v>0.22749659999999999</v>
      </c>
      <c r="AO2940">
        <v>0.22749659999999999</v>
      </c>
      <c r="AR2940" s="8">
        <v>0</v>
      </c>
      <c r="AS2940">
        <v>12.05288</v>
      </c>
    </row>
    <row r="2941" spans="1:45" x14ac:dyDescent="0.25">
      <c r="A2941">
        <v>512</v>
      </c>
      <c r="B2941">
        <v>2004</v>
      </c>
      <c r="C2941" s="8">
        <v>0</v>
      </c>
      <c r="D2941">
        <v>0.1354542</v>
      </c>
      <c r="E2941">
        <v>0.32737749999999999</v>
      </c>
      <c r="F2941">
        <v>6.9381499999999999E-2</v>
      </c>
      <c r="G2941">
        <v>3.6836820000000001</v>
      </c>
      <c r="H2941">
        <v>0.1590656</v>
      </c>
      <c r="Q2941" s="10">
        <f t="shared" si="110"/>
        <v>9.2328679603248352E-5</v>
      </c>
      <c r="AI2941">
        <v>0.16765630000000001</v>
      </c>
      <c r="AJ2941">
        <f t="shared" si="109"/>
        <v>0.16765630000000001</v>
      </c>
      <c r="AO2941">
        <v>0.16765630000000001</v>
      </c>
      <c r="AR2941" s="8">
        <v>0</v>
      </c>
      <c r="AS2941">
        <v>7.1677710000000001</v>
      </c>
    </row>
    <row r="2942" spans="1:45" x14ac:dyDescent="0.25">
      <c r="A2942">
        <v>513</v>
      </c>
      <c r="B2942">
        <v>1995</v>
      </c>
      <c r="C2942" s="8">
        <v>0</v>
      </c>
      <c r="D2942">
        <v>0.22749659999999999</v>
      </c>
      <c r="E2942">
        <v>0.51594249999999997</v>
      </c>
      <c r="F2942">
        <v>8.5109199999999996E-2</v>
      </c>
      <c r="G2942">
        <v>2.2071290000000001</v>
      </c>
      <c r="H2942">
        <v>0.26772390000000001</v>
      </c>
      <c r="Q2942" s="10">
        <f t="shared" si="110"/>
        <v>7.2288180858195354E-4</v>
      </c>
      <c r="AI2942">
        <v>9.1721999999999998E-2</v>
      </c>
      <c r="AJ2942">
        <f t="shared" si="109"/>
        <v>9.1721999999999998E-2</v>
      </c>
      <c r="AO2942">
        <v>9.1721999999999998E-2</v>
      </c>
      <c r="AR2942" s="8">
        <v>0</v>
      </c>
      <c r="AS2942">
        <v>5.2845680000000002</v>
      </c>
    </row>
    <row r="2943" spans="1:45" x14ac:dyDescent="0.25">
      <c r="A2943">
        <v>513</v>
      </c>
      <c r="B2943">
        <v>1996</v>
      </c>
      <c r="C2943" s="8">
        <v>0</v>
      </c>
      <c r="D2943">
        <v>0.16765630000000001</v>
      </c>
      <c r="E2943">
        <v>0.51564759999999998</v>
      </c>
      <c r="F2943">
        <v>7.77944E-2</v>
      </c>
      <c r="G2943">
        <v>2.148542</v>
      </c>
      <c r="H2943">
        <v>0.23700940000000001</v>
      </c>
      <c r="Q2943" s="10">
        <f t="shared" si="110"/>
        <v>8.0563859560614645E-4</v>
      </c>
      <c r="AI2943">
        <v>8.8458099999999998E-2</v>
      </c>
      <c r="AJ2943">
        <f t="shared" si="109"/>
        <v>8.8458099999999998E-2</v>
      </c>
      <c r="AO2943">
        <v>8.8458099999999998E-2</v>
      </c>
      <c r="AR2943" s="8">
        <v>0</v>
      </c>
      <c r="AS2943">
        <v>3.6836820000000001</v>
      </c>
    </row>
    <row r="2944" spans="1:45" x14ac:dyDescent="0.25">
      <c r="A2944">
        <v>513</v>
      </c>
      <c r="B2944">
        <v>1997</v>
      </c>
      <c r="C2944" s="8">
        <v>0</v>
      </c>
      <c r="D2944">
        <v>9.1721999999999998E-2</v>
      </c>
      <c r="E2944">
        <v>0.46357179999999998</v>
      </c>
      <c r="F2944">
        <v>5.83054E-2</v>
      </c>
      <c r="G2944">
        <v>1.520618</v>
      </c>
      <c r="H2944">
        <v>0.20217769999999999</v>
      </c>
      <c r="Q2944" s="10">
        <f t="shared" si="110"/>
        <v>2.6150515550053951E-3</v>
      </c>
      <c r="AI2944">
        <v>4.6462999999999997E-2</v>
      </c>
      <c r="AJ2944">
        <f t="shared" si="109"/>
        <v>4.6462999999999997E-2</v>
      </c>
      <c r="AO2944">
        <v>4.6462999999999997E-2</v>
      </c>
      <c r="AR2944" s="8">
        <v>0</v>
      </c>
      <c r="AS2944">
        <v>2.2071290000000001</v>
      </c>
    </row>
    <row r="2945" spans="1:45" x14ac:dyDescent="0.25">
      <c r="A2945">
        <v>513</v>
      </c>
      <c r="B2945">
        <v>1998</v>
      </c>
      <c r="C2945" s="8">
        <v>0</v>
      </c>
      <c r="D2945">
        <v>8.8458099999999998E-2</v>
      </c>
      <c r="E2945">
        <v>0.47214929999999999</v>
      </c>
      <c r="F2945">
        <v>2.5732499999999998E-2</v>
      </c>
      <c r="G2945">
        <v>1.237098</v>
      </c>
      <c r="H2945">
        <v>0.17295469999999999</v>
      </c>
      <c r="Q2945" s="10">
        <f t="shared" si="110"/>
        <v>5.1509026288174362E-3</v>
      </c>
      <c r="AI2945">
        <v>4.7779599999999998E-2</v>
      </c>
      <c r="AJ2945">
        <f t="shared" si="109"/>
        <v>4.7779599999999998E-2</v>
      </c>
      <c r="AO2945">
        <v>4.7779599999999998E-2</v>
      </c>
      <c r="AR2945" s="8">
        <v>0</v>
      </c>
      <c r="AS2945">
        <v>2.148542</v>
      </c>
    </row>
    <row r="2946" spans="1:45" x14ac:dyDescent="0.25">
      <c r="A2946">
        <v>513</v>
      </c>
      <c r="B2946">
        <v>1999</v>
      </c>
      <c r="C2946" s="8">
        <v>0</v>
      </c>
      <c r="D2946">
        <v>4.6462999999999997E-2</v>
      </c>
      <c r="E2946">
        <v>0.23798459999999999</v>
      </c>
      <c r="F2946">
        <v>3.9110399999999997E-2</v>
      </c>
      <c r="G2946">
        <v>1.0582530000000001</v>
      </c>
      <c r="H2946">
        <v>0.14097519999999999</v>
      </c>
      <c r="Q2946" s="10">
        <f t="shared" si="110"/>
        <v>8.3082450102088482E-3</v>
      </c>
      <c r="AI2946">
        <v>8.4611900000000004E-2</v>
      </c>
      <c r="AJ2946">
        <f t="shared" si="109"/>
        <v>8.4611900000000004E-2</v>
      </c>
      <c r="AO2946">
        <v>8.4611900000000004E-2</v>
      </c>
      <c r="AR2946" s="8">
        <v>0</v>
      </c>
      <c r="AS2946">
        <v>1.520618</v>
      </c>
    </row>
    <row r="2947" spans="1:45" x14ac:dyDescent="0.25">
      <c r="A2947">
        <v>513</v>
      </c>
      <c r="B2947">
        <v>2000</v>
      </c>
      <c r="C2947" s="8">
        <v>0</v>
      </c>
      <c r="D2947">
        <v>4.7779599999999998E-2</v>
      </c>
      <c r="E2947">
        <v>0.2245848</v>
      </c>
      <c r="F2947">
        <v>2.6497799999999998E-2</v>
      </c>
      <c r="G2947">
        <v>0.96887489999999998</v>
      </c>
      <c r="H2947">
        <v>0.17117060000000001</v>
      </c>
      <c r="Q2947" s="10">
        <f t="shared" si="110"/>
        <v>1.09858486946551E-2</v>
      </c>
      <c r="AI2947">
        <v>0.1118079</v>
      </c>
      <c r="AJ2947">
        <f t="shared" si="109"/>
        <v>0.1118079</v>
      </c>
      <c r="AO2947">
        <v>0.1118079</v>
      </c>
      <c r="AR2947" s="8">
        <v>0</v>
      </c>
      <c r="AS2947">
        <v>1.237098</v>
      </c>
    </row>
    <row r="2948" spans="1:45" x14ac:dyDescent="0.25">
      <c r="A2948">
        <v>513</v>
      </c>
      <c r="B2948">
        <v>2001</v>
      </c>
      <c r="C2948" s="8">
        <v>0</v>
      </c>
      <c r="D2948">
        <v>8.4611900000000004E-2</v>
      </c>
      <c r="E2948">
        <v>0.1990295</v>
      </c>
      <c r="F2948">
        <v>4.8365400000000003E-2</v>
      </c>
      <c r="G2948">
        <v>0.54852999999999996</v>
      </c>
      <c r="H2948">
        <v>0.1488756</v>
      </c>
      <c r="Q2948" s="10">
        <f t="shared" si="110"/>
        <v>1.8586518303285463E-2</v>
      </c>
      <c r="AI2948">
        <v>0.1416684</v>
      </c>
      <c r="AJ2948">
        <f t="shared" si="109"/>
        <v>0.1416684</v>
      </c>
      <c r="AO2948">
        <v>0.1416684</v>
      </c>
      <c r="AR2948" s="8">
        <v>0</v>
      </c>
      <c r="AS2948">
        <v>1.0582530000000001</v>
      </c>
    </row>
    <row r="2949" spans="1:45" x14ac:dyDescent="0.25">
      <c r="A2949">
        <v>513</v>
      </c>
      <c r="B2949">
        <v>2002</v>
      </c>
      <c r="C2949" s="8">
        <v>0</v>
      </c>
      <c r="D2949">
        <v>0.1118079</v>
      </c>
      <c r="E2949">
        <v>0.13663459999999999</v>
      </c>
      <c r="F2949">
        <v>2.88921E-2</v>
      </c>
      <c r="G2949">
        <v>0.71160630000000002</v>
      </c>
      <c r="H2949">
        <v>0.16983760000000001</v>
      </c>
      <c r="Q2949" s="10">
        <f t="shared" si="110"/>
        <v>1.8785923744197266E-2</v>
      </c>
      <c r="AI2949">
        <v>0.19737270000000001</v>
      </c>
      <c r="AJ2949">
        <f t="shared" ref="AJ2949:AJ3012" si="111">MAX(MIN(AI2949,AM$5),AM$4)</f>
        <v>0.19737270000000001</v>
      </c>
      <c r="AO2949">
        <v>0.19737270000000001</v>
      </c>
      <c r="AR2949" s="8">
        <v>0</v>
      </c>
      <c r="AS2949">
        <v>0.96887489999999998</v>
      </c>
    </row>
    <row r="2950" spans="1:45" x14ac:dyDescent="0.25">
      <c r="A2950">
        <v>513</v>
      </c>
      <c r="B2950">
        <v>2003</v>
      </c>
      <c r="C2950" s="8">
        <v>0</v>
      </c>
      <c r="D2950">
        <v>0.1416684</v>
      </c>
      <c r="E2950">
        <v>0.14516409999999999</v>
      </c>
      <c r="F2950">
        <v>6.2881199999999998E-2</v>
      </c>
      <c r="G2950">
        <v>1.649713</v>
      </c>
      <c r="H2950">
        <v>0.18980739999999999</v>
      </c>
      <c r="Q2950" s="10">
        <f t="shared" si="110"/>
        <v>3.3011512428550069E-3</v>
      </c>
      <c r="AI2950">
        <v>1.67952E-2</v>
      </c>
      <c r="AJ2950">
        <f t="shared" si="111"/>
        <v>1.67952E-2</v>
      </c>
      <c r="AO2950">
        <v>1.67952E-2</v>
      </c>
      <c r="AR2950" s="8">
        <v>0</v>
      </c>
      <c r="AS2950">
        <v>0.54852999999999996</v>
      </c>
    </row>
    <row r="2951" spans="1:45" x14ac:dyDescent="0.25">
      <c r="A2951">
        <v>513</v>
      </c>
      <c r="B2951">
        <v>2004</v>
      </c>
      <c r="C2951" s="8">
        <v>0</v>
      </c>
      <c r="D2951">
        <v>0.19737270000000001</v>
      </c>
      <c r="E2951">
        <v>0.25238630000000001</v>
      </c>
      <c r="F2951">
        <v>9.0243199999999996E-2</v>
      </c>
      <c r="G2951">
        <v>2.2440980000000001</v>
      </c>
      <c r="H2951">
        <v>0.26364880000000002</v>
      </c>
      <c r="Q2951" s="10">
        <f t="shared" ref="Q2951:Q3014" si="112">1/(1+EXP(-(J$6+SUMPRODUCT(K$6:O$6,D2951:H2951))))</f>
        <v>9.4506166649477058E-4</v>
      </c>
      <c r="AI2951">
        <v>-2.9445999999999999E-3</v>
      </c>
      <c r="AJ2951">
        <f t="shared" si="111"/>
        <v>-2.9445999999999999E-3</v>
      </c>
      <c r="AO2951">
        <v>-2.9445999999999999E-3</v>
      </c>
      <c r="AR2951" s="8">
        <v>0</v>
      </c>
      <c r="AS2951">
        <v>0.71160630000000002</v>
      </c>
    </row>
    <row r="2952" spans="1:45" x14ac:dyDescent="0.25">
      <c r="A2952">
        <v>514</v>
      </c>
      <c r="B2952">
        <v>2000</v>
      </c>
      <c r="C2952" s="8">
        <v>0</v>
      </c>
      <c r="D2952">
        <v>1.67952E-2</v>
      </c>
      <c r="E2952">
        <v>3.37603E-2</v>
      </c>
      <c r="F2952">
        <v>4.5730800000000002E-2</v>
      </c>
      <c r="G2952">
        <v>0.85800869999999996</v>
      </c>
      <c r="H2952">
        <v>0.12587409999999999</v>
      </c>
      <c r="Q2952" s="10">
        <f t="shared" si="112"/>
        <v>1.4192897645573306E-2</v>
      </c>
      <c r="AI2952">
        <v>-2.9298999999999999E-2</v>
      </c>
      <c r="AJ2952">
        <f t="shared" si="111"/>
        <v>-2.9298999999999999E-2</v>
      </c>
      <c r="AO2952">
        <v>-2.9298999999999999E-2</v>
      </c>
      <c r="AR2952" s="8">
        <v>0</v>
      </c>
      <c r="AS2952">
        <v>1.649713</v>
      </c>
    </row>
    <row r="2953" spans="1:45" x14ac:dyDescent="0.25">
      <c r="A2953">
        <v>514</v>
      </c>
      <c r="B2953">
        <v>2001</v>
      </c>
      <c r="C2953" s="8">
        <v>0</v>
      </c>
      <c r="D2953">
        <v>-2.9445999999999999E-3</v>
      </c>
      <c r="E2953">
        <v>5.1396600000000001E-2</v>
      </c>
      <c r="F2953">
        <v>2.9228500000000001E-2</v>
      </c>
      <c r="G2953">
        <v>0.6116374</v>
      </c>
      <c r="H2953">
        <v>0.1152541</v>
      </c>
      <c r="Q2953" s="10">
        <f t="shared" si="112"/>
        <v>2.2831781959965335E-2</v>
      </c>
      <c r="AI2953">
        <v>-4.4558999999999996E-3</v>
      </c>
      <c r="AJ2953">
        <f t="shared" si="111"/>
        <v>-4.4558999999999996E-3</v>
      </c>
      <c r="AO2953">
        <v>-4.4558999999999996E-3</v>
      </c>
      <c r="AR2953" s="8">
        <v>0</v>
      </c>
      <c r="AS2953">
        <v>2.2440980000000001</v>
      </c>
    </row>
    <row r="2954" spans="1:45" x14ac:dyDescent="0.25">
      <c r="A2954">
        <v>514</v>
      </c>
      <c r="B2954">
        <v>2002</v>
      </c>
      <c r="C2954" s="8">
        <v>0</v>
      </c>
      <c r="D2954">
        <v>-2.9298999999999999E-2</v>
      </c>
      <c r="E2954">
        <v>3.7110400000000002E-2</v>
      </c>
      <c r="F2954">
        <v>3.9970400000000003E-2</v>
      </c>
      <c r="G2954">
        <v>0.60527399999999998</v>
      </c>
      <c r="H2954">
        <v>0.12429220000000001</v>
      </c>
      <c r="Q2954" s="10">
        <f t="shared" si="112"/>
        <v>2.1523797050583542E-2</v>
      </c>
      <c r="AI2954">
        <v>1.09027E-2</v>
      </c>
      <c r="AJ2954">
        <f t="shared" si="111"/>
        <v>1.09027E-2</v>
      </c>
      <c r="AO2954">
        <v>1.09027E-2</v>
      </c>
      <c r="AR2954" s="8">
        <v>0</v>
      </c>
      <c r="AS2954">
        <v>0.85800869999999996</v>
      </c>
    </row>
    <row r="2955" spans="1:45" x14ac:dyDescent="0.25">
      <c r="A2955">
        <v>514</v>
      </c>
      <c r="B2955">
        <v>2003</v>
      </c>
      <c r="C2955" s="8">
        <v>0</v>
      </c>
      <c r="D2955">
        <v>-4.4558999999999996E-3</v>
      </c>
      <c r="E2955">
        <v>6.4236600000000005E-2</v>
      </c>
      <c r="F2955">
        <v>5.1058699999999999E-2</v>
      </c>
      <c r="G2955">
        <v>0.6827664</v>
      </c>
      <c r="H2955">
        <v>0.1139854</v>
      </c>
      <c r="Q2955" s="10">
        <f t="shared" si="112"/>
        <v>1.6880704056562786E-2</v>
      </c>
      <c r="AI2955">
        <v>-5.5183000000000003E-3</v>
      </c>
      <c r="AJ2955">
        <f t="shared" si="111"/>
        <v>-5.5183000000000003E-3</v>
      </c>
      <c r="AO2955">
        <v>-5.5183000000000003E-3</v>
      </c>
      <c r="AR2955" s="8">
        <v>0</v>
      </c>
      <c r="AS2955">
        <v>0.6116374</v>
      </c>
    </row>
    <row r="2956" spans="1:45" x14ac:dyDescent="0.25">
      <c r="A2956">
        <v>514</v>
      </c>
      <c r="B2956">
        <v>2004</v>
      </c>
      <c r="C2956" s="8">
        <v>0</v>
      </c>
      <c r="D2956">
        <v>1.09027E-2</v>
      </c>
      <c r="E2956">
        <v>7.2898099999999993E-2</v>
      </c>
      <c r="F2956">
        <v>3.07073E-2</v>
      </c>
      <c r="G2956">
        <v>0.91868249999999996</v>
      </c>
      <c r="H2956">
        <v>0.1010592</v>
      </c>
      <c r="Q2956" s="10">
        <f t="shared" si="112"/>
        <v>1.3493499462880009E-2</v>
      </c>
      <c r="AI2956">
        <v>4.3090000000000001E-4</v>
      </c>
      <c r="AJ2956">
        <f t="shared" si="111"/>
        <v>4.3090000000000001E-4</v>
      </c>
      <c r="AO2956">
        <v>4.3090000000000001E-4</v>
      </c>
      <c r="AR2956" s="8">
        <v>0</v>
      </c>
      <c r="AS2956">
        <v>0.60527399999999998</v>
      </c>
    </row>
    <row r="2957" spans="1:45" x14ac:dyDescent="0.25">
      <c r="A2957">
        <v>515</v>
      </c>
      <c r="B2957">
        <v>1995</v>
      </c>
      <c r="C2957" s="8">
        <v>0</v>
      </c>
      <c r="D2957">
        <v>-5.5183000000000003E-3</v>
      </c>
      <c r="E2957">
        <v>0.1026589</v>
      </c>
      <c r="F2957">
        <v>5.2058899999999998E-2</v>
      </c>
      <c r="G2957">
        <v>0.73564130000000005</v>
      </c>
      <c r="H2957">
        <v>8.0764900000000001E-2</v>
      </c>
      <c r="Q2957" s="10">
        <f t="shared" si="112"/>
        <v>1.4291220310992352E-2</v>
      </c>
      <c r="AI2957">
        <v>-4.8530999999999999E-3</v>
      </c>
      <c r="AJ2957">
        <f t="shared" si="111"/>
        <v>-4.8530999999999999E-3</v>
      </c>
      <c r="AO2957">
        <v>-4.8530999999999999E-3</v>
      </c>
      <c r="AR2957" s="8">
        <v>0</v>
      </c>
      <c r="AS2957">
        <v>0.6827664</v>
      </c>
    </row>
    <row r="2958" spans="1:45" x14ac:dyDescent="0.25">
      <c r="A2958">
        <v>515</v>
      </c>
      <c r="B2958">
        <v>1996</v>
      </c>
      <c r="C2958" s="8">
        <v>0</v>
      </c>
      <c r="D2958">
        <v>4.3090000000000001E-4</v>
      </c>
      <c r="E2958">
        <v>0.1121973</v>
      </c>
      <c r="F2958">
        <v>5.4764E-2</v>
      </c>
      <c r="G2958">
        <v>0.97578719999999997</v>
      </c>
      <c r="H2958">
        <v>8.0954799999999993E-2</v>
      </c>
      <c r="Q2958" s="10">
        <f t="shared" si="112"/>
        <v>9.4772844462855197E-3</v>
      </c>
      <c r="AI2958">
        <v>7.7103000000000005E-2</v>
      </c>
      <c r="AJ2958">
        <f t="shared" si="111"/>
        <v>7.7103000000000005E-2</v>
      </c>
      <c r="AO2958">
        <v>7.7103000000000005E-2</v>
      </c>
      <c r="AR2958" s="8">
        <v>0</v>
      </c>
      <c r="AS2958">
        <v>0.91868249999999996</v>
      </c>
    </row>
    <row r="2959" spans="1:45" x14ac:dyDescent="0.25">
      <c r="A2959">
        <v>515</v>
      </c>
      <c r="B2959">
        <v>1997</v>
      </c>
      <c r="C2959" s="8">
        <v>0</v>
      </c>
      <c r="D2959">
        <v>-4.8530999999999999E-3</v>
      </c>
      <c r="E2959">
        <v>0.1146027</v>
      </c>
      <c r="F2959">
        <v>4.7222300000000002E-2</v>
      </c>
      <c r="G2959">
        <v>1.3978330000000001</v>
      </c>
      <c r="H2959">
        <v>8.9884099999999995E-2</v>
      </c>
      <c r="Q2959" s="10">
        <f t="shared" si="112"/>
        <v>5.1595567148696158E-3</v>
      </c>
      <c r="AI2959">
        <v>7.4228600000000006E-2</v>
      </c>
      <c r="AJ2959">
        <f t="shared" si="111"/>
        <v>7.4228600000000006E-2</v>
      </c>
      <c r="AO2959">
        <v>7.4228600000000006E-2</v>
      </c>
      <c r="AR2959" s="8">
        <v>0</v>
      </c>
      <c r="AS2959">
        <v>0.73564130000000005</v>
      </c>
    </row>
    <row r="2960" spans="1:45" x14ac:dyDescent="0.25">
      <c r="A2960">
        <v>516</v>
      </c>
      <c r="B2960">
        <v>1995</v>
      </c>
      <c r="C2960" s="8">
        <v>0</v>
      </c>
      <c r="D2960">
        <v>7.7103000000000005E-2</v>
      </c>
      <c r="E2960">
        <v>0.23050109999999999</v>
      </c>
      <c r="F2960">
        <v>5.6592200000000002E-2</v>
      </c>
      <c r="G2960">
        <v>1.321358</v>
      </c>
      <c r="H2960">
        <v>0.107289</v>
      </c>
      <c r="Q2960" s="10">
        <f t="shared" si="112"/>
        <v>4.7797190451438964E-3</v>
      </c>
      <c r="AI2960">
        <v>4.66624E-2</v>
      </c>
      <c r="AJ2960">
        <f t="shared" si="111"/>
        <v>4.66624E-2</v>
      </c>
      <c r="AO2960">
        <v>4.66624E-2</v>
      </c>
      <c r="AR2960" s="8">
        <v>0</v>
      </c>
      <c r="AS2960">
        <v>0.97578719999999997</v>
      </c>
    </row>
    <row r="2961" spans="1:45" x14ac:dyDescent="0.25">
      <c r="A2961">
        <v>516</v>
      </c>
      <c r="B2961">
        <v>1996</v>
      </c>
      <c r="C2961" s="8">
        <v>0</v>
      </c>
      <c r="D2961">
        <v>7.4228600000000006E-2</v>
      </c>
      <c r="E2961">
        <v>0.2354638</v>
      </c>
      <c r="F2961">
        <v>5.7719100000000002E-2</v>
      </c>
      <c r="G2961">
        <v>0.96247519999999998</v>
      </c>
      <c r="H2961">
        <v>6.7580799999999996E-2</v>
      </c>
      <c r="Q2961" s="10">
        <f t="shared" si="112"/>
        <v>8.0924536868546369E-3</v>
      </c>
      <c r="AI2961">
        <v>1.00184E-2</v>
      </c>
      <c r="AJ2961">
        <f t="shared" si="111"/>
        <v>1.00184E-2</v>
      </c>
      <c r="AO2961">
        <v>1.00184E-2</v>
      </c>
      <c r="AR2961" s="8">
        <v>0</v>
      </c>
      <c r="AS2961">
        <v>1.3978330000000001</v>
      </c>
    </row>
    <row r="2962" spans="1:45" x14ac:dyDescent="0.25">
      <c r="A2962">
        <v>516</v>
      </c>
      <c r="B2962">
        <v>1997</v>
      </c>
      <c r="C2962" s="8">
        <v>0</v>
      </c>
      <c r="D2962">
        <v>4.66624E-2</v>
      </c>
      <c r="E2962">
        <v>0.1941862</v>
      </c>
      <c r="F2962">
        <v>4.3776099999999998E-2</v>
      </c>
      <c r="G2962">
        <v>0.84179130000000002</v>
      </c>
      <c r="H2962">
        <v>8.0291500000000002E-2</v>
      </c>
      <c r="Q2962" s="10">
        <f t="shared" si="112"/>
        <v>1.1562325577516113E-2</v>
      </c>
      <c r="AI2962">
        <v>4.91785E-2</v>
      </c>
      <c r="AJ2962">
        <f t="shared" si="111"/>
        <v>4.91785E-2</v>
      </c>
      <c r="AO2962">
        <v>4.91785E-2</v>
      </c>
      <c r="AR2962" s="8">
        <v>0</v>
      </c>
      <c r="AS2962">
        <v>1.321358</v>
      </c>
    </row>
    <row r="2963" spans="1:45" x14ac:dyDescent="0.25">
      <c r="A2963">
        <v>516</v>
      </c>
      <c r="B2963">
        <v>1998</v>
      </c>
      <c r="C2963" s="8">
        <v>0</v>
      </c>
      <c r="D2963">
        <v>1.00184E-2</v>
      </c>
      <c r="E2963">
        <v>0.15796089999999999</v>
      </c>
      <c r="F2963">
        <v>8.6738000000000006E-3</v>
      </c>
      <c r="G2963">
        <v>0.70823959999999997</v>
      </c>
      <c r="H2963">
        <v>8.4429299999999999E-2</v>
      </c>
      <c r="Q2963" s="10">
        <f t="shared" si="112"/>
        <v>1.9556267896555658E-2</v>
      </c>
      <c r="AI2963">
        <v>3.4545600000000003E-2</v>
      </c>
      <c r="AJ2963">
        <f t="shared" si="111"/>
        <v>3.4545600000000003E-2</v>
      </c>
      <c r="AO2963">
        <v>3.4545600000000003E-2</v>
      </c>
      <c r="AR2963" s="8">
        <v>0</v>
      </c>
      <c r="AS2963">
        <v>0.96247519999999998</v>
      </c>
    </row>
    <row r="2964" spans="1:45" x14ac:dyDescent="0.25">
      <c r="A2964">
        <v>516</v>
      </c>
      <c r="B2964">
        <v>1999</v>
      </c>
      <c r="C2964" s="8">
        <v>0</v>
      </c>
      <c r="D2964">
        <v>4.91785E-2</v>
      </c>
      <c r="E2964">
        <v>0.1629408</v>
      </c>
      <c r="F2964">
        <v>3.6035699999999997E-2</v>
      </c>
      <c r="G2964">
        <v>0.7414307</v>
      </c>
      <c r="H2964">
        <v>7.6252500000000001E-2</v>
      </c>
      <c r="Q2964" s="10">
        <f t="shared" si="112"/>
        <v>1.5030154857225543E-2</v>
      </c>
      <c r="AI2964">
        <v>1.1039500000000001E-2</v>
      </c>
      <c r="AJ2964">
        <f t="shared" si="111"/>
        <v>1.1039500000000001E-2</v>
      </c>
      <c r="AO2964">
        <v>1.1039500000000001E-2</v>
      </c>
      <c r="AR2964" s="8">
        <v>0</v>
      </c>
      <c r="AS2964">
        <v>0.84179130000000002</v>
      </c>
    </row>
    <row r="2965" spans="1:45" x14ac:dyDescent="0.25">
      <c r="A2965">
        <v>516</v>
      </c>
      <c r="B2965">
        <v>2000</v>
      </c>
      <c r="C2965" s="8">
        <v>0</v>
      </c>
      <c r="D2965">
        <v>3.4545600000000003E-2</v>
      </c>
      <c r="E2965">
        <v>0.1253648</v>
      </c>
      <c r="F2965">
        <v>2.5348699999999998E-2</v>
      </c>
      <c r="G2965">
        <v>0.50520310000000002</v>
      </c>
      <c r="H2965">
        <v>7.3162500000000005E-2</v>
      </c>
      <c r="Q2965" s="10">
        <f t="shared" si="112"/>
        <v>2.4747834461225676E-2</v>
      </c>
      <c r="AI2965">
        <v>4.1386300000000001E-2</v>
      </c>
      <c r="AJ2965">
        <f t="shared" si="111"/>
        <v>4.1386300000000001E-2</v>
      </c>
      <c r="AO2965">
        <v>4.1386300000000001E-2</v>
      </c>
      <c r="AR2965" s="8">
        <v>0</v>
      </c>
      <c r="AS2965">
        <v>0.70823959999999997</v>
      </c>
    </row>
    <row r="2966" spans="1:45" x14ac:dyDescent="0.25">
      <c r="A2966">
        <v>516</v>
      </c>
      <c r="B2966">
        <v>2001</v>
      </c>
      <c r="C2966" s="8">
        <v>0</v>
      </c>
      <c r="D2966">
        <v>1.1039500000000001E-2</v>
      </c>
      <c r="E2966">
        <v>0.14176359999999999</v>
      </c>
      <c r="F2966">
        <v>3.8502300000000003E-2</v>
      </c>
      <c r="G2966">
        <v>0.29631079999999999</v>
      </c>
      <c r="H2966">
        <v>8.6634900000000001E-2</v>
      </c>
      <c r="Q2966" s="10">
        <f t="shared" si="112"/>
        <v>3.0133503419067276E-2</v>
      </c>
      <c r="AI2966">
        <v>3.7390399999999997E-2</v>
      </c>
      <c r="AJ2966">
        <f t="shared" si="111"/>
        <v>3.7390399999999997E-2</v>
      </c>
      <c r="AO2966">
        <v>3.7390399999999997E-2</v>
      </c>
      <c r="AR2966" s="8">
        <v>0</v>
      </c>
      <c r="AS2966">
        <v>0.7414307</v>
      </c>
    </row>
    <row r="2967" spans="1:45" x14ac:dyDescent="0.25">
      <c r="A2967">
        <v>516</v>
      </c>
      <c r="B2967">
        <v>2003</v>
      </c>
      <c r="C2967" s="8">
        <v>0</v>
      </c>
      <c r="D2967">
        <v>4.1386300000000001E-2</v>
      </c>
      <c r="E2967">
        <v>0.14560129999999999</v>
      </c>
      <c r="F2967">
        <v>4.0747999999999999E-2</v>
      </c>
      <c r="G2967">
        <v>2.9726279999999998</v>
      </c>
      <c r="H2967">
        <v>0.12434240000000001</v>
      </c>
      <c r="Q2967" s="10">
        <f t="shared" si="112"/>
        <v>4.4185610659142505E-4</v>
      </c>
      <c r="AI2967">
        <v>0.12588679999999999</v>
      </c>
      <c r="AJ2967">
        <f t="shared" si="111"/>
        <v>0.12588679999999999</v>
      </c>
      <c r="AO2967">
        <v>0.12588679999999999</v>
      </c>
      <c r="AR2967" s="8">
        <v>0</v>
      </c>
      <c r="AS2967">
        <v>0.50520310000000002</v>
      </c>
    </row>
    <row r="2968" spans="1:45" x14ac:dyDescent="0.25">
      <c r="A2968">
        <v>516</v>
      </c>
      <c r="B2968">
        <v>2004</v>
      </c>
      <c r="C2968" s="8">
        <v>0</v>
      </c>
      <c r="D2968">
        <v>3.7390399999999997E-2</v>
      </c>
      <c r="E2968">
        <v>-8.5824899999999996E-2</v>
      </c>
      <c r="F2968">
        <v>8.4075700000000003E-2</v>
      </c>
      <c r="G2968">
        <v>3.2889659999999998</v>
      </c>
      <c r="H2968">
        <v>0.14975340000000001</v>
      </c>
      <c r="Q2968" s="10">
        <f t="shared" si="112"/>
        <v>2.6801775932682506E-4</v>
      </c>
      <c r="AI2968">
        <v>8.8505E-2</v>
      </c>
      <c r="AJ2968">
        <f t="shared" si="111"/>
        <v>8.8505E-2</v>
      </c>
      <c r="AO2968">
        <v>8.8505E-2</v>
      </c>
      <c r="AR2968" s="8">
        <v>0</v>
      </c>
      <c r="AS2968">
        <v>0.29631079999999999</v>
      </c>
    </row>
    <row r="2969" spans="1:45" x14ac:dyDescent="0.25">
      <c r="A2969">
        <v>517</v>
      </c>
      <c r="B2969">
        <v>1995</v>
      </c>
      <c r="C2969" s="8">
        <v>0</v>
      </c>
      <c r="D2969">
        <v>0.12588679999999999</v>
      </c>
      <c r="E2969">
        <v>0.164351</v>
      </c>
      <c r="F2969">
        <v>5.4196899999999999E-2</v>
      </c>
      <c r="G2969">
        <v>0.53546769999999999</v>
      </c>
      <c r="H2969">
        <v>0.40418999999999999</v>
      </c>
      <c r="Q2969" s="10">
        <f t="shared" si="112"/>
        <v>2.2606830296037835E-2</v>
      </c>
      <c r="AI2969">
        <v>0.1588784</v>
      </c>
      <c r="AJ2969">
        <f t="shared" si="111"/>
        <v>0.1588784</v>
      </c>
      <c r="AO2969">
        <v>0.1588784</v>
      </c>
      <c r="AR2969" s="8">
        <v>0</v>
      </c>
      <c r="AS2969">
        <v>2.9726279999999998</v>
      </c>
    </row>
    <row r="2970" spans="1:45" x14ac:dyDescent="0.25">
      <c r="A2970">
        <v>517</v>
      </c>
      <c r="B2970">
        <v>1996</v>
      </c>
      <c r="C2970" s="8">
        <v>0</v>
      </c>
      <c r="D2970">
        <v>8.8505E-2</v>
      </c>
      <c r="E2970">
        <v>0.15073549999999999</v>
      </c>
      <c r="F2970">
        <v>5.3894200000000003E-2</v>
      </c>
      <c r="G2970">
        <v>0.6041048</v>
      </c>
      <c r="H2970">
        <v>0.3859262</v>
      </c>
      <c r="Q2970" s="10">
        <f t="shared" si="112"/>
        <v>2.0220961408365261E-2</v>
      </c>
      <c r="AI2970">
        <v>0.29212739999999998</v>
      </c>
      <c r="AJ2970">
        <f t="shared" si="111"/>
        <v>0.29212739999999998</v>
      </c>
      <c r="AO2970">
        <v>0.29212739999999998</v>
      </c>
      <c r="AR2970" s="8">
        <v>0</v>
      </c>
      <c r="AS2970">
        <v>3.2889659999999998</v>
      </c>
    </row>
    <row r="2971" spans="1:45" x14ac:dyDescent="0.25">
      <c r="A2971">
        <v>517</v>
      </c>
      <c r="B2971">
        <v>1997</v>
      </c>
      <c r="C2971" s="8">
        <v>0</v>
      </c>
      <c r="D2971">
        <v>0.1588784</v>
      </c>
      <c r="E2971">
        <v>0.2381267</v>
      </c>
      <c r="F2971">
        <v>6.1144299999999999E-2</v>
      </c>
      <c r="G2971">
        <v>1.1230929999999999</v>
      </c>
      <c r="H2971">
        <v>0.40283029999999997</v>
      </c>
      <c r="Q2971" s="10">
        <f t="shared" si="112"/>
        <v>7.7438035659351326E-3</v>
      </c>
      <c r="AI2971">
        <v>0.22017149999999999</v>
      </c>
      <c r="AJ2971">
        <f t="shared" si="111"/>
        <v>0.22017149999999999</v>
      </c>
      <c r="AO2971">
        <v>0.22017149999999999</v>
      </c>
      <c r="AR2971" s="8">
        <v>0</v>
      </c>
      <c r="AS2971">
        <v>0.53546769999999999</v>
      </c>
    </row>
    <row r="2972" spans="1:45" x14ac:dyDescent="0.25">
      <c r="A2972">
        <v>517</v>
      </c>
      <c r="B2972">
        <v>1998</v>
      </c>
      <c r="C2972" s="8">
        <v>0</v>
      </c>
      <c r="D2972">
        <v>0.29212739999999998</v>
      </c>
      <c r="E2972">
        <v>0.40609050000000002</v>
      </c>
      <c r="F2972">
        <v>3.2899299999999999E-2</v>
      </c>
      <c r="G2972">
        <v>1.5328630000000001</v>
      </c>
      <c r="H2972">
        <v>0.27490690000000001</v>
      </c>
      <c r="Q2972" s="10">
        <f t="shared" si="112"/>
        <v>3.8784100579000403E-3</v>
      </c>
      <c r="AI2972">
        <v>8.4274399999999999E-2</v>
      </c>
      <c r="AJ2972">
        <f t="shared" si="111"/>
        <v>8.4274399999999999E-2</v>
      </c>
      <c r="AO2972">
        <v>8.4274399999999999E-2</v>
      </c>
      <c r="AR2972" s="8">
        <v>0</v>
      </c>
      <c r="AS2972">
        <v>0.6041048</v>
      </c>
    </row>
    <row r="2973" spans="1:45" x14ac:dyDescent="0.25">
      <c r="A2973">
        <v>517</v>
      </c>
      <c r="B2973">
        <v>1999</v>
      </c>
      <c r="C2973" s="8">
        <v>0</v>
      </c>
      <c r="D2973">
        <v>0.22017149999999999</v>
      </c>
      <c r="E2973">
        <v>9.0263800000000005E-2</v>
      </c>
      <c r="F2973">
        <v>1.84222E-2</v>
      </c>
      <c r="G2973">
        <v>2.9420329999999999</v>
      </c>
      <c r="H2973">
        <v>0.30712709999999999</v>
      </c>
      <c r="Q2973" s="10">
        <f t="shared" si="112"/>
        <v>7.2477950705985737E-4</v>
      </c>
      <c r="AI2973">
        <v>3.7126800000000001E-2</v>
      </c>
      <c r="AJ2973">
        <f t="shared" si="111"/>
        <v>3.7126800000000001E-2</v>
      </c>
      <c r="AO2973">
        <v>3.7126800000000001E-2</v>
      </c>
      <c r="AR2973" s="8">
        <v>0</v>
      </c>
      <c r="AS2973">
        <v>1.1230929999999999</v>
      </c>
    </row>
    <row r="2974" spans="1:45" x14ac:dyDescent="0.25">
      <c r="A2974">
        <v>517</v>
      </c>
      <c r="B2974">
        <v>2000</v>
      </c>
      <c r="C2974" s="8">
        <v>0</v>
      </c>
      <c r="D2974">
        <v>8.4274399999999999E-2</v>
      </c>
      <c r="E2974">
        <v>0.61129359999999999</v>
      </c>
      <c r="F2974">
        <v>1.04127E-2</v>
      </c>
      <c r="G2974">
        <v>2.8748049999999998</v>
      </c>
      <c r="H2974">
        <v>0.34586749999999999</v>
      </c>
      <c r="Q2974" s="10">
        <f t="shared" si="112"/>
        <v>3.9053192414683675E-4</v>
      </c>
      <c r="AI2974">
        <v>0.1026436</v>
      </c>
      <c r="AJ2974">
        <f t="shared" si="111"/>
        <v>0.1026436</v>
      </c>
      <c r="AO2974">
        <v>0.1026436</v>
      </c>
      <c r="AR2974" s="8">
        <v>0</v>
      </c>
      <c r="AS2974">
        <v>1.5328630000000001</v>
      </c>
    </row>
    <row r="2975" spans="1:45" x14ac:dyDescent="0.25">
      <c r="A2975">
        <v>517</v>
      </c>
      <c r="B2975">
        <v>2001</v>
      </c>
      <c r="C2975" s="8">
        <v>0</v>
      </c>
      <c r="D2975">
        <v>3.7126800000000001E-2</v>
      </c>
      <c r="E2975">
        <v>0.50368429999999997</v>
      </c>
      <c r="F2975">
        <v>2.2277499999999999E-2</v>
      </c>
      <c r="G2975">
        <v>2.1225459999999998</v>
      </c>
      <c r="H2975">
        <v>0.26444250000000002</v>
      </c>
      <c r="Q2975" s="10">
        <f t="shared" si="112"/>
        <v>1.2830207286580353E-3</v>
      </c>
      <c r="AI2975">
        <v>0.10994370000000001</v>
      </c>
      <c r="AJ2975">
        <f t="shared" si="111"/>
        <v>0.10994370000000001</v>
      </c>
      <c r="AO2975">
        <v>0.10994370000000001</v>
      </c>
      <c r="AR2975" s="8">
        <v>0</v>
      </c>
      <c r="AS2975">
        <v>2.9420329999999999</v>
      </c>
    </row>
    <row r="2976" spans="1:45" x14ac:dyDescent="0.25">
      <c r="A2976">
        <v>517</v>
      </c>
      <c r="B2976">
        <v>2002</v>
      </c>
      <c r="C2976" s="8">
        <v>0</v>
      </c>
      <c r="D2976">
        <v>0.1026436</v>
      </c>
      <c r="E2976">
        <v>0.4809717</v>
      </c>
      <c r="F2976">
        <v>5.31511E-2</v>
      </c>
      <c r="G2976">
        <v>1.1948460000000001</v>
      </c>
      <c r="H2976">
        <v>0.35305130000000001</v>
      </c>
      <c r="Q2976" s="10">
        <f t="shared" si="112"/>
        <v>4.9139577601571794E-3</v>
      </c>
      <c r="AI2976">
        <v>0.1593917</v>
      </c>
      <c r="AJ2976">
        <f t="shared" si="111"/>
        <v>0.1593917</v>
      </c>
      <c r="AO2976">
        <v>0.1593917</v>
      </c>
      <c r="AR2976" s="8">
        <v>0</v>
      </c>
      <c r="AS2976">
        <v>2.8748049999999998</v>
      </c>
    </row>
    <row r="2977" spans="1:45" x14ac:dyDescent="0.25">
      <c r="A2977">
        <v>517</v>
      </c>
      <c r="B2977">
        <v>2003</v>
      </c>
      <c r="C2977" s="8">
        <v>0</v>
      </c>
      <c r="D2977">
        <v>0.10994370000000001</v>
      </c>
      <c r="E2977">
        <v>0.49798690000000001</v>
      </c>
      <c r="F2977">
        <v>4.6975299999999998E-2</v>
      </c>
      <c r="G2977">
        <v>1.9043620000000001</v>
      </c>
      <c r="H2977">
        <v>0.39055400000000001</v>
      </c>
      <c r="Q2977" s="10">
        <f t="shared" si="112"/>
        <v>1.6746021488211311E-3</v>
      </c>
      <c r="AI2977">
        <v>0.39366289999999998</v>
      </c>
      <c r="AJ2977">
        <f t="shared" si="111"/>
        <v>0.39366289999999998</v>
      </c>
      <c r="AO2977">
        <v>0.39366289999999998</v>
      </c>
      <c r="AR2977" s="8">
        <v>0</v>
      </c>
      <c r="AS2977">
        <v>2.1225459999999998</v>
      </c>
    </row>
    <row r="2978" spans="1:45" x14ac:dyDescent="0.25">
      <c r="A2978">
        <v>517</v>
      </c>
      <c r="B2978">
        <v>2004</v>
      </c>
      <c r="C2978" s="8">
        <v>0</v>
      </c>
      <c r="D2978">
        <v>0.1593917</v>
      </c>
      <c r="E2978">
        <v>0.54629919999999998</v>
      </c>
      <c r="F2978">
        <v>6.9252400000000006E-2</v>
      </c>
      <c r="G2978">
        <v>1.631761</v>
      </c>
      <c r="H2978">
        <v>0.38823669999999999</v>
      </c>
      <c r="Q2978" s="10">
        <f t="shared" si="112"/>
        <v>2.0548892264743261E-3</v>
      </c>
      <c r="AI2978">
        <v>0.41392519999999999</v>
      </c>
      <c r="AJ2978">
        <f t="shared" si="111"/>
        <v>0.41392519999999999</v>
      </c>
      <c r="AO2978">
        <v>0.41392519999999999</v>
      </c>
      <c r="AR2978" s="8">
        <v>0</v>
      </c>
      <c r="AS2978">
        <v>1.1948460000000001</v>
      </c>
    </row>
    <row r="2979" spans="1:45" x14ac:dyDescent="0.25">
      <c r="A2979">
        <v>518</v>
      </c>
      <c r="B2979">
        <v>1995</v>
      </c>
      <c r="C2979" s="8">
        <v>0</v>
      </c>
      <c r="D2979">
        <v>0.39366289999999998</v>
      </c>
      <c r="E2979">
        <v>0.2134276</v>
      </c>
      <c r="F2979">
        <v>4.5381199999999997E-2</v>
      </c>
      <c r="G2979">
        <v>0.63743989999999995</v>
      </c>
      <c r="H2979">
        <v>0.52823790000000004</v>
      </c>
      <c r="Q2979" s="10">
        <f t="shared" si="112"/>
        <v>2.3154476309467771E-2</v>
      </c>
      <c r="AI2979">
        <v>0.42025220000000002</v>
      </c>
      <c r="AJ2979">
        <f t="shared" si="111"/>
        <v>0.42025220000000002</v>
      </c>
      <c r="AO2979">
        <v>0.42025220000000002</v>
      </c>
      <c r="AR2979" s="8">
        <v>0</v>
      </c>
      <c r="AS2979">
        <v>1.9043620000000001</v>
      </c>
    </row>
    <row r="2980" spans="1:45" x14ac:dyDescent="0.25">
      <c r="A2980">
        <v>518</v>
      </c>
      <c r="B2980">
        <v>1996</v>
      </c>
      <c r="C2980" s="8">
        <v>0</v>
      </c>
      <c r="D2980">
        <v>0.41392519999999999</v>
      </c>
      <c r="E2980">
        <v>0.24319170000000001</v>
      </c>
      <c r="F2980">
        <v>6.0360200000000003E-2</v>
      </c>
      <c r="G2980">
        <v>1.012397</v>
      </c>
      <c r="H2980">
        <v>0.61009650000000004</v>
      </c>
      <c r="Q2980" s="10">
        <f t="shared" si="112"/>
        <v>1.1616556668071961E-2</v>
      </c>
      <c r="AI2980">
        <v>0.38080229999999998</v>
      </c>
      <c r="AJ2980">
        <f t="shared" si="111"/>
        <v>0.38080229999999998</v>
      </c>
      <c r="AO2980">
        <v>0.38080229999999998</v>
      </c>
      <c r="AR2980" s="8">
        <v>0</v>
      </c>
      <c r="AS2980">
        <v>1.631761</v>
      </c>
    </row>
    <row r="2981" spans="1:45" x14ac:dyDescent="0.25">
      <c r="A2981">
        <v>518</v>
      </c>
      <c r="B2981">
        <v>1997</v>
      </c>
      <c r="C2981" s="8">
        <v>0</v>
      </c>
      <c r="D2981">
        <v>0.42025220000000002</v>
      </c>
      <c r="E2981">
        <v>0.1441846</v>
      </c>
      <c r="F2981">
        <v>3.8826399999999997E-2</v>
      </c>
      <c r="G2981">
        <v>0.7610439</v>
      </c>
      <c r="H2981">
        <v>0.5450467</v>
      </c>
      <c r="Q2981" s="10">
        <f t="shared" si="112"/>
        <v>2.2652615665864129E-2</v>
      </c>
      <c r="AI2981">
        <v>0.48855660000000001</v>
      </c>
      <c r="AJ2981">
        <f t="shared" si="111"/>
        <v>0.48855660000000001</v>
      </c>
      <c r="AO2981">
        <v>0.48855660000000001</v>
      </c>
      <c r="AR2981" s="8">
        <v>0</v>
      </c>
      <c r="AS2981">
        <v>0.63743989999999995</v>
      </c>
    </row>
    <row r="2982" spans="1:45" x14ac:dyDescent="0.25">
      <c r="A2982">
        <v>518</v>
      </c>
      <c r="B2982">
        <v>1998</v>
      </c>
      <c r="C2982" s="8">
        <v>0</v>
      </c>
      <c r="D2982">
        <v>0.38080229999999998</v>
      </c>
      <c r="E2982">
        <v>0.15521670000000001</v>
      </c>
      <c r="F2982">
        <v>5.2719799999999997E-2</v>
      </c>
      <c r="G2982">
        <v>0.40562300000000001</v>
      </c>
      <c r="H2982">
        <v>0.5145364</v>
      </c>
      <c r="Q2982" s="10">
        <f t="shared" si="112"/>
        <v>3.3549736018050128E-2</v>
      </c>
      <c r="AI2982">
        <v>0.44629540000000001</v>
      </c>
      <c r="AJ2982">
        <f t="shared" si="111"/>
        <v>0.44629540000000001</v>
      </c>
      <c r="AO2982">
        <v>0.44629540000000001</v>
      </c>
      <c r="AR2982" s="8">
        <v>0</v>
      </c>
      <c r="AS2982">
        <v>1.012397</v>
      </c>
    </row>
    <row r="2983" spans="1:45" x14ac:dyDescent="0.25">
      <c r="A2983">
        <v>518</v>
      </c>
      <c r="B2983">
        <v>1999</v>
      </c>
      <c r="C2983" s="8">
        <v>0</v>
      </c>
      <c r="D2983">
        <v>0.48855660000000001</v>
      </c>
      <c r="E2983">
        <v>0.16932069999999999</v>
      </c>
      <c r="F2983">
        <v>5.3875300000000001E-2</v>
      </c>
      <c r="G2983">
        <v>0.46748590000000001</v>
      </c>
      <c r="H2983">
        <v>0.46211930000000001</v>
      </c>
      <c r="Q2983" s="10">
        <f t="shared" si="112"/>
        <v>2.9980562910689342E-2</v>
      </c>
      <c r="AI2983">
        <v>0.44854100000000002</v>
      </c>
      <c r="AJ2983">
        <f t="shared" si="111"/>
        <v>0.44854100000000002</v>
      </c>
      <c r="AO2983">
        <v>0.44854100000000002</v>
      </c>
      <c r="AR2983" s="8">
        <v>0</v>
      </c>
      <c r="AS2983">
        <v>0.7610439</v>
      </c>
    </row>
    <row r="2984" spans="1:45" x14ac:dyDescent="0.25">
      <c r="A2984">
        <v>518</v>
      </c>
      <c r="B2984">
        <v>2000</v>
      </c>
      <c r="C2984" s="8">
        <v>0</v>
      </c>
      <c r="D2984">
        <v>0.44629540000000001</v>
      </c>
      <c r="E2984">
        <v>0.1932461</v>
      </c>
      <c r="F2984">
        <v>5.4884000000000002E-2</v>
      </c>
      <c r="G2984">
        <v>0.80189370000000004</v>
      </c>
      <c r="H2984">
        <v>0.5610349</v>
      </c>
      <c r="Q2984" s="10">
        <f t="shared" si="112"/>
        <v>1.7832371031615928E-2</v>
      </c>
      <c r="AI2984">
        <v>0.44408180000000003</v>
      </c>
      <c r="AJ2984">
        <f t="shared" si="111"/>
        <v>0.44408180000000003</v>
      </c>
      <c r="AO2984">
        <v>0.44408180000000003</v>
      </c>
      <c r="AR2984" s="8">
        <v>0</v>
      </c>
      <c r="AS2984">
        <v>0.40562300000000001</v>
      </c>
    </row>
    <row r="2985" spans="1:45" x14ac:dyDescent="0.25">
      <c r="A2985">
        <v>518</v>
      </c>
      <c r="B2985">
        <v>2001</v>
      </c>
      <c r="C2985" s="8">
        <v>0</v>
      </c>
      <c r="D2985">
        <v>0.44854100000000002</v>
      </c>
      <c r="E2985">
        <v>0.20064699999999999</v>
      </c>
      <c r="F2985">
        <v>4.62119E-2</v>
      </c>
      <c r="G2985">
        <v>0.80128429999999995</v>
      </c>
      <c r="H2985">
        <v>0.48945430000000001</v>
      </c>
      <c r="Q2985" s="10">
        <f t="shared" si="112"/>
        <v>1.8117429396334553E-2</v>
      </c>
      <c r="AI2985">
        <v>0.24388170000000001</v>
      </c>
      <c r="AJ2985">
        <f t="shared" si="111"/>
        <v>0.24388170000000001</v>
      </c>
      <c r="AO2985">
        <v>0.24388170000000001</v>
      </c>
      <c r="AR2985" s="8">
        <v>0</v>
      </c>
      <c r="AS2985">
        <v>0.46748590000000001</v>
      </c>
    </row>
    <row r="2986" spans="1:45" x14ac:dyDescent="0.25">
      <c r="A2986">
        <v>518</v>
      </c>
      <c r="B2986">
        <v>2002</v>
      </c>
      <c r="C2986" s="8">
        <v>0</v>
      </c>
      <c r="D2986">
        <v>0.44408180000000003</v>
      </c>
      <c r="E2986">
        <v>0.2041607</v>
      </c>
      <c r="F2986">
        <v>5.26014E-2</v>
      </c>
      <c r="G2986">
        <v>0.68794860000000002</v>
      </c>
      <c r="H2986">
        <v>0.45032420000000001</v>
      </c>
      <c r="Q2986" s="10">
        <f t="shared" si="112"/>
        <v>1.9951401610470706E-2</v>
      </c>
      <c r="AI2986">
        <v>0.20891409999999999</v>
      </c>
      <c r="AJ2986">
        <f t="shared" si="111"/>
        <v>0.20891409999999999</v>
      </c>
      <c r="AO2986">
        <v>0.20891409999999999</v>
      </c>
      <c r="AR2986" s="8">
        <v>0</v>
      </c>
      <c r="AS2986">
        <v>0.80189370000000004</v>
      </c>
    </row>
    <row r="2987" spans="1:45" x14ac:dyDescent="0.25">
      <c r="A2987">
        <v>518</v>
      </c>
      <c r="B2987">
        <v>2003</v>
      </c>
      <c r="C2987" s="8">
        <v>0</v>
      </c>
      <c r="D2987">
        <v>0.24388170000000001</v>
      </c>
      <c r="E2987">
        <v>0.10484250000000001</v>
      </c>
      <c r="F2987">
        <v>2.7929599999999999E-2</v>
      </c>
      <c r="G2987">
        <v>0.63824769999999997</v>
      </c>
      <c r="H2987">
        <v>0.28587560000000001</v>
      </c>
      <c r="Q2987" s="10">
        <f t="shared" si="112"/>
        <v>2.5130735884626814E-2</v>
      </c>
      <c r="AI2987">
        <v>-0.36379879999999998</v>
      </c>
      <c r="AJ2987">
        <f t="shared" si="111"/>
        <v>-0.113345184</v>
      </c>
      <c r="AO2987">
        <v>-0.113345184</v>
      </c>
      <c r="AR2987" s="8">
        <v>0</v>
      </c>
      <c r="AS2987">
        <v>0.80128429999999995</v>
      </c>
    </row>
    <row r="2988" spans="1:45" x14ac:dyDescent="0.25">
      <c r="A2988">
        <v>518</v>
      </c>
      <c r="B2988">
        <v>2004</v>
      </c>
      <c r="C2988" s="8">
        <v>0</v>
      </c>
      <c r="D2988">
        <v>0.20891409999999999</v>
      </c>
      <c r="E2988">
        <v>0.1258367</v>
      </c>
      <c r="F2988">
        <v>4.36461E-2</v>
      </c>
      <c r="G2988">
        <v>0.98527880000000001</v>
      </c>
      <c r="H2988">
        <v>0.29692879999999999</v>
      </c>
      <c r="Q2988" s="10">
        <f t="shared" si="112"/>
        <v>1.2430150932367172E-2</v>
      </c>
      <c r="AI2988">
        <v>-9.4114000000000003E-2</v>
      </c>
      <c r="AJ2988">
        <f t="shared" si="111"/>
        <v>-9.4114000000000003E-2</v>
      </c>
      <c r="AO2988">
        <v>-9.4114000000000003E-2</v>
      </c>
      <c r="AR2988" s="8">
        <v>0</v>
      </c>
      <c r="AS2988">
        <v>0.68794860000000002</v>
      </c>
    </row>
    <row r="2989" spans="1:45" x14ac:dyDescent="0.25">
      <c r="A2989">
        <v>519</v>
      </c>
      <c r="B2989">
        <v>2000</v>
      </c>
      <c r="C2989" s="8">
        <v>0</v>
      </c>
      <c r="D2989">
        <v>-0.36379879999999998</v>
      </c>
      <c r="E2989">
        <v>0.20690410000000001</v>
      </c>
      <c r="F2989">
        <v>2.7797100000000002E-2</v>
      </c>
      <c r="G2989">
        <v>0.2356801</v>
      </c>
      <c r="H2989">
        <v>0.54510239999999999</v>
      </c>
      <c r="Q2989" s="10">
        <f t="shared" si="112"/>
        <v>3.7140727354255006E-2</v>
      </c>
      <c r="AI2989">
        <v>2.4453699999999998E-2</v>
      </c>
      <c r="AJ2989">
        <f t="shared" si="111"/>
        <v>2.4453699999999998E-2</v>
      </c>
      <c r="AO2989">
        <v>2.4453699999999998E-2</v>
      </c>
      <c r="AR2989" s="8">
        <v>0</v>
      </c>
      <c r="AS2989">
        <v>0.63824769999999997</v>
      </c>
    </row>
    <row r="2990" spans="1:45" x14ac:dyDescent="0.25">
      <c r="A2990">
        <v>519</v>
      </c>
      <c r="B2990">
        <v>2001</v>
      </c>
      <c r="C2990" s="8">
        <v>0</v>
      </c>
      <c r="D2990">
        <v>-9.4114000000000003E-2</v>
      </c>
      <c r="E2990">
        <v>8.8844999999999993E-2</v>
      </c>
      <c r="F2990">
        <v>2.8983399999999999E-2</v>
      </c>
      <c r="G2990">
        <v>0.17309720000000001</v>
      </c>
      <c r="H2990">
        <v>0.64482660000000003</v>
      </c>
      <c r="Q2990" s="10">
        <f t="shared" si="112"/>
        <v>5.626709144810723E-2</v>
      </c>
      <c r="AI2990">
        <v>2.8691700000000001E-2</v>
      </c>
      <c r="AJ2990">
        <f t="shared" si="111"/>
        <v>2.8691700000000001E-2</v>
      </c>
      <c r="AO2990">
        <v>2.8691700000000001E-2</v>
      </c>
      <c r="AR2990" s="8">
        <v>0</v>
      </c>
      <c r="AS2990">
        <v>0.98527880000000001</v>
      </c>
    </row>
    <row r="2991" spans="1:45" x14ac:dyDescent="0.25">
      <c r="A2991">
        <v>520</v>
      </c>
      <c r="B2991">
        <v>1995</v>
      </c>
      <c r="C2991" s="8">
        <v>0</v>
      </c>
      <c r="D2991">
        <v>2.4453699999999998E-2</v>
      </c>
      <c r="E2991">
        <v>0.17966270000000001</v>
      </c>
      <c r="F2991">
        <v>3.6829800000000003E-2</v>
      </c>
      <c r="G2991">
        <v>1.078689</v>
      </c>
      <c r="H2991">
        <v>8.3244700000000005E-2</v>
      </c>
      <c r="Q2991" s="10">
        <f t="shared" si="112"/>
        <v>8.521676138257335E-3</v>
      </c>
      <c r="AI2991">
        <v>1.0463200000000001E-2</v>
      </c>
      <c r="AJ2991">
        <f t="shared" si="111"/>
        <v>1.0463200000000001E-2</v>
      </c>
      <c r="AO2991">
        <v>1.0463200000000001E-2</v>
      </c>
      <c r="AR2991" s="8">
        <v>0</v>
      </c>
      <c r="AS2991">
        <v>0.2356801</v>
      </c>
    </row>
    <row r="2992" spans="1:45" x14ac:dyDescent="0.25">
      <c r="A2992">
        <v>520</v>
      </c>
      <c r="B2992">
        <v>1996</v>
      </c>
      <c r="C2992" s="8">
        <v>0</v>
      </c>
      <c r="D2992">
        <v>2.8691700000000001E-2</v>
      </c>
      <c r="E2992">
        <v>0.16439889999999999</v>
      </c>
      <c r="F2992">
        <v>2.2403599999999999E-2</v>
      </c>
      <c r="G2992">
        <v>1.109583</v>
      </c>
      <c r="H2992">
        <v>0.118701</v>
      </c>
      <c r="Q2992" s="10">
        <f t="shared" si="112"/>
        <v>9.522804809111397E-3</v>
      </c>
      <c r="AI2992">
        <v>-1.35353E-2</v>
      </c>
      <c r="AJ2992">
        <f t="shared" si="111"/>
        <v>-1.35353E-2</v>
      </c>
      <c r="AO2992">
        <v>-1.35353E-2</v>
      </c>
      <c r="AR2992" s="8">
        <v>0</v>
      </c>
      <c r="AS2992">
        <v>0.17309720000000001</v>
      </c>
    </row>
    <row r="2993" spans="1:45" x14ac:dyDescent="0.25">
      <c r="A2993">
        <v>520</v>
      </c>
      <c r="B2993">
        <v>1997</v>
      </c>
      <c r="C2993" s="8">
        <v>0</v>
      </c>
      <c r="D2993">
        <v>1.0463200000000001E-2</v>
      </c>
      <c r="E2993">
        <v>0.16935349999999999</v>
      </c>
      <c r="F2993">
        <v>3.37743E-2</v>
      </c>
      <c r="G2993">
        <v>1.277204</v>
      </c>
      <c r="H2993">
        <v>0.12609100000000001</v>
      </c>
      <c r="Q2993" s="10">
        <f t="shared" si="112"/>
        <v>6.6086170848289032E-3</v>
      </c>
      <c r="AI2993">
        <v>1.7437500000000002E-2</v>
      </c>
      <c r="AJ2993">
        <f t="shared" si="111"/>
        <v>1.7437500000000002E-2</v>
      </c>
      <c r="AO2993">
        <v>1.7437500000000002E-2</v>
      </c>
      <c r="AR2993" s="8">
        <v>0</v>
      </c>
      <c r="AS2993">
        <v>1.078689</v>
      </c>
    </row>
    <row r="2994" spans="1:45" x14ac:dyDescent="0.25">
      <c r="A2994">
        <v>520</v>
      </c>
      <c r="B2994">
        <v>1998</v>
      </c>
      <c r="C2994" s="8">
        <v>0</v>
      </c>
      <c r="D2994">
        <v>-1.35353E-2</v>
      </c>
      <c r="E2994">
        <v>0.18035680000000001</v>
      </c>
      <c r="F2994">
        <v>1.14123E-2</v>
      </c>
      <c r="G2994">
        <v>1.537512</v>
      </c>
      <c r="H2994">
        <v>0.11446539999999999</v>
      </c>
      <c r="Q2994" s="10">
        <f t="shared" si="112"/>
        <v>5.057316355459281E-3</v>
      </c>
      <c r="AI2994">
        <v>1.2399200000000001E-2</v>
      </c>
      <c r="AJ2994">
        <f t="shared" si="111"/>
        <v>1.2399200000000001E-2</v>
      </c>
      <c r="AO2994">
        <v>1.2399200000000001E-2</v>
      </c>
      <c r="AR2994" s="8">
        <v>0</v>
      </c>
      <c r="AS2994">
        <v>1.109583</v>
      </c>
    </row>
    <row r="2995" spans="1:45" x14ac:dyDescent="0.25">
      <c r="A2995">
        <v>520</v>
      </c>
      <c r="B2995">
        <v>1999</v>
      </c>
      <c r="C2995" s="8">
        <v>0</v>
      </c>
      <c r="D2995">
        <v>1.7437500000000002E-2</v>
      </c>
      <c r="E2995">
        <v>0.1865385</v>
      </c>
      <c r="F2995">
        <v>2.7906299999999998E-2</v>
      </c>
      <c r="G2995">
        <v>1.2721579999999999</v>
      </c>
      <c r="H2995">
        <v>0.10073699999999999</v>
      </c>
      <c r="Q2995" s="10">
        <f t="shared" si="112"/>
        <v>6.7222982232721653E-3</v>
      </c>
      <c r="AI2995">
        <v>4.24883E-2</v>
      </c>
      <c r="AJ2995">
        <f t="shared" si="111"/>
        <v>4.24883E-2</v>
      </c>
      <c r="AO2995">
        <v>4.24883E-2</v>
      </c>
      <c r="AR2995" s="8">
        <v>0</v>
      </c>
      <c r="AS2995">
        <v>1.277204</v>
      </c>
    </row>
    <row r="2996" spans="1:45" x14ac:dyDescent="0.25">
      <c r="A2996">
        <v>520</v>
      </c>
      <c r="B2996">
        <v>2000</v>
      </c>
      <c r="C2996" s="8">
        <v>0</v>
      </c>
      <c r="D2996">
        <v>1.2399200000000001E-2</v>
      </c>
      <c r="E2996">
        <v>0.1785853</v>
      </c>
      <c r="F2996">
        <v>2.4744599999999999E-2</v>
      </c>
      <c r="G2996">
        <v>1.0993219999999999</v>
      </c>
      <c r="H2996">
        <v>0.12149020000000001</v>
      </c>
      <c r="Q2996" s="10">
        <f t="shared" si="112"/>
        <v>9.2620776347757307E-3</v>
      </c>
      <c r="AI2996">
        <v>7.8417000000000001E-3</v>
      </c>
      <c r="AJ2996">
        <f t="shared" si="111"/>
        <v>7.8417000000000001E-3</v>
      </c>
      <c r="AO2996">
        <v>7.8417000000000001E-3</v>
      </c>
      <c r="AR2996" s="8">
        <v>0</v>
      </c>
      <c r="AS2996">
        <v>1.537512</v>
      </c>
    </row>
    <row r="2997" spans="1:45" x14ac:dyDescent="0.25">
      <c r="A2997">
        <v>520</v>
      </c>
      <c r="B2997">
        <v>2001</v>
      </c>
      <c r="C2997" s="8">
        <v>0</v>
      </c>
      <c r="D2997">
        <v>4.24883E-2</v>
      </c>
      <c r="E2997">
        <v>0.19497639999999999</v>
      </c>
      <c r="F2997">
        <v>1.6494700000000001E-2</v>
      </c>
      <c r="G2997">
        <v>1.24777</v>
      </c>
      <c r="H2997">
        <v>0.1105903</v>
      </c>
      <c r="Q2997" s="10">
        <f t="shared" si="112"/>
        <v>7.6816071215400688E-3</v>
      </c>
      <c r="AI2997">
        <v>-0.14477110000000001</v>
      </c>
      <c r="AJ2997">
        <f t="shared" si="111"/>
        <v>-0.113345184</v>
      </c>
      <c r="AO2997">
        <v>-0.113345184</v>
      </c>
      <c r="AR2997" s="8">
        <v>0</v>
      </c>
      <c r="AS2997">
        <v>1.2721579999999999</v>
      </c>
    </row>
    <row r="2998" spans="1:45" x14ac:dyDescent="0.25">
      <c r="A2998">
        <v>520</v>
      </c>
      <c r="B2998">
        <v>2002</v>
      </c>
      <c r="C2998" s="8">
        <v>0</v>
      </c>
      <c r="D2998">
        <v>7.8417000000000001E-3</v>
      </c>
      <c r="E2998">
        <v>0.1917769</v>
      </c>
      <c r="F2998">
        <v>1.3256799999999999E-2</v>
      </c>
      <c r="G2998">
        <v>1.4103129999999999</v>
      </c>
      <c r="H2998">
        <v>0.1119508</v>
      </c>
      <c r="Q2998" s="10">
        <f t="shared" si="112"/>
        <v>6.0405296273295106E-3</v>
      </c>
      <c r="AI2998">
        <v>3.4569200000000001E-2</v>
      </c>
      <c r="AJ2998">
        <f t="shared" si="111"/>
        <v>3.4569200000000001E-2</v>
      </c>
      <c r="AO2998">
        <v>3.4569200000000001E-2</v>
      </c>
      <c r="AR2998" s="8">
        <v>0</v>
      </c>
      <c r="AS2998">
        <v>1.0993219999999999</v>
      </c>
    </row>
    <row r="2999" spans="1:45" x14ac:dyDescent="0.25">
      <c r="A2999">
        <v>520</v>
      </c>
      <c r="B2999">
        <v>2003</v>
      </c>
      <c r="C2999" s="8">
        <v>0</v>
      </c>
      <c r="D2999">
        <v>-0.14477110000000001</v>
      </c>
      <c r="E2999">
        <v>0.1478534</v>
      </c>
      <c r="F2999">
        <v>1.8856399999999999E-2</v>
      </c>
      <c r="G2999">
        <v>0.83495889999999995</v>
      </c>
      <c r="H2999">
        <v>0.1030546</v>
      </c>
      <c r="Q2999" s="10">
        <f t="shared" si="112"/>
        <v>1.4259010121568379E-2</v>
      </c>
      <c r="AI2999">
        <v>0.49060959999999998</v>
      </c>
      <c r="AJ2999">
        <f t="shared" si="111"/>
        <v>0.49060959999999998</v>
      </c>
      <c r="AO2999">
        <v>0.49060959999999998</v>
      </c>
      <c r="AR2999" s="8">
        <v>0</v>
      </c>
      <c r="AS2999">
        <v>1.24777</v>
      </c>
    </row>
    <row r="3000" spans="1:45" x14ac:dyDescent="0.25">
      <c r="A3000">
        <v>520</v>
      </c>
      <c r="B3000">
        <v>2004</v>
      </c>
      <c r="C3000" s="8">
        <v>0</v>
      </c>
      <c r="D3000">
        <v>3.4569200000000001E-2</v>
      </c>
      <c r="E3000">
        <v>0.14941989999999999</v>
      </c>
      <c r="F3000">
        <v>3.7144200000000002E-2</v>
      </c>
      <c r="G3000">
        <v>1.2142550000000001</v>
      </c>
      <c r="H3000">
        <v>0.1079642</v>
      </c>
      <c r="Q3000" s="10">
        <f t="shared" si="112"/>
        <v>7.3065443033526779E-3</v>
      </c>
      <c r="AI3000">
        <v>0.34279710000000002</v>
      </c>
      <c r="AJ3000">
        <f t="shared" si="111"/>
        <v>0.34279710000000002</v>
      </c>
      <c r="AO3000">
        <v>0.34279710000000002</v>
      </c>
      <c r="AR3000" s="8">
        <v>0</v>
      </c>
      <c r="AS3000">
        <v>1.4103129999999999</v>
      </c>
    </row>
    <row r="3001" spans="1:45" x14ac:dyDescent="0.25">
      <c r="A3001">
        <v>521</v>
      </c>
      <c r="B3001">
        <v>1995</v>
      </c>
      <c r="C3001" s="8">
        <v>0</v>
      </c>
      <c r="D3001">
        <v>0.49060959999999998</v>
      </c>
      <c r="E3001">
        <v>0.19035350000000001</v>
      </c>
      <c r="F3001">
        <v>8.6960999999999997E-2</v>
      </c>
      <c r="G3001">
        <v>1.7443390000000001</v>
      </c>
      <c r="H3001">
        <v>0.48893920000000002</v>
      </c>
      <c r="Q3001" s="10">
        <f t="shared" si="112"/>
        <v>3.0507343331904716E-3</v>
      </c>
      <c r="AI3001">
        <v>0.45434219999999997</v>
      </c>
      <c r="AJ3001">
        <f t="shared" si="111"/>
        <v>0.45434219999999997</v>
      </c>
      <c r="AO3001">
        <v>0.45434219999999997</v>
      </c>
      <c r="AR3001" s="8">
        <v>0</v>
      </c>
      <c r="AS3001">
        <v>0.83495889999999995</v>
      </c>
    </row>
    <row r="3002" spans="1:45" x14ac:dyDescent="0.25">
      <c r="A3002">
        <v>521</v>
      </c>
      <c r="B3002">
        <v>1996</v>
      </c>
      <c r="C3002" s="8">
        <v>0</v>
      </c>
      <c r="D3002">
        <v>0.34279710000000002</v>
      </c>
      <c r="E3002">
        <v>0.24357000000000001</v>
      </c>
      <c r="F3002">
        <v>7.6279E-2</v>
      </c>
      <c r="G3002">
        <v>3.1929259999999999</v>
      </c>
      <c r="H3002">
        <v>0.54494149999999997</v>
      </c>
      <c r="Q3002" s="10">
        <f t="shared" si="112"/>
        <v>2.9855547800139058E-4</v>
      </c>
      <c r="AI3002">
        <v>0.4186938</v>
      </c>
      <c r="AJ3002">
        <f t="shared" si="111"/>
        <v>0.4186938</v>
      </c>
      <c r="AO3002">
        <v>0.4186938</v>
      </c>
      <c r="AR3002" s="8">
        <v>0</v>
      </c>
      <c r="AS3002">
        <v>1.2142550000000001</v>
      </c>
    </row>
    <row r="3003" spans="1:45" x14ac:dyDescent="0.25">
      <c r="A3003">
        <v>521</v>
      </c>
      <c r="B3003">
        <v>1997</v>
      </c>
      <c r="C3003" s="8">
        <v>0</v>
      </c>
      <c r="D3003">
        <v>0.45434219999999997</v>
      </c>
      <c r="E3003">
        <v>0.27821439999999997</v>
      </c>
      <c r="F3003">
        <v>9.28813E-2</v>
      </c>
      <c r="G3003">
        <v>6.9822660000000001</v>
      </c>
      <c r="H3003">
        <v>0.50909450000000001</v>
      </c>
      <c r="Q3003" s="10">
        <f t="shared" si="112"/>
        <v>6.0738982785124264E-7</v>
      </c>
      <c r="AI3003">
        <v>0.38211430000000002</v>
      </c>
      <c r="AJ3003">
        <f t="shared" si="111"/>
        <v>0.38211430000000002</v>
      </c>
      <c r="AO3003">
        <v>0.38211430000000002</v>
      </c>
      <c r="AR3003" s="8">
        <v>0</v>
      </c>
      <c r="AS3003">
        <v>1.7443390000000001</v>
      </c>
    </row>
    <row r="3004" spans="1:45" x14ac:dyDescent="0.25">
      <c r="A3004">
        <v>521</v>
      </c>
      <c r="B3004">
        <v>1998</v>
      </c>
      <c r="C3004" s="8">
        <v>0</v>
      </c>
      <c r="D3004">
        <v>0.4186938</v>
      </c>
      <c r="E3004">
        <v>0.33461819999999998</v>
      </c>
      <c r="F3004">
        <v>9.4684400000000002E-2</v>
      </c>
      <c r="G3004">
        <v>3.4058679999999999</v>
      </c>
      <c r="H3004">
        <v>0.54316989999999998</v>
      </c>
      <c r="Q3004" s="10">
        <f t="shared" si="112"/>
        <v>1.6575103340129251E-4</v>
      </c>
      <c r="AI3004">
        <v>0.4851374</v>
      </c>
      <c r="AJ3004">
        <f t="shared" si="111"/>
        <v>0.4851374</v>
      </c>
      <c r="AO3004">
        <v>0.4851374</v>
      </c>
      <c r="AR3004" s="8">
        <v>0</v>
      </c>
      <c r="AS3004">
        <v>3.1929259999999999</v>
      </c>
    </row>
    <row r="3005" spans="1:45" x14ac:dyDescent="0.25">
      <c r="A3005">
        <v>521</v>
      </c>
      <c r="B3005">
        <v>1999</v>
      </c>
      <c r="C3005" s="8">
        <v>0</v>
      </c>
      <c r="D3005">
        <v>0.38211430000000002</v>
      </c>
      <c r="E3005">
        <v>0.42770979999999997</v>
      </c>
      <c r="F3005">
        <v>0.1023202</v>
      </c>
      <c r="G3005">
        <v>3.632933</v>
      </c>
      <c r="H3005">
        <v>0.61486339999999995</v>
      </c>
      <c r="Q3005" s="10">
        <f t="shared" si="112"/>
        <v>9.7664758640560574E-5</v>
      </c>
      <c r="AI3005">
        <v>0.50354100000000002</v>
      </c>
      <c r="AJ3005">
        <f t="shared" si="111"/>
        <v>0.50354100000000002</v>
      </c>
      <c r="AO3005">
        <v>0.50354100000000002</v>
      </c>
      <c r="AR3005" s="8">
        <v>0</v>
      </c>
      <c r="AS3005">
        <v>6.9822660000000001</v>
      </c>
    </row>
    <row r="3006" spans="1:45" x14ac:dyDescent="0.25">
      <c r="A3006">
        <v>521</v>
      </c>
      <c r="B3006">
        <v>2000</v>
      </c>
      <c r="C3006" s="8">
        <v>0</v>
      </c>
      <c r="D3006">
        <v>0.4851374</v>
      </c>
      <c r="E3006">
        <v>0.48872759999999998</v>
      </c>
      <c r="F3006">
        <v>0.11380220000000001</v>
      </c>
      <c r="G3006">
        <v>6.1529769999999999</v>
      </c>
      <c r="H3006">
        <v>0.62455110000000003</v>
      </c>
      <c r="Q3006" s="10">
        <f t="shared" si="112"/>
        <v>1.5431702071800726E-6</v>
      </c>
      <c r="AI3006">
        <v>0.46209929999999999</v>
      </c>
      <c r="AJ3006">
        <f t="shared" si="111"/>
        <v>0.46209929999999999</v>
      </c>
      <c r="AO3006">
        <v>0.46209929999999999</v>
      </c>
      <c r="AR3006" s="8">
        <v>0</v>
      </c>
      <c r="AS3006">
        <v>3.4058679999999999</v>
      </c>
    </row>
    <row r="3007" spans="1:45" x14ac:dyDescent="0.25">
      <c r="A3007">
        <v>521</v>
      </c>
      <c r="B3007">
        <v>2001</v>
      </c>
      <c r="C3007" s="8">
        <v>0</v>
      </c>
      <c r="D3007">
        <v>0.50354100000000002</v>
      </c>
      <c r="E3007">
        <v>0.52360530000000005</v>
      </c>
      <c r="F3007">
        <v>0.11195090000000001</v>
      </c>
      <c r="G3007">
        <v>6.7592239999999997</v>
      </c>
      <c r="H3007">
        <v>0.58191280000000001</v>
      </c>
      <c r="Q3007" s="10">
        <f t="shared" si="112"/>
        <v>5.5600745391756685E-7</v>
      </c>
      <c r="AI3007">
        <v>0.43534529999999999</v>
      </c>
      <c r="AJ3007">
        <f t="shared" si="111"/>
        <v>0.43534529999999999</v>
      </c>
      <c r="AO3007">
        <v>0.43534529999999999</v>
      </c>
      <c r="AR3007" s="8">
        <v>0</v>
      </c>
      <c r="AS3007">
        <v>3.632933</v>
      </c>
    </row>
    <row r="3008" spans="1:45" x14ac:dyDescent="0.25">
      <c r="A3008">
        <v>521</v>
      </c>
      <c r="B3008">
        <v>2002</v>
      </c>
      <c r="C3008" s="8">
        <v>0</v>
      </c>
      <c r="D3008">
        <v>0.46209929999999999</v>
      </c>
      <c r="E3008">
        <v>0.59645049999999999</v>
      </c>
      <c r="F3008">
        <v>0.1160277</v>
      </c>
      <c r="G3008">
        <v>4.6172839999999997</v>
      </c>
      <c r="H3008">
        <v>0.57062460000000004</v>
      </c>
      <c r="Q3008" s="10">
        <f t="shared" si="112"/>
        <v>1.4349255939016667E-5</v>
      </c>
      <c r="AI3008">
        <v>0.38170530000000003</v>
      </c>
      <c r="AJ3008">
        <f t="shared" si="111"/>
        <v>0.38170530000000003</v>
      </c>
      <c r="AO3008">
        <v>0.38170530000000003</v>
      </c>
      <c r="AR3008" s="8">
        <v>0</v>
      </c>
      <c r="AS3008">
        <v>6.1529769999999999</v>
      </c>
    </row>
    <row r="3009" spans="1:45" x14ac:dyDescent="0.25">
      <c r="A3009">
        <v>521</v>
      </c>
      <c r="B3009">
        <v>2003</v>
      </c>
      <c r="C3009" s="8">
        <v>0</v>
      </c>
      <c r="D3009">
        <v>0.43534529999999999</v>
      </c>
      <c r="E3009">
        <v>0.63472090000000003</v>
      </c>
      <c r="F3009">
        <v>9.28789E-2</v>
      </c>
      <c r="G3009">
        <v>5.6627000000000001</v>
      </c>
      <c r="H3009">
        <v>0.56309370000000003</v>
      </c>
      <c r="Q3009" s="10">
        <f t="shared" si="112"/>
        <v>3.0389420287866702E-6</v>
      </c>
      <c r="AI3009">
        <v>0.42150330000000003</v>
      </c>
      <c r="AJ3009">
        <f t="shared" si="111"/>
        <v>0.42150330000000003</v>
      </c>
      <c r="AO3009">
        <v>0.42150330000000003</v>
      </c>
      <c r="AR3009" s="8">
        <v>0</v>
      </c>
      <c r="AS3009">
        <v>6.7592239999999997</v>
      </c>
    </row>
    <row r="3010" spans="1:45" x14ac:dyDescent="0.25">
      <c r="A3010">
        <v>521</v>
      </c>
      <c r="B3010">
        <v>2004</v>
      </c>
      <c r="C3010" s="8">
        <v>0</v>
      </c>
      <c r="D3010">
        <v>0.38170530000000003</v>
      </c>
      <c r="E3010">
        <v>0.64361619999999997</v>
      </c>
      <c r="F3010">
        <v>6.7264299999999999E-2</v>
      </c>
      <c r="G3010">
        <v>3.86246</v>
      </c>
      <c r="H3010">
        <v>0.5153259</v>
      </c>
      <c r="Q3010" s="10">
        <f t="shared" si="112"/>
        <v>6.158577328668367E-5</v>
      </c>
      <c r="AI3010">
        <v>0.38514369999999998</v>
      </c>
      <c r="AJ3010">
        <f t="shared" si="111"/>
        <v>0.38514369999999998</v>
      </c>
      <c r="AO3010">
        <v>0.38514369999999998</v>
      </c>
      <c r="AR3010" s="8">
        <v>0</v>
      </c>
      <c r="AS3010">
        <v>4.6172839999999997</v>
      </c>
    </row>
    <row r="3011" spans="1:45" x14ac:dyDescent="0.25">
      <c r="A3011">
        <v>522</v>
      </c>
      <c r="B3011">
        <v>1995</v>
      </c>
      <c r="C3011" s="8">
        <v>0</v>
      </c>
      <c r="D3011">
        <v>0.42150330000000003</v>
      </c>
      <c r="E3011">
        <v>0.91222329999999996</v>
      </c>
      <c r="F3011">
        <v>-2.1582500000000001E-2</v>
      </c>
      <c r="G3011">
        <v>9.4726689999999998</v>
      </c>
      <c r="H3011">
        <v>0.1261099</v>
      </c>
      <c r="Q3011" s="10">
        <f t="shared" si="112"/>
        <v>8.8752682694220324E-9</v>
      </c>
      <c r="AI3011">
        <v>0.39377000000000001</v>
      </c>
      <c r="AJ3011">
        <f t="shared" si="111"/>
        <v>0.39377000000000001</v>
      </c>
      <c r="AO3011">
        <v>0.39377000000000001</v>
      </c>
      <c r="AR3011" s="8">
        <v>0</v>
      </c>
      <c r="AS3011">
        <v>5.6627000000000001</v>
      </c>
    </row>
    <row r="3012" spans="1:45" x14ac:dyDescent="0.25">
      <c r="A3012">
        <v>522</v>
      </c>
      <c r="B3012">
        <v>1996</v>
      </c>
      <c r="C3012" s="8">
        <v>0</v>
      </c>
      <c r="D3012">
        <v>0.38514369999999998</v>
      </c>
      <c r="E3012">
        <v>0.94619540000000002</v>
      </c>
      <c r="F3012">
        <v>-1.2193600000000001E-2</v>
      </c>
      <c r="G3012">
        <v>11.274330000000001</v>
      </c>
      <c r="H3012">
        <v>0.17096819999999999</v>
      </c>
      <c r="Q3012" s="10">
        <f t="shared" si="112"/>
        <v>4.4950241422396449E-10</v>
      </c>
      <c r="AI3012">
        <v>0.435249</v>
      </c>
      <c r="AJ3012">
        <f t="shared" si="111"/>
        <v>0.435249</v>
      </c>
      <c r="AO3012">
        <v>0.435249</v>
      </c>
      <c r="AR3012" s="8">
        <v>0</v>
      </c>
      <c r="AS3012">
        <v>3.86246</v>
      </c>
    </row>
    <row r="3013" spans="1:45" x14ac:dyDescent="0.25">
      <c r="A3013">
        <v>522</v>
      </c>
      <c r="B3013">
        <v>1997</v>
      </c>
      <c r="C3013" s="8">
        <v>0</v>
      </c>
      <c r="D3013">
        <v>0.39377000000000001</v>
      </c>
      <c r="E3013">
        <v>0.92232329999999996</v>
      </c>
      <c r="F3013">
        <v>-2.3463700000000001E-2</v>
      </c>
      <c r="G3013">
        <v>15.499090000000001</v>
      </c>
      <c r="H3013">
        <v>0.12338349999999999</v>
      </c>
      <c r="Q3013" s="10">
        <f t="shared" si="112"/>
        <v>5.9127996598008592E-13</v>
      </c>
      <c r="AI3013">
        <v>0.43208210000000002</v>
      </c>
      <c r="AJ3013">
        <f t="shared" ref="AJ3013:AJ3076" si="113">MAX(MIN(AI3013,AM$5),AM$4)</f>
        <v>0.43208210000000002</v>
      </c>
      <c r="AO3013">
        <v>0.43208210000000002</v>
      </c>
      <c r="AR3013" s="8">
        <v>0</v>
      </c>
      <c r="AS3013">
        <v>9.4726689999999998</v>
      </c>
    </row>
    <row r="3014" spans="1:45" x14ac:dyDescent="0.25">
      <c r="A3014">
        <v>522</v>
      </c>
      <c r="B3014">
        <v>1998</v>
      </c>
      <c r="C3014" s="8">
        <v>0</v>
      </c>
      <c r="D3014">
        <v>0.435249</v>
      </c>
      <c r="E3014">
        <v>0.81560869999999996</v>
      </c>
      <c r="F3014">
        <v>-3.5151500000000002E-2</v>
      </c>
      <c r="G3014">
        <v>13.82662</v>
      </c>
      <c r="H3014">
        <v>0.1015773</v>
      </c>
      <c r="Q3014" s="10">
        <f t="shared" si="112"/>
        <v>1.0936484335732082E-11</v>
      </c>
      <c r="AI3014">
        <v>0.52912329999999996</v>
      </c>
      <c r="AJ3014">
        <f t="shared" si="113"/>
        <v>0.52051970800000003</v>
      </c>
      <c r="AO3014">
        <v>0.52051970800000003</v>
      </c>
      <c r="AR3014" s="8">
        <v>0</v>
      </c>
      <c r="AS3014">
        <v>11.274330000000001</v>
      </c>
    </row>
    <row r="3015" spans="1:45" x14ac:dyDescent="0.25">
      <c r="A3015">
        <v>523</v>
      </c>
      <c r="B3015">
        <v>1995</v>
      </c>
      <c r="C3015" s="8">
        <v>0</v>
      </c>
      <c r="D3015">
        <v>0.43208210000000002</v>
      </c>
      <c r="E3015">
        <v>0.26420189999999999</v>
      </c>
      <c r="F3015">
        <v>5.3215600000000002E-2</v>
      </c>
      <c r="G3015">
        <v>0.88852710000000001</v>
      </c>
      <c r="H3015">
        <v>0.70881079999999996</v>
      </c>
      <c r="Q3015" s="10">
        <f t="shared" ref="Q3015:Q3078" si="114">1/(1+EXP(-(J$6+SUMPRODUCT(K$6:O$6,D3015:H3015))))</f>
        <v>1.5505389370155699E-2</v>
      </c>
      <c r="AI3015">
        <v>0.51820869999999997</v>
      </c>
      <c r="AJ3015">
        <f t="shared" si="113"/>
        <v>0.51820869999999997</v>
      </c>
      <c r="AO3015">
        <v>0.51820869999999997</v>
      </c>
      <c r="AR3015" s="8">
        <v>0</v>
      </c>
      <c r="AS3015">
        <v>15.499090000000001</v>
      </c>
    </row>
    <row r="3016" spans="1:45" x14ac:dyDescent="0.25">
      <c r="A3016">
        <v>523</v>
      </c>
      <c r="B3016">
        <v>1996</v>
      </c>
      <c r="C3016" s="8">
        <v>0</v>
      </c>
      <c r="D3016">
        <v>0.52912329999999996</v>
      </c>
      <c r="E3016">
        <v>0.2687445</v>
      </c>
      <c r="F3016">
        <v>4.9548399999999999E-2</v>
      </c>
      <c r="G3016">
        <v>1.0770690000000001</v>
      </c>
      <c r="H3016">
        <v>0.69042720000000002</v>
      </c>
      <c r="Q3016" s="10">
        <f t="shared" si="114"/>
        <v>1.2130228480802512E-2</v>
      </c>
      <c r="AI3016">
        <v>0.51981379999999999</v>
      </c>
      <c r="AJ3016">
        <f t="shared" si="113"/>
        <v>0.51981379999999999</v>
      </c>
      <c r="AO3016">
        <v>0.51981379999999999</v>
      </c>
      <c r="AR3016" s="8">
        <v>0</v>
      </c>
      <c r="AS3016">
        <v>13.82662</v>
      </c>
    </row>
    <row r="3017" spans="1:45" x14ac:dyDescent="0.25">
      <c r="A3017">
        <v>523</v>
      </c>
      <c r="B3017">
        <v>1997</v>
      </c>
      <c r="C3017" s="8">
        <v>0</v>
      </c>
      <c r="D3017">
        <v>0.51820869999999997</v>
      </c>
      <c r="E3017">
        <v>0.20940339999999999</v>
      </c>
      <c r="F3017">
        <v>4.1921100000000003E-2</v>
      </c>
      <c r="G3017">
        <v>0.57750820000000003</v>
      </c>
      <c r="H3017">
        <v>0.47893400000000003</v>
      </c>
      <c r="Q3017" s="10">
        <f t="shared" si="114"/>
        <v>2.6803634467200878E-2</v>
      </c>
      <c r="AI3017">
        <v>0.49211899999999997</v>
      </c>
      <c r="AJ3017">
        <f t="shared" si="113"/>
        <v>0.49211899999999997</v>
      </c>
      <c r="AO3017">
        <v>0.49211899999999997</v>
      </c>
      <c r="AR3017" s="8">
        <v>0</v>
      </c>
      <c r="AS3017">
        <v>0.88852710000000001</v>
      </c>
    </row>
    <row r="3018" spans="1:45" x14ac:dyDescent="0.25">
      <c r="A3018">
        <v>523</v>
      </c>
      <c r="B3018">
        <v>1998</v>
      </c>
      <c r="C3018" s="8">
        <v>0</v>
      </c>
      <c r="D3018">
        <v>0.51981379999999999</v>
      </c>
      <c r="E3018">
        <v>0.24331610000000001</v>
      </c>
      <c r="F3018">
        <v>5.3012900000000002E-2</v>
      </c>
      <c r="G3018">
        <v>0.29506749999999998</v>
      </c>
      <c r="H3018">
        <v>0.62153210000000003</v>
      </c>
      <c r="Q3018" s="10">
        <f t="shared" si="114"/>
        <v>3.9507710216458686E-2</v>
      </c>
      <c r="AI3018">
        <v>0.53083599999999997</v>
      </c>
      <c r="AJ3018">
        <f t="shared" si="113"/>
        <v>0.52051970800000003</v>
      </c>
      <c r="AO3018">
        <v>0.52051970800000003</v>
      </c>
      <c r="AR3018" s="8">
        <v>0</v>
      </c>
      <c r="AS3018">
        <v>1.0770690000000001</v>
      </c>
    </row>
    <row r="3019" spans="1:45" x14ac:dyDescent="0.25">
      <c r="A3019">
        <v>523</v>
      </c>
      <c r="B3019">
        <v>1999</v>
      </c>
      <c r="C3019" s="8">
        <v>0</v>
      </c>
      <c r="D3019">
        <v>0.49211899999999997</v>
      </c>
      <c r="E3019">
        <v>0.25513849999999999</v>
      </c>
      <c r="F3019">
        <v>4.0005800000000001E-2</v>
      </c>
      <c r="G3019">
        <v>0.56143330000000002</v>
      </c>
      <c r="H3019">
        <v>0.64494370000000001</v>
      </c>
      <c r="Q3019" s="10">
        <f t="shared" si="114"/>
        <v>2.8594142870602794E-2</v>
      </c>
      <c r="AI3019">
        <v>0.46382770000000001</v>
      </c>
      <c r="AJ3019">
        <f t="shared" si="113"/>
        <v>0.46382770000000001</v>
      </c>
      <c r="AO3019">
        <v>0.46382770000000001</v>
      </c>
      <c r="AR3019" s="8">
        <v>0</v>
      </c>
      <c r="AS3019">
        <v>0.57750820000000003</v>
      </c>
    </row>
    <row r="3020" spans="1:45" x14ac:dyDescent="0.25">
      <c r="A3020">
        <v>523</v>
      </c>
      <c r="B3020">
        <v>2000</v>
      </c>
      <c r="C3020" s="8">
        <v>0</v>
      </c>
      <c r="D3020">
        <v>0.53083599999999997</v>
      </c>
      <c r="E3020">
        <v>0.23965159999999999</v>
      </c>
      <c r="F3020">
        <v>4.9205199999999998E-2</v>
      </c>
      <c r="G3020">
        <v>0.49844959999999999</v>
      </c>
      <c r="H3020">
        <v>0.63514590000000004</v>
      </c>
      <c r="Q3020" s="10">
        <f t="shared" si="114"/>
        <v>3.0287396406474411E-2</v>
      </c>
      <c r="AI3020">
        <v>0.54489860000000001</v>
      </c>
      <c r="AJ3020">
        <f t="shared" si="113"/>
        <v>0.52051970800000003</v>
      </c>
      <c r="AO3020">
        <v>0.52051970800000003</v>
      </c>
      <c r="AR3020" s="8">
        <v>0</v>
      </c>
      <c r="AS3020">
        <v>0.29506749999999998</v>
      </c>
    </row>
    <row r="3021" spans="1:45" x14ac:dyDescent="0.25">
      <c r="A3021">
        <v>523</v>
      </c>
      <c r="B3021">
        <v>2001</v>
      </c>
      <c r="C3021" s="8">
        <v>0</v>
      </c>
      <c r="D3021">
        <v>0.46382770000000001</v>
      </c>
      <c r="E3021">
        <v>0.29152749999999999</v>
      </c>
      <c r="F3021">
        <v>4.2100899999999997E-2</v>
      </c>
      <c r="G3021">
        <v>0.81203060000000005</v>
      </c>
      <c r="H3021">
        <v>0.56687379999999998</v>
      </c>
      <c r="Q3021" s="10">
        <f t="shared" si="114"/>
        <v>1.7045655097555949E-2</v>
      </c>
      <c r="AI3021">
        <v>0.37588909999999998</v>
      </c>
      <c r="AJ3021">
        <f t="shared" si="113"/>
        <v>0.37588909999999998</v>
      </c>
      <c r="AO3021">
        <v>0.37588909999999998</v>
      </c>
      <c r="AR3021" s="8">
        <v>0</v>
      </c>
      <c r="AS3021">
        <v>0.56143330000000002</v>
      </c>
    </row>
    <row r="3022" spans="1:45" x14ac:dyDescent="0.25">
      <c r="A3022">
        <v>523</v>
      </c>
      <c r="B3022">
        <v>2002</v>
      </c>
      <c r="C3022" s="8">
        <v>0</v>
      </c>
      <c r="D3022">
        <v>0.54489860000000001</v>
      </c>
      <c r="E3022">
        <v>0.30551719999999999</v>
      </c>
      <c r="F3022">
        <v>2.5456800000000002E-2</v>
      </c>
      <c r="G3022">
        <v>0.59563169999999999</v>
      </c>
      <c r="H3022">
        <v>0.36054069999999999</v>
      </c>
      <c r="Q3022" s="10">
        <f t="shared" si="114"/>
        <v>2.4332876878356093E-2</v>
      </c>
      <c r="AI3022">
        <v>0.243369</v>
      </c>
      <c r="AJ3022">
        <f t="shared" si="113"/>
        <v>0.243369</v>
      </c>
      <c r="AO3022">
        <v>0.243369</v>
      </c>
      <c r="AR3022" s="8">
        <v>0</v>
      </c>
      <c r="AS3022">
        <v>0.49844959999999999</v>
      </c>
    </row>
    <row r="3023" spans="1:45" x14ac:dyDescent="0.25">
      <c r="A3023">
        <v>523</v>
      </c>
      <c r="B3023">
        <v>2003</v>
      </c>
      <c r="C3023" s="8">
        <v>0</v>
      </c>
      <c r="D3023">
        <v>0.37588909999999998</v>
      </c>
      <c r="E3023">
        <v>0.3239071</v>
      </c>
      <c r="F3023">
        <v>4.6143799999999999E-2</v>
      </c>
      <c r="G3023">
        <v>0.88204590000000005</v>
      </c>
      <c r="H3023">
        <v>0.52145280000000005</v>
      </c>
      <c r="Q3023" s="10">
        <f t="shared" si="114"/>
        <v>1.3252174074051486E-2</v>
      </c>
      <c r="AI3023">
        <v>-0.1386249</v>
      </c>
      <c r="AJ3023">
        <f t="shared" si="113"/>
        <v>-0.113345184</v>
      </c>
      <c r="AO3023">
        <v>-0.113345184</v>
      </c>
      <c r="AR3023" s="8">
        <v>0</v>
      </c>
      <c r="AS3023">
        <v>0.81203060000000005</v>
      </c>
    </row>
    <row r="3024" spans="1:45" x14ac:dyDescent="0.25">
      <c r="A3024">
        <v>523</v>
      </c>
      <c r="B3024">
        <v>2004</v>
      </c>
      <c r="C3024" s="8">
        <v>0</v>
      </c>
      <c r="D3024">
        <v>0.243369</v>
      </c>
      <c r="E3024">
        <v>0.30814639999999999</v>
      </c>
      <c r="F3024">
        <v>4.9934800000000001E-2</v>
      </c>
      <c r="G3024">
        <v>1.198536</v>
      </c>
      <c r="H3024">
        <v>0.4620282</v>
      </c>
      <c r="Q3024" s="10">
        <f t="shared" si="114"/>
        <v>7.2912672237627294E-3</v>
      </c>
      <c r="AI3024">
        <v>-9.44131E-2</v>
      </c>
      <c r="AJ3024">
        <f t="shared" si="113"/>
        <v>-9.44131E-2</v>
      </c>
      <c r="AO3024">
        <v>-9.44131E-2</v>
      </c>
      <c r="AR3024" s="8">
        <v>0</v>
      </c>
      <c r="AS3024">
        <v>0.59563169999999999</v>
      </c>
    </row>
    <row r="3025" spans="1:45" x14ac:dyDescent="0.25">
      <c r="A3025">
        <v>524</v>
      </c>
      <c r="B3025">
        <v>1995</v>
      </c>
      <c r="C3025" s="8">
        <v>0</v>
      </c>
      <c r="D3025">
        <v>-0.1386249</v>
      </c>
      <c r="E3025">
        <v>0.30923220000000001</v>
      </c>
      <c r="F3025">
        <v>4.9806000000000003E-2</v>
      </c>
      <c r="G3025">
        <v>1.2447079999999999</v>
      </c>
      <c r="H3025">
        <v>0.13989299999999999</v>
      </c>
      <c r="Q3025" s="10">
        <f t="shared" si="114"/>
        <v>4.7454240772071268E-3</v>
      </c>
      <c r="AI3025">
        <v>-8.1852599999999998E-2</v>
      </c>
      <c r="AJ3025">
        <f t="shared" si="113"/>
        <v>-8.1852599999999998E-2</v>
      </c>
      <c r="AO3025">
        <v>-8.1852599999999998E-2</v>
      </c>
      <c r="AR3025" s="8">
        <v>0</v>
      </c>
      <c r="AS3025">
        <v>0.88204590000000005</v>
      </c>
    </row>
    <row r="3026" spans="1:45" x14ac:dyDescent="0.25">
      <c r="A3026">
        <v>524</v>
      </c>
      <c r="B3026">
        <v>1996</v>
      </c>
      <c r="C3026" s="8">
        <v>0</v>
      </c>
      <c r="D3026">
        <v>-9.44131E-2</v>
      </c>
      <c r="E3026">
        <v>0.33252739999999997</v>
      </c>
      <c r="F3026">
        <v>4.0160300000000003E-2</v>
      </c>
      <c r="G3026">
        <v>1.3890469999999999</v>
      </c>
      <c r="H3026">
        <v>0.1603048</v>
      </c>
      <c r="Q3026" s="10">
        <f t="shared" si="114"/>
        <v>4.0637380843029387E-3</v>
      </c>
      <c r="AI3026">
        <v>6.2607000000000001E-3</v>
      </c>
      <c r="AJ3026">
        <f t="shared" si="113"/>
        <v>6.2607000000000001E-3</v>
      </c>
      <c r="AO3026">
        <v>6.2607000000000001E-3</v>
      </c>
      <c r="AR3026" s="8">
        <v>0</v>
      </c>
      <c r="AS3026">
        <v>1.198536</v>
      </c>
    </row>
    <row r="3027" spans="1:45" x14ac:dyDescent="0.25">
      <c r="A3027">
        <v>524</v>
      </c>
      <c r="B3027">
        <v>1997</v>
      </c>
      <c r="C3027" s="8">
        <v>0</v>
      </c>
      <c r="D3027">
        <v>-8.1852599999999998E-2</v>
      </c>
      <c r="E3027">
        <v>0.36477080000000001</v>
      </c>
      <c r="F3027">
        <v>6.1790699999999997E-2</v>
      </c>
      <c r="G3027">
        <v>2.1073569999999999</v>
      </c>
      <c r="H3027">
        <v>0.1518456</v>
      </c>
      <c r="Q3027" s="10">
        <f t="shared" si="114"/>
        <v>1.0413271249514187E-3</v>
      </c>
      <c r="AI3027">
        <v>9.8268599999999998E-2</v>
      </c>
      <c r="AJ3027">
        <f t="shared" si="113"/>
        <v>9.8268599999999998E-2</v>
      </c>
      <c r="AO3027">
        <v>9.8268599999999998E-2</v>
      </c>
      <c r="AR3027" s="8">
        <v>0</v>
      </c>
      <c r="AS3027">
        <v>1.2447079999999999</v>
      </c>
    </row>
    <row r="3028" spans="1:45" x14ac:dyDescent="0.25">
      <c r="A3028">
        <v>524</v>
      </c>
      <c r="B3028">
        <v>1998</v>
      </c>
      <c r="C3028" s="8">
        <v>0</v>
      </c>
      <c r="D3028">
        <v>6.2607000000000001E-3</v>
      </c>
      <c r="E3028">
        <v>0.42233379999999998</v>
      </c>
      <c r="F3028">
        <v>6.4237199999999994E-2</v>
      </c>
      <c r="G3028">
        <v>3.019714</v>
      </c>
      <c r="H3028">
        <v>0.16529569999999999</v>
      </c>
      <c r="Q3028" s="10">
        <f t="shared" si="114"/>
        <v>2.2968711950285605E-4</v>
      </c>
      <c r="AI3028">
        <v>5.4095999999999997E-3</v>
      </c>
      <c r="AJ3028">
        <f t="shared" si="113"/>
        <v>5.4095999999999997E-3</v>
      </c>
      <c r="AO3028">
        <v>5.4095999999999997E-3</v>
      </c>
      <c r="AR3028" s="8">
        <v>0</v>
      </c>
      <c r="AS3028">
        <v>1.3890469999999999</v>
      </c>
    </row>
    <row r="3029" spans="1:45" x14ac:dyDescent="0.25">
      <c r="A3029">
        <v>524</v>
      </c>
      <c r="B3029">
        <v>1999</v>
      </c>
      <c r="C3029" s="8">
        <v>0</v>
      </c>
      <c r="D3029">
        <v>9.8268599999999998E-2</v>
      </c>
      <c r="E3029">
        <v>0.4356795</v>
      </c>
      <c r="F3029">
        <v>6.6972000000000004E-2</v>
      </c>
      <c r="G3029">
        <v>1.975449</v>
      </c>
      <c r="H3029">
        <v>0.1615876</v>
      </c>
      <c r="Q3029" s="10">
        <f t="shared" si="114"/>
        <v>1.205229446804175E-3</v>
      </c>
      <c r="AI3029">
        <v>-3.91793E-2</v>
      </c>
      <c r="AJ3029">
        <f t="shared" si="113"/>
        <v>-3.91793E-2</v>
      </c>
      <c r="AO3029">
        <v>-3.91793E-2</v>
      </c>
      <c r="AR3029" s="8">
        <v>0</v>
      </c>
      <c r="AS3029">
        <v>2.1073569999999999</v>
      </c>
    </row>
    <row r="3030" spans="1:45" x14ac:dyDescent="0.25">
      <c r="A3030">
        <v>524</v>
      </c>
      <c r="B3030">
        <v>2000</v>
      </c>
      <c r="C3030" s="8">
        <v>0</v>
      </c>
      <c r="D3030">
        <v>5.4095999999999997E-3</v>
      </c>
      <c r="E3030">
        <v>0.49179729999999999</v>
      </c>
      <c r="F3030">
        <v>6.0823599999999998E-2</v>
      </c>
      <c r="G3030">
        <v>1.320859</v>
      </c>
      <c r="H3030">
        <v>0.153277</v>
      </c>
      <c r="Q3030" s="10">
        <f t="shared" si="114"/>
        <v>3.1639217472915343E-3</v>
      </c>
      <c r="AI3030">
        <v>-6.0497700000000001E-2</v>
      </c>
      <c r="AJ3030">
        <f t="shared" si="113"/>
        <v>-6.0497700000000001E-2</v>
      </c>
      <c r="AO3030">
        <v>-6.0497700000000001E-2</v>
      </c>
      <c r="AR3030" s="8">
        <v>0</v>
      </c>
      <c r="AS3030">
        <v>3.019714</v>
      </c>
    </row>
    <row r="3031" spans="1:45" x14ac:dyDescent="0.25">
      <c r="A3031">
        <v>524</v>
      </c>
      <c r="B3031">
        <v>2001</v>
      </c>
      <c r="C3031" s="8">
        <v>0</v>
      </c>
      <c r="D3031">
        <v>-3.91793E-2</v>
      </c>
      <c r="E3031">
        <v>0.45847840000000001</v>
      </c>
      <c r="F3031">
        <v>5.1042900000000002E-2</v>
      </c>
      <c r="G3031">
        <v>1.2669699999999999</v>
      </c>
      <c r="H3031">
        <v>0.1563959</v>
      </c>
      <c r="Q3031" s="10">
        <f t="shared" si="114"/>
        <v>3.8464200417428819E-3</v>
      </c>
      <c r="AI3031">
        <v>1.0575299999999999E-2</v>
      </c>
      <c r="AJ3031">
        <f t="shared" si="113"/>
        <v>1.0575299999999999E-2</v>
      </c>
      <c r="AO3031">
        <v>1.0575299999999999E-2</v>
      </c>
      <c r="AR3031" s="8">
        <v>0</v>
      </c>
      <c r="AS3031">
        <v>1.975449</v>
      </c>
    </row>
    <row r="3032" spans="1:45" x14ac:dyDescent="0.25">
      <c r="A3032">
        <v>524</v>
      </c>
      <c r="B3032">
        <v>2002</v>
      </c>
      <c r="C3032" s="8">
        <v>0</v>
      </c>
      <c r="D3032">
        <v>-6.0497700000000001E-2</v>
      </c>
      <c r="E3032">
        <v>0.4640648</v>
      </c>
      <c r="F3032">
        <v>6.4038800000000007E-2</v>
      </c>
      <c r="G3032">
        <v>1.0203880000000001</v>
      </c>
      <c r="H3032">
        <v>0.16908690000000001</v>
      </c>
      <c r="Q3032" s="10">
        <f t="shared" si="114"/>
        <v>5.0825129083575463E-3</v>
      </c>
      <c r="AI3032">
        <v>-2.9831E-2</v>
      </c>
      <c r="AJ3032">
        <f t="shared" si="113"/>
        <v>-2.9831E-2</v>
      </c>
      <c r="AO3032">
        <v>-2.9831E-2</v>
      </c>
      <c r="AR3032" s="8">
        <v>0</v>
      </c>
      <c r="AS3032">
        <v>1.320859</v>
      </c>
    </row>
    <row r="3033" spans="1:45" x14ac:dyDescent="0.25">
      <c r="A3033">
        <v>524</v>
      </c>
      <c r="B3033">
        <v>2003</v>
      </c>
      <c r="C3033" s="8">
        <v>0</v>
      </c>
      <c r="D3033">
        <v>1.0575299999999999E-2</v>
      </c>
      <c r="E3033">
        <v>0.48358859999999998</v>
      </c>
      <c r="F3033">
        <v>6.2498499999999998E-2</v>
      </c>
      <c r="G3033">
        <v>1.2554780000000001</v>
      </c>
      <c r="H3033">
        <v>0.167742</v>
      </c>
      <c r="Q3033" s="10">
        <f t="shared" si="114"/>
        <v>3.5440303751907384E-3</v>
      </c>
      <c r="AI3033">
        <v>0.1985275</v>
      </c>
      <c r="AJ3033">
        <f t="shared" si="113"/>
        <v>0.1985275</v>
      </c>
      <c r="AO3033">
        <v>0.1985275</v>
      </c>
      <c r="AR3033" s="8">
        <v>0</v>
      </c>
      <c r="AS3033">
        <v>1.2669699999999999</v>
      </c>
    </row>
    <row r="3034" spans="1:45" x14ac:dyDescent="0.25">
      <c r="A3034">
        <v>524</v>
      </c>
      <c r="B3034">
        <v>2004</v>
      </c>
      <c r="C3034" s="8">
        <v>0</v>
      </c>
      <c r="D3034">
        <v>-2.9831E-2</v>
      </c>
      <c r="E3034">
        <v>0.47440949999999998</v>
      </c>
      <c r="F3034">
        <v>6.0762200000000002E-2</v>
      </c>
      <c r="G3034">
        <v>1.283795</v>
      </c>
      <c r="H3034">
        <v>0.1782108</v>
      </c>
      <c r="Q3034" s="10">
        <f t="shared" si="114"/>
        <v>3.4460068707248773E-3</v>
      </c>
      <c r="AI3034">
        <v>0.18675</v>
      </c>
      <c r="AJ3034">
        <f t="shared" si="113"/>
        <v>0.18675</v>
      </c>
      <c r="AO3034">
        <v>0.18675</v>
      </c>
      <c r="AR3034" s="8">
        <v>0</v>
      </c>
      <c r="AS3034">
        <v>1.0203880000000001</v>
      </c>
    </row>
    <row r="3035" spans="1:45" x14ac:dyDescent="0.25">
      <c r="A3035">
        <v>525</v>
      </c>
      <c r="B3035">
        <v>1995</v>
      </c>
      <c r="C3035" s="8">
        <v>0</v>
      </c>
      <c r="D3035">
        <v>0.1985275</v>
      </c>
      <c r="E3035">
        <v>0.28518729999999998</v>
      </c>
      <c r="F3035">
        <v>5.6073400000000002E-2</v>
      </c>
      <c r="G3035">
        <v>5.6035269999999997</v>
      </c>
      <c r="H3035">
        <v>0.13153509999999999</v>
      </c>
      <c r="Q3035" s="10">
        <f t="shared" si="114"/>
        <v>5.169943654349432E-6</v>
      </c>
      <c r="AI3035">
        <v>0.15948409999999999</v>
      </c>
      <c r="AJ3035">
        <f t="shared" si="113"/>
        <v>0.15948409999999999</v>
      </c>
      <c r="AO3035">
        <v>0.15948409999999999</v>
      </c>
      <c r="AR3035" s="8">
        <v>0</v>
      </c>
      <c r="AS3035">
        <v>1.2554780000000001</v>
      </c>
    </row>
    <row r="3036" spans="1:45" x14ac:dyDescent="0.25">
      <c r="A3036">
        <v>525</v>
      </c>
      <c r="B3036">
        <v>1996</v>
      </c>
      <c r="C3036" s="8">
        <v>0</v>
      </c>
      <c r="D3036">
        <v>0.18675</v>
      </c>
      <c r="E3036">
        <v>0.21746740000000001</v>
      </c>
      <c r="F3036">
        <v>9.0954999999999994E-3</v>
      </c>
      <c r="G3036">
        <v>4.2171240000000001</v>
      </c>
      <c r="H3036">
        <v>0.1335268</v>
      </c>
      <c r="Q3036" s="10">
        <f t="shared" si="114"/>
        <v>7.5396003861447736E-5</v>
      </c>
      <c r="AI3036">
        <v>0.26185120000000001</v>
      </c>
      <c r="AJ3036">
        <f t="shared" si="113"/>
        <v>0.26185120000000001</v>
      </c>
      <c r="AO3036">
        <v>0.26185120000000001</v>
      </c>
      <c r="AR3036" s="8">
        <v>0</v>
      </c>
      <c r="AS3036">
        <v>1.283795</v>
      </c>
    </row>
    <row r="3037" spans="1:45" x14ac:dyDescent="0.25">
      <c r="A3037">
        <v>525</v>
      </c>
      <c r="B3037">
        <v>1997</v>
      </c>
      <c r="C3037" s="8">
        <v>0</v>
      </c>
      <c r="D3037">
        <v>0.15948409999999999</v>
      </c>
      <c r="E3037">
        <v>0.13624939999999999</v>
      </c>
      <c r="F3037">
        <v>-7.0523199999999994E-2</v>
      </c>
      <c r="G3037">
        <v>3.21393</v>
      </c>
      <c r="H3037">
        <v>0.1362198</v>
      </c>
      <c r="Q3037" s="10">
        <f t="shared" si="114"/>
        <v>7.8529988237053367E-4</v>
      </c>
      <c r="AI3037">
        <v>0.1037738</v>
      </c>
      <c r="AJ3037">
        <f t="shared" si="113"/>
        <v>0.1037738</v>
      </c>
      <c r="AO3037">
        <v>0.1037738</v>
      </c>
      <c r="AR3037" s="8">
        <v>0</v>
      </c>
      <c r="AS3037">
        <v>5.6035269999999997</v>
      </c>
    </row>
    <row r="3038" spans="1:45" x14ac:dyDescent="0.25">
      <c r="A3038">
        <v>525</v>
      </c>
      <c r="B3038">
        <v>1998</v>
      </c>
      <c r="C3038" s="8">
        <v>0</v>
      </c>
      <c r="D3038">
        <v>0.26185120000000001</v>
      </c>
      <c r="E3038">
        <v>0.1519413</v>
      </c>
      <c r="F3038">
        <v>5.0385699999999999E-2</v>
      </c>
      <c r="G3038">
        <v>2.7679740000000002</v>
      </c>
      <c r="H3038">
        <v>0.13642989999999999</v>
      </c>
      <c r="Q3038" s="10">
        <f t="shared" si="114"/>
        <v>6.1985204933109677E-4</v>
      </c>
      <c r="AI3038">
        <v>0.16936480000000001</v>
      </c>
      <c r="AJ3038">
        <f t="shared" si="113"/>
        <v>0.16936480000000001</v>
      </c>
      <c r="AO3038">
        <v>0.16936480000000001</v>
      </c>
      <c r="AR3038" s="8">
        <v>0</v>
      </c>
      <c r="AS3038">
        <v>4.2171240000000001</v>
      </c>
    </row>
    <row r="3039" spans="1:45" x14ac:dyDescent="0.25">
      <c r="A3039">
        <v>525</v>
      </c>
      <c r="B3039">
        <v>1999</v>
      </c>
      <c r="C3039" s="8">
        <v>0</v>
      </c>
      <c r="D3039">
        <v>0.1037738</v>
      </c>
      <c r="E3039">
        <v>0.13967479999999999</v>
      </c>
      <c r="F3039">
        <v>2.4671100000000001E-2</v>
      </c>
      <c r="G3039">
        <v>2.1835770000000001</v>
      </c>
      <c r="H3039">
        <v>0.13817399999999999</v>
      </c>
      <c r="Q3039" s="10">
        <f t="shared" si="114"/>
        <v>1.8420818118064885E-3</v>
      </c>
      <c r="AI3039">
        <v>0.2169363</v>
      </c>
      <c r="AJ3039">
        <f t="shared" si="113"/>
        <v>0.2169363</v>
      </c>
      <c r="AO3039">
        <v>0.2169363</v>
      </c>
      <c r="AR3039" s="8">
        <v>0</v>
      </c>
      <c r="AS3039">
        <v>3.21393</v>
      </c>
    </row>
    <row r="3040" spans="1:45" x14ac:dyDescent="0.25">
      <c r="A3040">
        <v>525</v>
      </c>
      <c r="B3040">
        <v>2000</v>
      </c>
      <c r="C3040" s="8">
        <v>0</v>
      </c>
      <c r="D3040">
        <v>0.16936480000000001</v>
      </c>
      <c r="E3040">
        <v>0.1006745</v>
      </c>
      <c r="F3040">
        <v>-4.7787400000000001E-2</v>
      </c>
      <c r="G3040">
        <v>2.5050979999999998</v>
      </c>
      <c r="H3040">
        <v>0.14448</v>
      </c>
      <c r="Q3040" s="10">
        <f t="shared" si="114"/>
        <v>2.1503036943980721E-3</v>
      </c>
      <c r="AI3040">
        <v>9.0692300000000003E-2</v>
      </c>
      <c r="AJ3040">
        <f t="shared" si="113"/>
        <v>9.0692300000000003E-2</v>
      </c>
      <c r="AO3040">
        <v>9.0692300000000003E-2</v>
      </c>
      <c r="AR3040" s="8">
        <v>0</v>
      </c>
      <c r="AS3040">
        <v>2.7679740000000002</v>
      </c>
    </row>
    <row r="3041" spans="1:45" x14ac:dyDescent="0.25">
      <c r="A3041">
        <v>525</v>
      </c>
      <c r="B3041">
        <v>2001</v>
      </c>
      <c r="C3041" s="8">
        <v>0</v>
      </c>
      <c r="D3041">
        <v>0.2169363</v>
      </c>
      <c r="E3041">
        <v>4.3444799999999999E-2</v>
      </c>
      <c r="F3041">
        <v>3.3172599999999997E-2</v>
      </c>
      <c r="G3041">
        <v>3.3005979999999999</v>
      </c>
      <c r="H3041">
        <v>0.1236048</v>
      </c>
      <c r="Q3041" s="10">
        <f t="shared" si="114"/>
        <v>3.4718278892940631E-4</v>
      </c>
      <c r="AI3041">
        <v>0.19575049999999999</v>
      </c>
      <c r="AJ3041">
        <f t="shared" si="113"/>
        <v>0.19575049999999999</v>
      </c>
      <c r="AO3041">
        <v>0.19575049999999999</v>
      </c>
      <c r="AR3041" s="8">
        <v>0</v>
      </c>
      <c r="AS3041">
        <v>2.1835770000000001</v>
      </c>
    </row>
    <row r="3042" spans="1:45" x14ac:dyDescent="0.25">
      <c r="A3042">
        <v>525</v>
      </c>
      <c r="B3042">
        <v>2002</v>
      </c>
      <c r="C3042" s="8">
        <v>0</v>
      </c>
      <c r="D3042">
        <v>9.0692300000000003E-2</v>
      </c>
      <c r="E3042">
        <v>4.8701800000000003E-2</v>
      </c>
      <c r="F3042">
        <v>4.5070800000000001E-2</v>
      </c>
      <c r="G3042">
        <v>2.949862</v>
      </c>
      <c r="H3042">
        <v>0.10799599999999999</v>
      </c>
      <c r="Q3042" s="10">
        <f t="shared" si="114"/>
        <v>5.1481545757016693E-4</v>
      </c>
      <c r="AI3042">
        <v>0.243205</v>
      </c>
      <c r="AJ3042">
        <f t="shared" si="113"/>
        <v>0.243205</v>
      </c>
      <c r="AO3042">
        <v>0.243205</v>
      </c>
      <c r="AR3042" s="8">
        <v>0</v>
      </c>
      <c r="AS3042">
        <v>2.5050979999999998</v>
      </c>
    </row>
    <row r="3043" spans="1:45" x14ac:dyDescent="0.25">
      <c r="A3043">
        <v>525</v>
      </c>
      <c r="B3043">
        <v>2003</v>
      </c>
      <c r="C3043" s="8">
        <v>0</v>
      </c>
      <c r="D3043">
        <v>0.19575049999999999</v>
      </c>
      <c r="E3043">
        <v>9.8138400000000001E-2</v>
      </c>
      <c r="F3043">
        <v>4.5992699999999997E-2</v>
      </c>
      <c r="G3043">
        <v>3.4882119999999999</v>
      </c>
      <c r="H3043">
        <v>0.1397216</v>
      </c>
      <c r="Q3043" s="10">
        <f t="shared" si="114"/>
        <v>2.1489239893244462E-4</v>
      </c>
      <c r="AI3043">
        <v>1.23009E-2</v>
      </c>
      <c r="AJ3043">
        <f t="shared" si="113"/>
        <v>1.23009E-2</v>
      </c>
      <c r="AO3043">
        <v>1.23009E-2</v>
      </c>
      <c r="AR3043" s="8">
        <v>0</v>
      </c>
      <c r="AS3043">
        <v>3.3005979999999999</v>
      </c>
    </row>
    <row r="3044" spans="1:45" x14ac:dyDescent="0.25">
      <c r="A3044">
        <v>525</v>
      </c>
      <c r="B3044">
        <v>2004</v>
      </c>
      <c r="C3044" s="8">
        <v>0</v>
      </c>
      <c r="D3044">
        <v>0.243205</v>
      </c>
      <c r="E3044">
        <v>0.1274737</v>
      </c>
      <c r="F3044">
        <v>2.91995E-2</v>
      </c>
      <c r="G3044">
        <v>3.4987270000000001</v>
      </c>
      <c r="H3044">
        <v>0.1125659</v>
      </c>
      <c r="Q3044" s="10">
        <f t="shared" si="114"/>
        <v>2.3226408034843034E-4</v>
      </c>
      <c r="AI3044">
        <v>2.6805900000000001E-2</v>
      </c>
      <c r="AJ3044">
        <f t="shared" si="113"/>
        <v>2.6805900000000001E-2</v>
      </c>
      <c r="AO3044">
        <v>2.6805900000000001E-2</v>
      </c>
      <c r="AR3044" s="8">
        <v>0</v>
      </c>
      <c r="AS3044">
        <v>2.949862</v>
      </c>
    </row>
    <row r="3045" spans="1:45" x14ac:dyDescent="0.25">
      <c r="A3045">
        <v>526</v>
      </c>
      <c r="B3045">
        <v>1995</v>
      </c>
      <c r="C3045" s="8">
        <v>0</v>
      </c>
      <c r="D3045">
        <v>1.23009E-2</v>
      </c>
      <c r="E3045">
        <v>-7.8461699999999995E-2</v>
      </c>
      <c r="F3045">
        <v>3.42311E-2</v>
      </c>
      <c r="G3045">
        <v>0.56153390000000003</v>
      </c>
      <c r="H3045">
        <v>0.36366710000000002</v>
      </c>
      <c r="Q3045" s="10">
        <f t="shared" si="114"/>
        <v>3.3323670164773465E-2</v>
      </c>
      <c r="AI3045">
        <v>1.9461599999999999E-2</v>
      </c>
      <c r="AJ3045">
        <f t="shared" si="113"/>
        <v>1.9461599999999999E-2</v>
      </c>
      <c r="AO3045">
        <v>1.9461599999999999E-2</v>
      </c>
      <c r="AR3045" s="8">
        <v>0</v>
      </c>
      <c r="AS3045">
        <v>3.4882119999999999</v>
      </c>
    </row>
    <row r="3046" spans="1:45" x14ac:dyDescent="0.25">
      <c r="A3046">
        <v>526</v>
      </c>
      <c r="B3046">
        <v>1996</v>
      </c>
      <c r="C3046" s="8">
        <v>0</v>
      </c>
      <c r="D3046">
        <v>2.6805900000000001E-2</v>
      </c>
      <c r="E3046">
        <v>-3.7604600000000002E-2</v>
      </c>
      <c r="F3046">
        <v>5.3927500000000003E-2</v>
      </c>
      <c r="G3046">
        <v>0.80063589999999996</v>
      </c>
      <c r="H3046">
        <v>0.45190259999999999</v>
      </c>
      <c r="Q3046" s="10">
        <f t="shared" si="114"/>
        <v>1.9745339423011852E-2</v>
      </c>
      <c r="AI3046">
        <v>1.8539699999999999E-2</v>
      </c>
      <c r="AJ3046">
        <f t="shared" si="113"/>
        <v>1.8539699999999999E-2</v>
      </c>
      <c r="AO3046">
        <v>1.8539699999999999E-2</v>
      </c>
      <c r="AR3046" s="8">
        <v>0</v>
      </c>
      <c r="AS3046">
        <v>3.4987270000000001</v>
      </c>
    </row>
    <row r="3047" spans="1:45" x14ac:dyDescent="0.25">
      <c r="A3047">
        <v>526</v>
      </c>
      <c r="B3047">
        <v>1997</v>
      </c>
      <c r="C3047" s="8">
        <v>0</v>
      </c>
      <c r="D3047">
        <v>1.9461599999999999E-2</v>
      </c>
      <c r="E3047">
        <v>1.5255100000000001E-2</v>
      </c>
      <c r="F3047">
        <v>4.7887600000000002E-2</v>
      </c>
      <c r="G3047">
        <v>0.71447150000000004</v>
      </c>
      <c r="H3047">
        <v>0.47591030000000001</v>
      </c>
      <c r="Q3047" s="10">
        <f t="shared" si="114"/>
        <v>2.2219938066149379E-2</v>
      </c>
      <c r="AI3047">
        <v>9.8953700000000006E-2</v>
      </c>
      <c r="AJ3047">
        <f t="shared" si="113"/>
        <v>9.8953700000000006E-2</v>
      </c>
      <c r="AO3047">
        <v>9.8953700000000006E-2</v>
      </c>
      <c r="AR3047" s="8">
        <v>0</v>
      </c>
      <c r="AS3047">
        <v>0.56153390000000003</v>
      </c>
    </row>
    <row r="3048" spans="1:45" x14ac:dyDescent="0.25">
      <c r="A3048">
        <v>526</v>
      </c>
      <c r="B3048">
        <v>1998</v>
      </c>
      <c r="C3048" s="8">
        <v>0</v>
      </c>
      <c r="D3048">
        <v>1.8539699999999999E-2</v>
      </c>
      <c r="E3048">
        <v>-4.4344500000000002E-2</v>
      </c>
      <c r="F3048">
        <v>5.3090199999999997E-2</v>
      </c>
      <c r="G3048">
        <v>0.33511200000000002</v>
      </c>
      <c r="H3048">
        <v>0.50889240000000002</v>
      </c>
      <c r="Q3048" s="10">
        <f t="shared" si="114"/>
        <v>4.2507032016863809E-2</v>
      </c>
      <c r="AI3048">
        <v>3.07359E-2</v>
      </c>
      <c r="AJ3048">
        <f t="shared" si="113"/>
        <v>3.07359E-2</v>
      </c>
      <c r="AO3048">
        <v>3.07359E-2</v>
      </c>
      <c r="AR3048" s="8">
        <v>0</v>
      </c>
      <c r="AS3048">
        <v>0.80063589999999996</v>
      </c>
    </row>
    <row r="3049" spans="1:45" x14ac:dyDescent="0.25">
      <c r="A3049">
        <v>526</v>
      </c>
      <c r="B3049">
        <v>1999</v>
      </c>
      <c r="C3049" s="8">
        <v>0</v>
      </c>
      <c r="D3049">
        <v>9.8953700000000006E-2</v>
      </c>
      <c r="E3049">
        <v>-4.4710600000000003E-2</v>
      </c>
      <c r="F3049">
        <v>5.7133999999999997E-2</v>
      </c>
      <c r="G3049">
        <v>0.172823</v>
      </c>
      <c r="H3049">
        <v>5.0077749999999996</v>
      </c>
      <c r="Q3049" s="10">
        <f t="shared" si="114"/>
        <v>0.48338954276864332</v>
      </c>
      <c r="AI3049">
        <v>1.3793E-3</v>
      </c>
      <c r="AJ3049">
        <f t="shared" si="113"/>
        <v>1.3793E-3</v>
      </c>
      <c r="AO3049">
        <v>1.3793E-3</v>
      </c>
      <c r="AR3049" s="8">
        <v>0</v>
      </c>
      <c r="AS3049">
        <v>0.71447150000000004</v>
      </c>
    </row>
    <row r="3050" spans="1:45" x14ac:dyDescent="0.25">
      <c r="A3050">
        <v>526</v>
      </c>
      <c r="B3050">
        <v>2000</v>
      </c>
      <c r="C3050" s="8">
        <v>0</v>
      </c>
      <c r="D3050">
        <v>3.07359E-2</v>
      </c>
      <c r="E3050">
        <v>-3.7160899999999997E-2</v>
      </c>
      <c r="F3050">
        <v>5.2322100000000003E-2</v>
      </c>
      <c r="G3050">
        <v>0.33622340000000001</v>
      </c>
      <c r="H3050">
        <v>1.1578820000000001</v>
      </c>
      <c r="Q3050" s="10">
        <f t="shared" si="114"/>
        <v>6.2182915130951068E-2</v>
      </c>
      <c r="AI3050">
        <v>-3.7497099999999998E-2</v>
      </c>
      <c r="AJ3050">
        <f t="shared" si="113"/>
        <v>-3.7497099999999998E-2</v>
      </c>
      <c r="AO3050">
        <v>-3.7497099999999998E-2</v>
      </c>
      <c r="AR3050" s="8">
        <v>0</v>
      </c>
      <c r="AS3050">
        <v>0.33511200000000002</v>
      </c>
    </row>
    <row r="3051" spans="1:45" x14ac:dyDescent="0.25">
      <c r="A3051">
        <v>526</v>
      </c>
      <c r="B3051">
        <v>2001</v>
      </c>
      <c r="C3051" s="8">
        <v>0</v>
      </c>
      <c r="D3051">
        <v>1.3793E-3</v>
      </c>
      <c r="E3051">
        <v>0.1031035</v>
      </c>
      <c r="F3051">
        <v>3.7488899999999999E-2</v>
      </c>
      <c r="G3051">
        <v>1.6863999999999999</v>
      </c>
      <c r="H3051">
        <v>9.7034400000000007E-2</v>
      </c>
      <c r="Q3051" s="10">
        <f t="shared" si="114"/>
        <v>3.6115562232954543E-3</v>
      </c>
      <c r="AI3051">
        <v>-8.7120400000000001E-2</v>
      </c>
      <c r="AJ3051">
        <f t="shared" si="113"/>
        <v>-8.7120400000000001E-2</v>
      </c>
      <c r="AO3051">
        <v>-8.7120400000000001E-2</v>
      </c>
      <c r="AR3051" s="8">
        <v>0</v>
      </c>
      <c r="AS3051">
        <v>0.172823</v>
      </c>
    </row>
    <row r="3052" spans="1:45" x14ac:dyDescent="0.25">
      <c r="A3052">
        <v>526</v>
      </c>
      <c r="B3052">
        <v>2002</v>
      </c>
      <c r="C3052" s="8">
        <v>0</v>
      </c>
      <c r="D3052">
        <v>-3.7497099999999998E-2</v>
      </c>
      <c r="E3052">
        <v>-0.63747489999999996</v>
      </c>
      <c r="F3052">
        <v>3.84614E-2</v>
      </c>
      <c r="G3052">
        <v>5.1363430000000001</v>
      </c>
      <c r="H3052">
        <v>5.0072400000000003E-2</v>
      </c>
      <c r="Q3052" s="10">
        <f t="shared" si="114"/>
        <v>4.1325731698440554E-5</v>
      </c>
      <c r="AI3052">
        <v>0.48533749999999998</v>
      </c>
      <c r="AJ3052">
        <f t="shared" si="113"/>
        <v>0.48533749999999998</v>
      </c>
      <c r="AO3052">
        <v>0.48533749999999998</v>
      </c>
      <c r="AR3052" s="8">
        <v>0</v>
      </c>
      <c r="AS3052">
        <v>0.33622340000000001</v>
      </c>
    </row>
    <row r="3053" spans="1:45" x14ac:dyDescent="0.25">
      <c r="A3053">
        <v>526</v>
      </c>
      <c r="B3053">
        <v>2003</v>
      </c>
      <c r="C3053" s="8">
        <v>0</v>
      </c>
      <c r="D3053">
        <v>-8.7120400000000001E-2</v>
      </c>
      <c r="E3053">
        <v>-0.45553650000000001</v>
      </c>
      <c r="F3053">
        <v>2.3906899999999998E-2</v>
      </c>
      <c r="G3053">
        <v>5.0777809999999999</v>
      </c>
      <c r="H3053">
        <v>6.5043299999999998E-2</v>
      </c>
      <c r="Q3053" s="10">
        <f t="shared" si="114"/>
        <v>3.8683236915039082E-5</v>
      </c>
      <c r="AI3053">
        <v>0.5438634</v>
      </c>
      <c r="AJ3053">
        <f t="shared" si="113"/>
        <v>0.52051970800000003</v>
      </c>
      <c r="AO3053">
        <v>0.52051970800000003</v>
      </c>
      <c r="AR3053" s="8">
        <v>0</v>
      </c>
      <c r="AS3053">
        <v>1.6863999999999999</v>
      </c>
    </row>
    <row r="3054" spans="1:45" x14ac:dyDescent="0.25">
      <c r="A3054">
        <v>527</v>
      </c>
      <c r="B3054">
        <v>1995</v>
      </c>
      <c r="C3054" s="8">
        <v>0</v>
      </c>
      <c r="D3054">
        <v>0.48533749999999998</v>
      </c>
      <c r="E3054">
        <v>-0.48211500000000002</v>
      </c>
      <c r="F3054">
        <v>0.14430280000000001</v>
      </c>
      <c r="G3054">
        <v>2.9819939999999998</v>
      </c>
      <c r="H3054">
        <v>0.46514470000000002</v>
      </c>
      <c r="Q3054" s="10">
        <f t="shared" si="114"/>
        <v>7.0298943892421089E-4</v>
      </c>
      <c r="AI3054">
        <v>0.63840330000000001</v>
      </c>
      <c r="AJ3054">
        <f t="shared" si="113"/>
        <v>0.52051970800000003</v>
      </c>
      <c r="AO3054">
        <v>0.52051970800000003</v>
      </c>
      <c r="AR3054" s="8">
        <v>0</v>
      </c>
      <c r="AS3054">
        <v>5.1363430000000001</v>
      </c>
    </row>
    <row r="3055" spans="1:45" x14ac:dyDescent="0.25">
      <c r="A3055">
        <v>527</v>
      </c>
      <c r="B3055">
        <v>1996</v>
      </c>
      <c r="C3055" s="8">
        <v>0</v>
      </c>
      <c r="D3055">
        <v>0.5438634</v>
      </c>
      <c r="E3055">
        <v>-0.16079089999999999</v>
      </c>
      <c r="F3055">
        <v>0.13235939999999999</v>
      </c>
      <c r="G3055">
        <v>3.332633</v>
      </c>
      <c r="H3055">
        <v>0.44233830000000002</v>
      </c>
      <c r="Q3055" s="10">
        <f t="shared" si="114"/>
        <v>2.8017989662796277E-4</v>
      </c>
      <c r="AI3055">
        <v>0.55570759999999997</v>
      </c>
      <c r="AJ3055">
        <f t="shared" si="113"/>
        <v>0.52051970800000003</v>
      </c>
      <c r="AO3055">
        <v>0.52051970800000003</v>
      </c>
      <c r="AR3055" s="8">
        <v>0</v>
      </c>
      <c r="AS3055">
        <v>5.0777809999999999</v>
      </c>
    </row>
    <row r="3056" spans="1:45" x14ac:dyDescent="0.25">
      <c r="A3056">
        <v>527</v>
      </c>
      <c r="B3056">
        <v>1997</v>
      </c>
      <c r="C3056" s="8">
        <v>0</v>
      </c>
      <c r="D3056">
        <v>0.63840330000000001</v>
      </c>
      <c r="E3056">
        <v>0.1189692</v>
      </c>
      <c r="F3056">
        <v>0.1233129</v>
      </c>
      <c r="G3056">
        <v>6.0429219999999999</v>
      </c>
      <c r="H3056">
        <v>0.40921279999999999</v>
      </c>
      <c r="Q3056" s="10">
        <f t="shared" si="114"/>
        <v>2.7205750506864323E-6</v>
      </c>
      <c r="AI3056">
        <v>0.17421990000000001</v>
      </c>
      <c r="AJ3056">
        <f t="shared" si="113"/>
        <v>0.17421990000000001</v>
      </c>
      <c r="AO3056">
        <v>0.17421990000000001</v>
      </c>
      <c r="AR3056" s="8">
        <v>0</v>
      </c>
      <c r="AS3056">
        <v>2.9819939999999998</v>
      </c>
    </row>
    <row r="3057" spans="1:45" x14ac:dyDescent="0.25">
      <c r="A3057">
        <v>527</v>
      </c>
      <c r="B3057">
        <v>1998</v>
      </c>
      <c r="C3057" s="8">
        <v>0</v>
      </c>
      <c r="D3057">
        <v>0.55570759999999997</v>
      </c>
      <c r="E3057">
        <v>0.52479739999999997</v>
      </c>
      <c r="F3057">
        <v>0.17896419999999999</v>
      </c>
      <c r="G3057">
        <v>19.927119999999999</v>
      </c>
      <c r="H3057">
        <v>0.53148580000000001</v>
      </c>
      <c r="Q3057" s="10">
        <f t="shared" si="114"/>
        <v>2.4773396329513709E-16</v>
      </c>
      <c r="AI3057">
        <v>0.1415014</v>
      </c>
      <c r="AJ3057">
        <f t="shared" si="113"/>
        <v>0.1415014</v>
      </c>
      <c r="AO3057">
        <v>0.1415014</v>
      </c>
      <c r="AR3057" s="8">
        <v>0</v>
      </c>
      <c r="AS3057">
        <v>3.332633</v>
      </c>
    </row>
    <row r="3058" spans="1:45" x14ac:dyDescent="0.25">
      <c r="A3058">
        <v>528</v>
      </c>
      <c r="B3058">
        <v>1999</v>
      </c>
      <c r="C3058" s="8">
        <v>0</v>
      </c>
      <c r="D3058">
        <v>0.17421990000000001</v>
      </c>
      <c r="E3058">
        <v>-0.50008189999999997</v>
      </c>
      <c r="F3058">
        <v>-0.1983972</v>
      </c>
      <c r="G3058">
        <v>1.433179</v>
      </c>
      <c r="H3058">
        <v>0.10929179999999999</v>
      </c>
      <c r="Q3058" s="10">
        <f t="shared" si="114"/>
        <v>8.5228717236958851E-2</v>
      </c>
      <c r="AI3058">
        <v>0.13693169999999999</v>
      </c>
      <c r="AJ3058">
        <f t="shared" si="113"/>
        <v>0.13693169999999999</v>
      </c>
      <c r="AO3058">
        <v>0.13693169999999999</v>
      </c>
      <c r="AR3058" s="8">
        <v>0</v>
      </c>
      <c r="AS3058">
        <v>6.0429219999999999</v>
      </c>
    </row>
    <row r="3059" spans="1:45" x14ac:dyDescent="0.25">
      <c r="A3059">
        <v>528</v>
      </c>
      <c r="B3059">
        <v>2000</v>
      </c>
      <c r="C3059" s="8">
        <v>0</v>
      </c>
      <c r="D3059">
        <v>0.1415014</v>
      </c>
      <c r="E3059">
        <v>-0.81077869999999996</v>
      </c>
      <c r="F3059">
        <v>-8.8586100000000001E-2</v>
      </c>
      <c r="G3059">
        <v>0.44850669999999998</v>
      </c>
      <c r="H3059">
        <v>0.12525439999999999</v>
      </c>
      <c r="Q3059" s="10">
        <f t="shared" si="114"/>
        <v>0.22540185907482882</v>
      </c>
      <c r="AI3059">
        <v>8.4916699999999998E-2</v>
      </c>
      <c r="AJ3059">
        <f t="shared" si="113"/>
        <v>8.4916699999999998E-2</v>
      </c>
      <c r="AO3059">
        <v>8.4916699999999998E-2</v>
      </c>
      <c r="AR3059" s="8">
        <v>0</v>
      </c>
      <c r="AS3059">
        <v>19.927119999999999</v>
      </c>
    </row>
    <row r="3060" spans="1:45" x14ac:dyDescent="0.25">
      <c r="A3060">
        <v>528</v>
      </c>
      <c r="B3060">
        <v>2001</v>
      </c>
      <c r="C3060" s="8">
        <v>0</v>
      </c>
      <c r="D3060">
        <v>0.13693169999999999</v>
      </c>
      <c r="E3060">
        <v>-1.052173</v>
      </c>
      <c r="F3060">
        <v>-1.1215999999999999E-3</v>
      </c>
      <c r="G3060">
        <v>1.0572060000000001</v>
      </c>
      <c r="H3060">
        <v>0.1562095</v>
      </c>
      <c r="Q3060" s="10">
        <f t="shared" si="114"/>
        <v>7.3384172367315995E-2</v>
      </c>
      <c r="AI3060">
        <v>4.41982E-2</v>
      </c>
      <c r="AJ3060">
        <f t="shared" si="113"/>
        <v>4.41982E-2</v>
      </c>
      <c r="AO3060">
        <v>4.41982E-2</v>
      </c>
      <c r="AR3060" s="8">
        <v>0</v>
      </c>
      <c r="AS3060">
        <v>1.433179</v>
      </c>
    </row>
    <row r="3061" spans="1:45" x14ac:dyDescent="0.25">
      <c r="A3061">
        <v>529</v>
      </c>
      <c r="B3061">
        <v>1995</v>
      </c>
      <c r="C3061" s="8">
        <v>0</v>
      </c>
      <c r="D3061">
        <v>8.4916699999999998E-2</v>
      </c>
      <c r="E3061">
        <v>-0.25402540000000001</v>
      </c>
      <c r="F3061">
        <v>4.33389E-2</v>
      </c>
      <c r="G3061">
        <v>3.5239050000000001</v>
      </c>
      <c r="H3061">
        <v>0.1354697</v>
      </c>
      <c r="Q3061" s="10">
        <f t="shared" si="114"/>
        <v>3.2959348129840113E-4</v>
      </c>
      <c r="AI3061">
        <v>3.9956600000000002E-2</v>
      </c>
      <c r="AJ3061">
        <f t="shared" si="113"/>
        <v>3.9956600000000002E-2</v>
      </c>
      <c r="AO3061">
        <v>3.9956600000000002E-2</v>
      </c>
      <c r="AR3061" s="8">
        <v>0</v>
      </c>
      <c r="AS3061">
        <v>0.44850669999999998</v>
      </c>
    </row>
    <row r="3062" spans="1:45" x14ac:dyDescent="0.25">
      <c r="A3062">
        <v>529</v>
      </c>
      <c r="B3062">
        <v>1996</v>
      </c>
      <c r="C3062" s="8">
        <v>0</v>
      </c>
      <c r="D3062">
        <v>4.41982E-2</v>
      </c>
      <c r="E3062">
        <v>-9.78744E-2</v>
      </c>
      <c r="F3062">
        <v>6.2841300000000003E-2</v>
      </c>
      <c r="G3062">
        <v>4.2559950000000004</v>
      </c>
      <c r="H3062">
        <v>0.12510940000000001</v>
      </c>
      <c r="Q3062" s="10">
        <f t="shared" si="114"/>
        <v>6.8383068846532966E-5</v>
      </c>
      <c r="AI3062">
        <v>-6.4939000000000004E-3</v>
      </c>
      <c r="AJ3062">
        <f t="shared" si="113"/>
        <v>-6.4939000000000004E-3</v>
      </c>
      <c r="AO3062">
        <v>-6.4939000000000004E-3</v>
      </c>
      <c r="AR3062" s="8">
        <v>0</v>
      </c>
      <c r="AS3062">
        <v>1.0572060000000001</v>
      </c>
    </row>
    <row r="3063" spans="1:45" x14ac:dyDescent="0.25">
      <c r="A3063">
        <v>529</v>
      </c>
      <c r="B3063">
        <v>1997</v>
      </c>
      <c r="C3063" s="8">
        <v>0</v>
      </c>
      <c r="D3063">
        <v>3.9956600000000002E-2</v>
      </c>
      <c r="E3063">
        <v>-8.0993999999999997E-3</v>
      </c>
      <c r="F3063">
        <v>6.0687400000000002E-2</v>
      </c>
      <c r="G3063">
        <v>1.877567</v>
      </c>
      <c r="H3063">
        <v>0.15231510000000001</v>
      </c>
      <c r="Q3063" s="10">
        <f t="shared" si="114"/>
        <v>2.736675174132779E-3</v>
      </c>
      <c r="AI3063">
        <v>2.9866199999999999E-2</v>
      </c>
      <c r="AJ3063">
        <f t="shared" si="113"/>
        <v>2.9866199999999999E-2</v>
      </c>
      <c r="AO3063">
        <v>2.9866199999999999E-2</v>
      </c>
      <c r="AR3063" s="8">
        <v>0</v>
      </c>
      <c r="AS3063">
        <v>3.5239050000000001</v>
      </c>
    </row>
    <row r="3064" spans="1:45" x14ac:dyDescent="0.25">
      <c r="A3064">
        <v>529</v>
      </c>
      <c r="B3064">
        <v>1998</v>
      </c>
      <c r="C3064" s="8">
        <v>0</v>
      </c>
      <c r="D3064">
        <v>-6.4939000000000004E-3</v>
      </c>
      <c r="E3064">
        <v>-4.6262299999999999E-2</v>
      </c>
      <c r="F3064">
        <v>-1.6629999999999999E-2</v>
      </c>
      <c r="G3064">
        <v>0.88395210000000002</v>
      </c>
      <c r="H3064">
        <v>8.3424300000000007E-2</v>
      </c>
      <c r="Q3064" s="10">
        <f t="shared" si="114"/>
        <v>2.4060293398525123E-2</v>
      </c>
      <c r="AI3064">
        <v>0.12104520000000001</v>
      </c>
      <c r="AJ3064">
        <f t="shared" si="113"/>
        <v>0.12104520000000001</v>
      </c>
      <c r="AO3064">
        <v>0.12104520000000001</v>
      </c>
      <c r="AR3064" s="8">
        <v>0</v>
      </c>
      <c r="AS3064">
        <v>4.2559950000000004</v>
      </c>
    </row>
    <row r="3065" spans="1:45" x14ac:dyDescent="0.25">
      <c r="A3065">
        <v>529</v>
      </c>
      <c r="B3065">
        <v>1999</v>
      </c>
      <c r="C3065" s="8">
        <v>0</v>
      </c>
      <c r="D3065">
        <v>2.9866199999999999E-2</v>
      </c>
      <c r="E3065">
        <v>-3.9393499999999998E-2</v>
      </c>
      <c r="F3065">
        <v>4.2978799999999998E-2</v>
      </c>
      <c r="G3065">
        <v>1.24038</v>
      </c>
      <c r="H3065">
        <v>0.1173947</v>
      </c>
      <c r="Q3065" s="10">
        <f t="shared" si="114"/>
        <v>8.8230847895499585E-3</v>
      </c>
      <c r="AI3065">
        <v>6.9822700000000001E-2</v>
      </c>
      <c r="AJ3065">
        <f t="shared" si="113"/>
        <v>6.9822700000000001E-2</v>
      </c>
      <c r="AO3065">
        <v>6.9822700000000001E-2</v>
      </c>
      <c r="AR3065" s="8">
        <v>0</v>
      </c>
      <c r="AS3065">
        <v>1.877567</v>
      </c>
    </row>
    <row r="3066" spans="1:45" x14ac:dyDescent="0.25">
      <c r="A3066">
        <v>529</v>
      </c>
      <c r="B3066">
        <v>2000</v>
      </c>
      <c r="C3066" s="8">
        <v>0</v>
      </c>
      <c r="D3066">
        <v>0.12104520000000001</v>
      </c>
      <c r="E3066">
        <v>4.6562300000000001E-2</v>
      </c>
      <c r="F3066">
        <v>0.1046247</v>
      </c>
      <c r="G3066">
        <v>1.786602</v>
      </c>
      <c r="H3066">
        <v>0.1728391</v>
      </c>
      <c r="Q3066" s="10">
        <f t="shared" si="114"/>
        <v>2.154748182204601E-3</v>
      </c>
      <c r="AI3066">
        <v>9.2793899999999999E-2</v>
      </c>
      <c r="AJ3066">
        <f t="shared" si="113"/>
        <v>9.2793899999999999E-2</v>
      </c>
      <c r="AO3066">
        <v>9.2793899999999999E-2</v>
      </c>
      <c r="AR3066" s="8">
        <v>0</v>
      </c>
      <c r="AS3066">
        <v>0.88395210000000002</v>
      </c>
    </row>
    <row r="3067" spans="1:45" x14ac:dyDescent="0.25">
      <c r="A3067">
        <v>529</v>
      </c>
      <c r="B3067">
        <v>2001</v>
      </c>
      <c r="C3067" s="8">
        <v>0</v>
      </c>
      <c r="D3067">
        <v>6.9822700000000001E-2</v>
      </c>
      <c r="E3067">
        <v>8.4901500000000005E-2</v>
      </c>
      <c r="F3067">
        <v>5.15848E-2</v>
      </c>
      <c r="G3067">
        <v>0.91203529999999999</v>
      </c>
      <c r="H3067">
        <v>7.4998300000000004E-2</v>
      </c>
      <c r="Q3067" s="10">
        <f t="shared" si="114"/>
        <v>1.1457842455488374E-2</v>
      </c>
      <c r="AI3067">
        <v>7.9877199999999995E-2</v>
      </c>
      <c r="AJ3067">
        <f t="shared" si="113"/>
        <v>7.9877199999999995E-2</v>
      </c>
      <c r="AO3067">
        <v>7.9877199999999995E-2</v>
      </c>
      <c r="AR3067" s="8">
        <v>0</v>
      </c>
      <c r="AS3067">
        <v>1.24038</v>
      </c>
    </row>
    <row r="3068" spans="1:45" x14ac:dyDescent="0.25">
      <c r="A3068">
        <v>529</v>
      </c>
      <c r="B3068">
        <v>2003</v>
      </c>
      <c r="C3068" s="8">
        <v>0</v>
      </c>
      <c r="D3068">
        <v>9.2793899999999999E-2</v>
      </c>
      <c r="E3068">
        <v>0.20072429999999999</v>
      </c>
      <c r="F3068">
        <v>7.8867499999999993E-2</v>
      </c>
      <c r="G3068">
        <v>2.371305</v>
      </c>
      <c r="H3068">
        <v>0.1299139</v>
      </c>
      <c r="Q3068" s="10">
        <f t="shared" si="114"/>
        <v>8.0317549286967817E-4</v>
      </c>
      <c r="AI3068">
        <v>0.35278409999999999</v>
      </c>
      <c r="AJ3068">
        <f t="shared" si="113"/>
        <v>0.35278409999999999</v>
      </c>
      <c r="AO3068">
        <v>0.35278409999999999</v>
      </c>
      <c r="AR3068" s="8">
        <v>0</v>
      </c>
      <c r="AS3068">
        <v>1.786602</v>
      </c>
    </row>
    <row r="3069" spans="1:45" x14ac:dyDescent="0.25">
      <c r="A3069">
        <v>529</v>
      </c>
      <c r="B3069">
        <v>2004</v>
      </c>
      <c r="C3069" s="8">
        <v>0</v>
      </c>
      <c r="D3069">
        <v>7.9877199999999995E-2</v>
      </c>
      <c r="E3069">
        <v>0.24314259999999999</v>
      </c>
      <c r="F3069">
        <v>6.4656000000000005E-2</v>
      </c>
      <c r="G3069">
        <v>1.809088</v>
      </c>
      <c r="H3069">
        <v>0.12528610000000001</v>
      </c>
      <c r="Q3069" s="10">
        <f t="shared" si="114"/>
        <v>2.0529814887839588E-3</v>
      </c>
      <c r="AI3069">
        <v>0.30300650000000001</v>
      </c>
      <c r="AJ3069">
        <f t="shared" si="113"/>
        <v>0.30300650000000001</v>
      </c>
      <c r="AO3069">
        <v>0.30300650000000001</v>
      </c>
      <c r="AR3069" s="8">
        <v>0</v>
      </c>
      <c r="AS3069">
        <v>0.91203529999999999</v>
      </c>
    </row>
    <row r="3070" spans="1:45" x14ac:dyDescent="0.25">
      <c r="A3070">
        <v>530</v>
      </c>
      <c r="B3070">
        <v>1995</v>
      </c>
      <c r="C3070" s="8">
        <v>0</v>
      </c>
      <c r="D3070">
        <v>0.35278409999999999</v>
      </c>
      <c r="E3070">
        <v>0.70882449999999997</v>
      </c>
      <c r="F3070">
        <v>3.9192200000000003E-2</v>
      </c>
      <c r="G3070">
        <v>1.4358280000000001</v>
      </c>
      <c r="H3070">
        <v>0.32159019999999999</v>
      </c>
      <c r="Q3070" s="10">
        <f t="shared" si="114"/>
        <v>2.9287047883461365E-3</v>
      </c>
      <c r="AI3070">
        <v>0.29083429999999999</v>
      </c>
      <c r="AJ3070">
        <f t="shared" si="113"/>
        <v>0.29083429999999999</v>
      </c>
      <c r="AO3070">
        <v>0.29083429999999999</v>
      </c>
      <c r="AR3070" s="8">
        <v>0</v>
      </c>
      <c r="AS3070">
        <v>2.371305</v>
      </c>
    </row>
    <row r="3071" spans="1:45" x14ac:dyDescent="0.25">
      <c r="A3071">
        <v>530</v>
      </c>
      <c r="B3071">
        <v>1996</v>
      </c>
      <c r="C3071" s="8">
        <v>0</v>
      </c>
      <c r="D3071">
        <v>0.30300650000000001</v>
      </c>
      <c r="E3071">
        <v>0.69371300000000002</v>
      </c>
      <c r="F3071">
        <v>5.3976000000000003E-2</v>
      </c>
      <c r="G3071">
        <v>1.287299</v>
      </c>
      <c r="H3071">
        <v>0.33663599999999999</v>
      </c>
      <c r="Q3071" s="10">
        <f t="shared" si="114"/>
        <v>3.3309724401345254E-3</v>
      </c>
      <c r="AI3071">
        <v>0.1947747</v>
      </c>
      <c r="AJ3071">
        <f t="shared" si="113"/>
        <v>0.1947747</v>
      </c>
      <c r="AO3071">
        <v>0.1947747</v>
      </c>
      <c r="AR3071" s="8">
        <v>0</v>
      </c>
      <c r="AS3071">
        <v>1.809088</v>
      </c>
    </row>
    <row r="3072" spans="1:45" x14ac:dyDescent="0.25">
      <c r="A3072">
        <v>530</v>
      </c>
      <c r="B3072">
        <v>1997</v>
      </c>
      <c r="C3072" s="8">
        <v>0</v>
      </c>
      <c r="D3072">
        <v>0.29083429999999999</v>
      </c>
      <c r="E3072">
        <v>0.61972689999999997</v>
      </c>
      <c r="F3072">
        <v>5.7791700000000001E-2</v>
      </c>
      <c r="G3072">
        <v>1.3425739999999999</v>
      </c>
      <c r="H3072">
        <v>0.31113819999999998</v>
      </c>
      <c r="Q3072" s="10">
        <f t="shared" si="114"/>
        <v>3.2268053025586493E-3</v>
      </c>
      <c r="AI3072">
        <v>0.21302869999999999</v>
      </c>
      <c r="AJ3072">
        <f t="shared" si="113"/>
        <v>0.21302869999999999</v>
      </c>
      <c r="AO3072">
        <v>0.21302869999999999</v>
      </c>
      <c r="AR3072" s="8">
        <v>0</v>
      </c>
      <c r="AS3072">
        <v>1.4358280000000001</v>
      </c>
    </row>
    <row r="3073" spans="1:45" x14ac:dyDescent="0.25">
      <c r="A3073">
        <v>530</v>
      </c>
      <c r="B3073">
        <v>1998</v>
      </c>
      <c r="C3073" s="8">
        <v>0</v>
      </c>
      <c r="D3073">
        <v>0.1947747</v>
      </c>
      <c r="E3073">
        <v>0.57926610000000001</v>
      </c>
      <c r="F3073">
        <v>4.6699000000000003E-3</v>
      </c>
      <c r="G3073">
        <v>0.48127160000000002</v>
      </c>
      <c r="H3073">
        <v>0.27005950000000001</v>
      </c>
      <c r="Q3073" s="10">
        <f t="shared" si="114"/>
        <v>1.9040315928945829E-2</v>
      </c>
      <c r="AI3073">
        <v>0.18468399999999999</v>
      </c>
      <c r="AJ3073">
        <f t="shared" si="113"/>
        <v>0.18468399999999999</v>
      </c>
      <c r="AO3073">
        <v>0.18468399999999999</v>
      </c>
      <c r="AR3073" s="8">
        <v>0</v>
      </c>
      <c r="AS3073">
        <v>1.287299</v>
      </c>
    </row>
    <row r="3074" spans="1:45" x14ac:dyDescent="0.25">
      <c r="A3074">
        <v>530</v>
      </c>
      <c r="B3074">
        <v>1999</v>
      </c>
      <c r="C3074" s="8">
        <v>0</v>
      </c>
      <c r="D3074">
        <v>0.21302869999999999</v>
      </c>
      <c r="E3074">
        <v>0.61074170000000005</v>
      </c>
      <c r="F3074">
        <v>5.6883999999999997E-2</v>
      </c>
      <c r="G3074">
        <v>0.52413520000000002</v>
      </c>
      <c r="H3074">
        <v>0.34586230000000001</v>
      </c>
      <c r="Q3074" s="10">
        <f t="shared" si="114"/>
        <v>1.1900901162027544E-2</v>
      </c>
      <c r="AI3074">
        <v>0.24227940000000001</v>
      </c>
      <c r="AJ3074">
        <f t="shared" si="113"/>
        <v>0.24227940000000001</v>
      </c>
      <c r="AO3074">
        <v>0.24227940000000001</v>
      </c>
      <c r="AR3074" s="8">
        <v>0</v>
      </c>
      <c r="AS3074">
        <v>1.3425739999999999</v>
      </c>
    </row>
    <row r="3075" spans="1:45" x14ac:dyDescent="0.25">
      <c r="A3075">
        <v>530</v>
      </c>
      <c r="B3075">
        <v>2000</v>
      </c>
      <c r="C3075" s="8">
        <v>1</v>
      </c>
      <c r="D3075">
        <v>0.18468399999999999</v>
      </c>
      <c r="E3075">
        <v>0.59257409999999999</v>
      </c>
      <c r="F3075">
        <v>3.0806400000000001E-2</v>
      </c>
      <c r="G3075">
        <v>0.2030933</v>
      </c>
      <c r="H3075">
        <v>0.27230690000000002</v>
      </c>
      <c r="Q3075" s="10">
        <f t="shared" si="114"/>
        <v>2.3433511964920321E-2</v>
      </c>
      <c r="AI3075">
        <v>0.22387670000000001</v>
      </c>
      <c r="AJ3075">
        <f t="shared" si="113"/>
        <v>0.22387670000000001</v>
      </c>
      <c r="AO3075">
        <v>0.22387670000000001</v>
      </c>
      <c r="AR3075" s="8">
        <v>0</v>
      </c>
      <c r="AS3075">
        <v>0.48127160000000002</v>
      </c>
    </row>
    <row r="3076" spans="1:45" x14ac:dyDescent="0.25">
      <c r="A3076">
        <v>531</v>
      </c>
      <c r="B3076">
        <v>1995</v>
      </c>
      <c r="C3076" s="8">
        <v>0</v>
      </c>
      <c r="D3076">
        <v>0.24227940000000001</v>
      </c>
      <c r="E3076">
        <v>0.33463939999999998</v>
      </c>
      <c r="F3076">
        <v>3.1203100000000001E-2</v>
      </c>
      <c r="G3076">
        <v>0.66049179999999996</v>
      </c>
      <c r="H3076">
        <v>0.30514669999999999</v>
      </c>
      <c r="Q3076" s="10">
        <f t="shared" si="114"/>
        <v>1.7247409351801576E-2</v>
      </c>
      <c r="AI3076">
        <v>0.35866300000000001</v>
      </c>
      <c r="AJ3076">
        <f t="shared" si="113"/>
        <v>0.35866300000000001</v>
      </c>
      <c r="AO3076">
        <v>0.35866300000000001</v>
      </c>
      <c r="AR3076" s="8">
        <v>0</v>
      </c>
      <c r="AS3076">
        <v>0.52413520000000002</v>
      </c>
    </row>
    <row r="3077" spans="1:45" x14ac:dyDescent="0.25">
      <c r="A3077">
        <v>531</v>
      </c>
      <c r="B3077">
        <v>1996</v>
      </c>
      <c r="C3077" s="8">
        <v>0</v>
      </c>
      <c r="D3077">
        <v>0.22387670000000001</v>
      </c>
      <c r="E3077">
        <v>0.38939200000000002</v>
      </c>
      <c r="F3077">
        <v>3.7645699999999997E-2</v>
      </c>
      <c r="G3077">
        <v>0.97752660000000002</v>
      </c>
      <c r="H3077">
        <v>0.31209170000000003</v>
      </c>
      <c r="Q3077" s="10">
        <f t="shared" si="114"/>
        <v>9.17197417907375E-3</v>
      </c>
      <c r="AI3077">
        <v>0.27402300000000002</v>
      </c>
      <c r="AJ3077">
        <f t="shared" ref="AJ3077:AJ3140" si="115">MAX(MIN(AI3077,AM$5),AM$4)</f>
        <v>0.27402300000000002</v>
      </c>
      <c r="AO3077">
        <v>0.27402300000000002</v>
      </c>
      <c r="AR3077" s="8">
        <v>1</v>
      </c>
      <c r="AS3077">
        <v>0.2030933</v>
      </c>
    </row>
    <row r="3078" spans="1:45" x14ac:dyDescent="0.25">
      <c r="A3078">
        <v>531</v>
      </c>
      <c r="B3078">
        <v>1997</v>
      </c>
      <c r="C3078" s="8">
        <v>0</v>
      </c>
      <c r="D3078">
        <v>0.35866300000000001</v>
      </c>
      <c r="E3078">
        <v>0.40572330000000001</v>
      </c>
      <c r="F3078">
        <v>5.0895900000000001E-2</v>
      </c>
      <c r="G3078">
        <v>1.0584499999999999</v>
      </c>
      <c r="H3078">
        <v>0.24579280000000001</v>
      </c>
      <c r="Q3078" s="10">
        <f t="shared" si="114"/>
        <v>7.2009534141289641E-3</v>
      </c>
      <c r="AI3078">
        <v>0.2684493</v>
      </c>
      <c r="AJ3078">
        <f t="shared" si="115"/>
        <v>0.2684493</v>
      </c>
      <c r="AO3078">
        <v>0.2684493</v>
      </c>
      <c r="AR3078" s="8">
        <v>0</v>
      </c>
      <c r="AS3078">
        <v>0.66049179999999996</v>
      </c>
    </row>
    <row r="3079" spans="1:45" x14ac:dyDescent="0.25">
      <c r="A3079">
        <v>531</v>
      </c>
      <c r="B3079">
        <v>1998</v>
      </c>
      <c r="C3079" s="8">
        <v>0</v>
      </c>
      <c r="D3079">
        <v>0.27402300000000002</v>
      </c>
      <c r="E3079">
        <v>0.28942240000000002</v>
      </c>
      <c r="F3079">
        <v>1.8270999999999999E-2</v>
      </c>
      <c r="G3079">
        <v>0.42023769999999999</v>
      </c>
      <c r="H3079">
        <v>0.25813370000000002</v>
      </c>
      <c r="Q3079" s="10">
        <f t="shared" ref="Q3079:Q3142" si="116">1/(1+EXP(-(J$6+SUMPRODUCT(K$6:O$6,D3079:H3079))))</f>
        <v>2.9124531288477324E-2</v>
      </c>
      <c r="AI3079">
        <v>0.2779604</v>
      </c>
      <c r="AJ3079">
        <f t="shared" si="115"/>
        <v>0.2779604</v>
      </c>
      <c r="AO3079">
        <v>0.2779604</v>
      </c>
      <c r="AR3079" s="8">
        <v>0</v>
      </c>
      <c r="AS3079">
        <v>0.97752660000000002</v>
      </c>
    </row>
    <row r="3080" spans="1:45" x14ac:dyDescent="0.25">
      <c r="A3080">
        <v>531</v>
      </c>
      <c r="B3080">
        <v>1999</v>
      </c>
      <c r="C3080" s="8">
        <v>0</v>
      </c>
      <c r="D3080">
        <v>0.2684493</v>
      </c>
      <c r="E3080">
        <v>0.31875399999999998</v>
      </c>
      <c r="F3080">
        <v>7.1913500000000005E-2</v>
      </c>
      <c r="G3080">
        <v>0.8550278</v>
      </c>
      <c r="H3080">
        <v>0.31160100000000002</v>
      </c>
      <c r="Q3080" s="10">
        <f t="shared" si="116"/>
        <v>9.5614390720290456E-3</v>
      </c>
      <c r="AI3080">
        <v>0.22431119999999999</v>
      </c>
      <c r="AJ3080">
        <f t="shared" si="115"/>
        <v>0.22431119999999999</v>
      </c>
      <c r="AO3080">
        <v>0.22431119999999999</v>
      </c>
      <c r="AR3080" s="8">
        <v>0</v>
      </c>
      <c r="AS3080">
        <v>1.0584499999999999</v>
      </c>
    </row>
    <row r="3081" spans="1:45" x14ac:dyDescent="0.25">
      <c r="A3081">
        <v>531</v>
      </c>
      <c r="B3081">
        <v>2000</v>
      </c>
      <c r="C3081" s="8">
        <v>0</v>
      </c>
      <c r="D3081">
        <v>0.2779604</v>
      </c>
      <c r="E3081">
        <v>0.37989919999999999</v>
      </c>
      <c r="F3081">
        <v>4.5782799999999998E-2</v>
      </c>
      <c r="G3081">
        <v>0.92796900000000004</v>
      </c>
      <c r="H3081">
        <v>0.3110562</v>
      </c>
      <c r="Q3081" s="10">
        <f t="shared" si="116"/>
        <v>9.6325322963126125E-3</v>
      </c>
      <c r="AI3081">
        <v>0.1647332</v>
      </c>
      <c r="AJ3081">
        <f t="shared" si="115"/>
        <v>0.1647332</v>
      </c>
      <c r="AO3081">
        <v>0.1647332</v>
      </c>
      <c r="AR3081" s="8">
        <v>0</v>
      </c>
      <c r="AS3081">
        <v>0.42023769999999999</v>
      </c>
    </row>
    <row r="3082" spans="1:45" x14ac:dyDescent="0.25">
      <c r="A3082">
        <v>531</v>
      </c>
      <c r="B3082">
        <v>2001</v>
      </c>
      <c r="C3082" s="8">
        <v>0</v>
      </c>
      <c r="D3082">
        <v>0.22431119999999999</v>
      </c>
      <c r="E3082">
        <v>0.22700509999999999</v>
      </c>
      <c r="F3082">
        <v>1.4448300000000001E-2</v>
      </c>
      <c r="G3082">
        <v>0.64239800000000002</v>
      </c>
      <c r="H3082">
        <v>0.27846939999999998</v>
      </c>
      <c r="Q3082" s="10">
        <f t="shared" si="116"/>
        <v>2.3037734379647023E-2</v>
      </c>
      <c r="AI3082">
        <v>0.19087000000000001</v>
      </c>
      <c r="AJ3082">
        <f t="shared" si="115"/>
        <v>0.19087000000000001</v>
      </c>
      <c r="AO3082">
        <v>0.19087000000000001</v>
      </c>
      <c r="AR3082" s="8">
        <v>0</v>
      </c>
      <c r="AS3082">
        <v>0.8550278</v>
      </c>
    </row>
    <row r="3083" spans="1:45" x14ac:dyDescent="0.25">
      <c r="A3083">
        <v>531</v>
      </c>
      <c r="B3083">
        <v>2002</v>
      </c>
      <c r="C3083" s="8">
        <v>0</v>
      </c>
      <c r="D3083">
        <v>0.1647332</v>
      </c>
      <c r="E3083">
        <v>0.1835379</v>
      </c>
      <c r="F3083">
        <v>1.40628E-2</v>
      </c>
      <c r="G3083">
        <v>0.65985550000000004</v>
      </c>
      <c r="H3083">
        <v>0.30351709999999998</v>
      </c>
      <c r="Q3083" s="10">
        <f t="shared" si="116"/>
        <v>2.37064753589405E-2</v>
      </c>
      <c r="AI3083">
        <v>0.19707820000000001</v>
      </c>
      <c r="AJ3083">
        <f t="shared" si="115"/>
        <v>0.19707820000000001</v>
      </c>
      <c r="AO3083">
        <v>0.19707820000000001</v>
      </c>
      <c r="AR3083" s="8">
        <v>0</v>
      </c>
      <c r="AS3083">
        <v>0.92796900000000004</v>
      </c>
    </row>
    <row r="3084" spans="1:45" x14ac:dyDescent="0.25">
      <c r="A3084">
        <v>531</v>
      </c>
      <c r="B3084">
        <v>2003</v>
      </c>
      <c r="C3084" s="8">
        <v>0</v>
      </c>
      <c r="D3084">
        <v>0.19087000000000001</v>
      </c>
      <c r="E3084">
        <v>0.18440619999999999</v>
      </c>
      <c r="F3084">
        <v>1.71859E-2</v>
      </c>
      <c r="G3084">
        <v>0.73768069999999997</v>
      </c>
      <c r="H3084">
        <v>0.31353569999999997</v>
      </c>
      <c r="Q3084" s="10">
        <f t="shared" si="116"/>
        <v>2.0811029085910263E-2</v>
      </c>
      <c r="AI3084">
        <v>9.2518600000000006E-2</v>
      </c>
      <c r="AJ3084">
        <f t="shared" si="115"/>
        <v>9.2518600000000006E-2</v>
      </c>
      <c r="AO3084">
        <v>9.2518600000000006E-2</v>
      </c>
      <c r="AR3084" s="8">
        <v>0</v>
      </c>
      <c r="AS3084">
        <v>0.64239800000000002</v>
      </c>
    </row>
    <row r="3085" spans="1:45" x14ac:dyDescent="0.25">
      <c r="A3085">
        <v>531</v>
      </c>
      <c r="B3085">
        <v>2004</v>
      </c>
      <c r="C3085" s="8">
        <v>0</v>
      </c>
      <c r="D3085">
        <v>0.19707820000000001</v>
      </c>
      <c r="E3085">
        <v>0.19107499999999999</v>
      </c>
      <c r="F3085">
        <v>3.5246E-2</v>
      </c>
      <c r="G3085">
        <v>0.70980129999999997</v>
      </c>
      <c r="H3085">
        <v>0.36381940000000002</v>
      </c>
      <c r="Q3085" s="10">
        <f t="shared" si="116"/>
        <v>1.9317468494328398E-2</v>
      </c>
      <c r="AI3085">
        <v>7.49364E-2</v>
      </c>
      <c r="AJ3085">
        <f t="shared" si="115"/>
        <v>7.49364E-2</v>
      </c>
      <c r="AO3085">
        <v>7.49364E-2</v>
      </c>
      <c r="AR3085" s="8">
        <v>0</v>
      </c>
      <c r="AS3085">
        <v>0.65985550000000004</v>
      </c>
    </row>
    <row r="3086" spans="1:45" x14ac:dyDescent="0.25">
      <c r="A3086">
        <v>532</v>
      </c>
      <c r="B3086">
        <v>1995</v>
      </c>
      <c r="C3086" s="8">
        <v>0</v>
      </c>
      <c r="D3086">
        <v>9.2518600000000006E-2</v>
      </c>
      <c r="E3086">
        <v>0.4200583</v>
      </c>
      <c r="F3086">
        <v>6.3198799999999999E-2</v>
      </c>
      <c r="G3086">
        <v>0.93109299999999995</v>
      </c>
      <c r="H3086">
        <v>0.20901749999999999</v>
      </c>
      <c r="Q3086" s="10">
        <f t="shared" si="116"/>
        <v>6.8563944293070344E-3</v>
      </c>
      <c r="AI3086">
        <v>7.0102700000000004E-2</v>
      </c>
      <c r="AJ3086">
        <f t="shared" si="115"/>
        <v>7.0102700000000004E-2</v>
      </c>
      <c r="AO3086">
        <v>7.0102700000000004E-2</v>
      </c>
      <c r="AR3086" s="8">
        <v>0</v>
      </c>
      <c r="AS3086">
        <v>0.73768069999999997</v>
      </c>
    </row>
    <row r="3087" spans="1:45" x14ac:dyDescent="0.25">
      <c r="A3087">
        <v>532</v>
      </c>
      <c r="B3087">
        <v>1996</v>
      </c>
      <c r="C3087" s="8">
        <v>0</v>
      </c>
      <c r="D3087">
        <v>7.49364E-2</v>
      </c>
      <c r="E3087">
        <v>0.42012440000000001</v>
      </c>
      <c r="F3087">
        <v>4.2505500000000002E-2</v>
      </c>
      <c r="G3087">
        <v>0.98579859999999997</v>
      </c>
      <c r="H3087">
        <v>0.20400589999999999</v>
      </c>
      <c r="Q3087" s="10">
        <f t="shared" si="116"/>
        <v>7.3342924447969407E-3</v>
      </c>
      <c r="AI3087">
        <v>7.9723100000000005E-2</v>
      </c>
      <c r="AJ3087">
        <f t="shared" si="115"/>
        <v>7.9723100000000005E-2</v>
      </c>
      <c r="AO3087">
        <v>7.9723100000000005E-2</v>
      </c>
      <c r="AR3087" s="8">
        <v>0</v>
      </c>
      <c r="AS3087">
        <v>0.70980129999999997</v>
      </c>
    </row>
    <row r="3088" spans="1:45" x14ac:dyDescent="0.25">
      <c r="A3088">
        <v>532</v>
      </c>
      <c r="B3088">
        <v>1997</v>
      </c>
      <c r="C3088" s="8">
        <v>0</v>
      </c>
      <c r="D3088">
        <v>7.0102700000000004E-2</v>
      </c>
      <c r="E3088">
        <v>0.40585100000000002</v>
      </c>
      <c r="F3088">
        <v>3.4220199999999999E-2</v>
      </c>
      <c r="G3088">
        <v>0.90645759999999997</v>
      </c>
      <c r="H3088">
        <v>0.18083969999999999</v>
      </c>
      <c r="Q3088" s="10">
        <f t="shared" si="116"/>
        <v>8.9179885744205822E-3</v>
      </c>
      <c r="AI3088">
        <v>3.79467E-2</v>
      </c>
      <c r="AJ3088">
        <f t="shared" si="115"/>
        <v>3.79467E-2</v>
      </c>
      <c r="AO3088">
        <v>3.79467E-2</v>
      </c>
      <c r="AR3088" s="8">
        <v>0</v>
      </c>
      <c r="AS3088">
        <v>0.93109299999999995</v>
      </c>
    </row>
    <row r="3089" spans="1:45" x14ac:dyDescent="0.25">
      <c r="A3089">
        <v>532</v>
      </c>
      <c r="B3089">
        <v>1998</v>
      </c>
      <c r="C3089" s="8">
        <v>0</v>
      </c>
      <c r="D3089">
        <v>7.9723100000000005E-2</v>
      </c>
      <c r="E3089">
        <v>0.38203920000000002</v>
      </c>
      <c r="F3089">
        <v>4.7446799999999997E-2</v>
      </c>
      <c r="G3089">
        <v>0.77681829999999996</v>
      </c>
      <c r="H3089">
        <v>0.1659803</v>
      </c>
      <c r="Q3089" s="10">
        <f t="shared" si="116"/>
        <v>1.0145437012221863E-2</v>
      </c>
      <c r="AI3089">
        <v>4.4869399999999997E-2</v>
      </c>
      <c r="AJ3089">
        <f t="shared" si="115"/>
        <v>4.4869399999999997E-2</v>
      </c>
      <c r="AO3089">
        <v>4.4869399999999997E-2</v>
      </c>
      <c r="AR3089" s="8">
        <v>0</v>
      </c>
      <c r="AS3089">
        <v>0.98579859999999997</v>
      </c>
    </row>
    <row r="3090" spans="1:45" x14ac:dyDescent="0.25">
      <c r="A3090">
        <v>532</v>
      </c>
      <c r="B3090">
        <v>1999</v>
      </c>
      <c r="C3090" s="8">
        <v>0</v>
      </c>
      <c r="D3090">
        <v>3.79467E-2</v>
      </c>
      <c r="E3090">
        <v>0.37374420000000003</v>
      </c>
      <c r="F3090">
        <v>4.3317099999999997E-2</v>
      </c>
      <c r="G3090">
        <v>0.87608629999999998</v>
      </c>
      <c r="H3090">
        <v>0.19782930000000001</v>
      </c>
      <c r="Q3090" s="10">
        <f t="shared" si="116"/>
        <v>9.0921829931122685E-3</v>
      </c>
      <c r="AI3090">
        <v>8.1191700000000006E-2</v>
      </c>
      <c r="AJ3090">
        <f t="shared" si="115"/>
        <v>8.1191700000000006E-2</v>
      </c>
      <c r="AO3090">
        <v>8.1191700000000006E-2</v>
      </c>
      <c r="AR3090" s="8">
        <v>0</v>
      </c>
      <c r="AS3090">
        <v>0.90645759999999997</v>
      </c>
    </row>
    <row r="3091" spans="1:45" x14ac:dyDescent="0.25">
      <c r="A3091">
        <v>532</v>
      </c>
      <c r="B3091">
        <v>2000</v>
      </c>
      <c r="C3091" s="8">
        <v>0</v>
      </c>
      <c r="D3091">
        <v>4.4869399999999997E-2</v>
      </c>
      <c r="E3091">
        <v>0.31895430000000002</v>
      </c>
      <c r="F3091">
        <v>3.6830500000000002E-2</v>
      </c>
      <c r="G3091">
        <v>0.58341949999999998</v>
      </c>
      <c r="H3091">
        <v>0.20268530000000001</v>
      </c>
      <c r="Q3091" s="10">
        <f t="shared" si="116"/>
        <v>1.6506059444539079E-2</v>
      </c>
      <c r="AI3091">
        <v>8.4060999999999997E-2</v>
      </c>
      <c r="AJ3091">
        <f t="shared" si="115"/>
        <v>8.4060999999999997E-2</v>
      </c>
      <c r="AO3091">
        <v>8.4060999999999997E-2</v>
      </c>
      <c r="AR3091" s="8">
        <v>0</v>
      </c>
      <c r="AS3091">
        <v>0.77681829999999996</v>
      </c>
    </row>
    <row r="3092" spans="1:45" x14ac:dyDescent="0.25">
      <c r="A3092">
        <v>532</v>
      </c>
      <c r="B3092">
        <v>2001</v>
      </c>
      <c r="C3092" s="8">
        <v>0</v>
      </c>
      <c r="D3092">
        <v>8.1191700000000006E-2</v>
      </c>
      <c r="E3092">
        <v>0.31276029999999999</v>
      </c>
      <c r="F3092">
        <v>2.7109999999999999E-2</v>
      </c>
      <c r="G3092">
        <v>0.49441869999999999</v>
      </c>
      <c r="H3092">
        <v>0.15541640000000001</v>
      </c>
      <c r="Q3092" s="10">
        <f t="shared" si="116"/>
        <v>2.0371561428042414E-2</v>
      </c>
      <c r="AI3092">
        <v>0.1280027</v>
      </c>
      <c r="AJ3092">
        <f t="shared" si="115"/>
        <v>0.1280027</v>
      </c>
      <c r="AO3092">
        <v>0.1280027</v>
      </c>
      <c r="AR3092" s="8">
        <v>0</v>
      </c>
      <c r="AS3092">
        <v>0.87608629999999998</v>
      </c>
    </row>
    <row r="3093" spans="1:45" x14ac:dyDescent="0.25">
      <c r="A3093">
        <v>532</v>
      </c>
      <c r="B3093">
        <v>2002</v>
      </c>
      <c r="C3093" s="8">
        <v>0</v>
      </c>
      <c r="D3093">
        <v>8.4060999999999997E-2</v>
      </c>
      <c r="E3093">
        <v>0.26200410000000002</v>
      </c>
      <c r="F3093">
        <v>3.1702300000000003E-2</v>
      </c>
      <c r="G3093">
        <v>0.60149790000000003</v>
      </c>
      <c r="H3093">
        <v>0.22467780000000001</v>
      </c>
      <c r="Q3093" s="10">
        <f t="shared" si="116"/>
        <v>1.8660746255603742E-2</v>
      </c>
      <c r="AI3093">
        <v>0.17392279999999999</v>
      </c>
      <c r="AJ3093">
        <f t="shared" si="115"/>
        <v>0.17392279999999999</v>
      </c>
      <c r="AO3093">
        <v>0.17392279999999999</v>
      </c>
      <c r="AR3093" s="8">
        <v>0</v>
      </c>
      <c r="AS3093">
        <v>0.58341949999999998</v>
      </c>
    </row>
    <row r="3094" spans="1:45" x14ac:dyDescent="0.25">
      <c r="A3094">
        <v>532</v>
      </c>
      <c r="B3094">
        <v>2003</v>
      </c>
      <c r="C3094" s="8">
        <v>0</v>
      </c>
      <c r="D3094">
        <v>0.1280027</v>
      </c>
      <c r="E3094">
        <v>0.29846119999999998</v>
      </c>
      <c r="F3094">
        <v>2.13075E-2</v>
      </c>
      <c r="G3094">
        <v>0.91008750000000005</v>
      </c>
      <c r="H3094">
        <v>0.214198</v>
      </c>
      <c r="Q3094" s="10">
        <f t="shared" si="116"/>
        <v>1.1980658005720278E-2</v>
      </c>
      <c r="AI3094">
        <v>-2.6100499999999999E-2</v>
      </c>
      <c r="AJ3094">
        <f t="shared" si="115"/>
        <v>-2.6100499999999999E-2</v>
      </c>
      <c r="AO3094">
        <v>-2.6100499999999999E-2</v>
      </c>
      <c r="AR3094" s="8">
        <v>0</v>
      </c>
      <c r="AS3094">
        <v>0.49441869999999999</v>
      </c>
    </row>
    <row r="3095" spans="1:45" x14ac:dyDescent="0.25">
      <c r="A3095">
        <v>532</v>
      </c>
      <c r="B3095">
        <v>2004</v>
      </c>
      <c r="C3095" s="8">
        <v>0</v>
      </c>
      <c r="D3095">
        <v>0.17392279999999999</v>
      </c>
      <c r="E3095">
        <v>0.40044390000000002</v>
      </c>
      <c r="F3095">
        <v>4.5646199999999998E-2</v>
      </c>
      <c r="G3095">
        <v>1.656237</v>
      </c>
      <c r="H3095">
        <v>0.237177</v>
      </c>
      <c r="Q3095" s="10">
        <f t="shared" si="116"/>
        <v>2.7016955784947361E-3</v>
      </c>
      <c r="AI3095">
        <v>-1.9643E-3</v>
      </c>
      <c r="AJ3095">
        <f t="shared" si="115"/>
        <v>-1.9643E-3</v>
      </c>
      <c r="AO3095">
        <v>-1.9643E-3</v>
      </c>
      <c r="AR3095" s="8">
        <v>0</v>
      </c>
      <c r="AS3095">
        <v>0.60149790000000003</v>
      </c>
    </row>
    <row r="3096" spans="1:45" x14ac:dyDescent="0.25">
      <c r="A3096">
        <v>533</v>
      </c>
      <c r="B3096">
        <v>2002</v>
      </c>
      <c r="C3096" s="8">
        <v>0</v>
      </c>
      <c r="D3096">
        <v>-2.6100499999999999E-2</v>
      </c>
      <c r="E3096">
        <v>8.3145499999999997E-2</v>
      </c>
      <c r="F3096">
        <v>3.5688400000000002E-2</v>
      </c>
      <c r="G3096">
        <v>0.37664880000000001</v>
      </c>
      <c r="H3096">
        <v>0.1526024</v>
      </c>
      <c r="Q3096" s="10">
        <f t="shared" si="116"/>
        <v>3.0285998790901752E-2</v>
      </c>
      <c r="AI3096">
        <v>1.5410699999999999E-2</v>
      </c>
      <c r="AJ3096">
        <f t="shared" si="115"/>
        <v>1.5410699999999999E-2</v>
      </c>
      <c r="AO3096">
        <v>1.5410699999999999E-2</v>
      </c>
      <c r="AR3096" s="8">
        <v>0</v>
      </c>
      <c r="AS3096">
        <v>0.91008750000000005</v>
      </c>
    </row>
    <row r="3097" spans="1:45" x14ac:dyDescent="0.25">
      <c r="A3097">
        <v>533</v>
      </c>
      <c r="B3097">
        <v>2003</v>
      </c>
      <c r="C3097" s="8">
        <v>0</v>
      </c>
      <c r="D3097">
        <v>-1.9643E-3</v>
      </c>
      <c r="E3097">
        <v>9.9007999999999999E-2</v>
      </c>
      <c r="F3097">
        <v>3.2864600000000001E-2</v>
      </c>
      <c r="G3097">
        <v>0.34184150000000002</v>
      </c>
      <c r="H3097">
        <v>0.1495302</v>
      </c>
      <c r="Q3097" s="10">
        <f t="shared" si="116"/>
        <v>3.2194808112063066E-2</v>
      </c>
      <c r="AI3097">
        <v>0.21235209999999999</v>
      </c>
      <c r="AJ3097">
        <f t="shared" si="115"/>
        <v>0.21235209999999999</v>
      </c>
      <c r="AO3097">
        <v>0.21235209999999999</v>
      </c>
      <c r="AR3097" s="8">
        <v>0</v>
      </c>
      <c r="AS3097">
        <v>1.656237</v>
      </c>
    </row>
    <row r="3098" spans="1:45" x14ac:dyDescent="0.25">
      <c r="A3098">
        <v>533</v>
      </c>
      <c r="B3098">
        <v>2004</v>
      </c>
      <c r="C3098" s="8">
        <v>0</v>
      </c>
      <c r="D3098">
        <v>1.5410699999999999E-2</v>
      </c>
      <c r="E3098">
        <v>8.8816000000000006E-2</v>
      </c>
      <c r="F3098">
        <v>3.7806699999999999E-2</v>
      </c>
      <c r="G3098">
        <v>0.42471350000000002</v>
      </c>
      <c r="H3098">
        <v>0.15618609999999999</v>
      </c>
      <c r="Q3098" s="10">
        <f t="shared" si="116"/>
        <v>2.7958483617344258E-2</v>
      </c>
      <c r="AI3098">
        <v>0.2059252</v>
      </c>
      <c r="AJ3098">
        <f t="shared" si="115"/>
        <v>0.2059252</v>
      </c>
      <c r="AO3098">
        <v>0.2059252</v>
      </c>
      <c r="AR3098" s="8">
        <v>0</v>
      </c>
      <c r="AS3098">
        <v>0.37664880000000001</v>
      </c>
    </row>
    <row r="3099" spans="1:45" x14ac:dyDescent="0.25">
      <c r="A3099">
        <v>534</v>
      </c>
      <c r="B3099">
        <v>1997</v>
      </c>
      <c r="C3099" s="8">
        <v>0</v>
      </c>
      <c r="D3099">
        <v>0.21235209999999999</v>
      </c>
      <c r="E3099">
        <v>0.33750639999999998</v>
      </c>
      <c r="F3099">
        <v>7.1906999999999999E-2</v>
      </c>
      <c r="G3099">
        <v>2.161683</v>
      </c>
      <c r="H3099">
        <v>0.30422979999999999</v>
      </c>
      <c r="Q3099" s="10">
        <f t="shared" si="116"/>
        <v>1.137576915271891E-3</v>
      </c>
      <c r="AI3099">
        <v>0.1107972</v>
      </c>
      <c r="AJ3099">
        <f t="shared" si="115"/>
        <v>0.1107972</v>
      </c>
      <c r="AO3099">
        <v>0.1107972</v>
      </c>
      <c r="AR3099" s="8">
        <v>0</v>
      </c>
      <c r="AS3099">
        <v>0.34184150000000002</v>
      </c>
    </row>
    <row r="3100" spans="1:45" x14ac:dyDescent="0.25">
      <c r="A3100">
        <v>534</v>
      </c>
      <c r="B3100">
        <v>1998</v>
      </c>
      <c r="C3100" s="8">
        <v>0</v>
      </c>
      <c r="D3100">
        <v>0.2059252</v>
      </c>
      <c r="E3100">
        <v>0.371585</v>
      </c>
      <c r="F3100">
        <v>6.7632899999999996E-2</v>
      </c>
      <c r="G3100">
        <v>1.348822</v>
      </c>
      <c r="H3100">
        <v>0.28996880000000003</v>
      </c>
      <c r="Q3100" s="10">
        <f t="shared" si="116"/>
        <v>4.0329771398034849E-3</v>
      </c>
      <c r="AI3100">
        <v>0.1022438</v>
      </c>
      <c r="AJ3100">
        <f t="shared" si="115"/>
        <v>0.1022438</v>
      </c>
      <c r="AO3100">
        <v>0.1022438</v>
      </c>
      <c r="AR3100" s="8">
        <v>0</v>
      </c>
      <c r="AS3100">
        <v>0.42471350000000002</v>
      </c>
    </row>
    <row r="3101" spans="1:45" x14ac:dyDescent="0.25">
      <c r="A3101">
        <v>534</v>
      </c>
      <c r="B3101">
        <v>1999</v>
      </c>
      <c r="C3101" s="8">
        <v>0</v>
      </c>
      <c r="D3101">
        <v>0.1107972</v>
      </c>
      <c r="E3101">
        <v>0.25365799999999999</v>
      </c>
      <c r="F3101">
        <v>6.1474800000000003E-2</v>
      </c>
      <c r="G3101">
        <v>0.58006420000000003</v>
      </c>
      <c r="H3101">
        <v>0.24613199999999999</v>
      </c>
      <c r="Q3101" s="10">
        <f t="shared" si="116"/>
        <v>1.5828608745073733E-2</v>
      </c>
      <c r="AI3101">
        <v>7.6864600000000005E-2</v>
      </c>
      <c r="AJ3101">
        <f t="shared" si="115"/>
        <v>7.6864600000000005E-2</v>
      </c>
      <c r="AO3101">
        <v>7.6864600000000005E-2</v>
      </c>
      <c r="AR3101" s="8">
        <v>0</v>
      </c>
      <c r="AS3101">
        <v>2.161683</v>
      </c>
    </row>
    <row r="3102" spans="1:45" x14ac:dyDescent="0.25">
      <c r="A3102">
        <v>534</v>
      </c>
      <c r="B3102">
        <v>2000</v>
      </c>
      <c r="C3102" s="8">
        <v>0</v>
      </c>
      <c r="D3102">
        <v>0.1022438</v>
      </c>
      <c r="E3102">
        <v>0.2880953</v>
      </c>
      <c r="F3102">
        <v>6.0403600000000002E-2</v>
      </c>
      <c r="G3102">
        <v>1.0370299999999999</v>
      </c>
      <c r="H3102">
        <v>0.25983020000000001</v>
      </c>
      <c r="Q3102" s="10">
        <f t="shared" si="116"/>
        <v>7.4300971859792469E-3</v>
      </c>
      <c r="AI3102">
        <v>0.1027016</v>
      </c>
      <c r="AJ3102">
        <f t="shared" si="115"/>
        <v>0.1027016</v>
      </c>
      <c r="AO3102">
        <v>0.1027016</v>
      </c>
      <c r="AR3102" s="8">
        <v>0</v>
      </c>
      <c r="AS3102">
        <v>1.348822</v>
      </c>
    </row>
    <row r="3103" spans="1:45" x14ac:dyDescent="0.25">
      <c r="A3103">
        <v>534</v>
      </c>
      <c r="B3103">
        <v>2001</v>
      </c>
      <c r="C3103" s="8">
        <v>0</v>
      </c>
      <c r="D3103">
        <v>7.6864600000000005E-2</v>
      </c>
      <c r="E3103">
        <v>0.2933366</v>
      </c>
      <c r="F3103">
        <v>6.1735699999999998E-2</v>
      </c>
      <c r="G3103">
        <v>1.1600159999999999</v>
      </c>
      <c r="H3103">
        <v>0.28165580000000001</v>
      </c>
      <c r="Q3103" s="10">
        <f t="shared" si="116"/>
        <v>6.023674112053486E-3</v>
      </c>
      <c r="AI3103">
        <v>8.7137900000000004E-2</v>
      </c>
      <c r="AJ3103">
        <f t="shared" si="115"/>
        <v>8.7137900000000004E-2</v>
      </c>
      <c r="AO3103">
        <v>8.7137900000000004E-2</v>
      </c>
      <c r="AR3103" s="8">
        <v>0</v>
      </c>
      <c r="AS3103">
        <v>0.58006420000000003</v>
      </c>
    </row>
    <row r="3104" spans="1:45" x14ac:dyDescent="0.25">
      <c r="A3104">
        <v>534</v>
      </c>
      <c r="B3104">
        <v>2002</v>
      </c>
      <c r="C3104" s="8">
        <v>0</v>
      </c>
      <c r="D3104">
        <v>0.1027016</v>
      </c>
      <c r="E3104">
        <v>0.3416438</v>
      </c>
      <c r="F3104">
        <v>4.1619000000000003E-2</v>
      </c>
      <c r="G3104">
        <v>0.9176744</v>
      </c>
      <c r="H3104">
        <v>0.24092150000000001</v>
      </c>
      <c r="Q3104" s="10">
        <f t="shared" si="116"/>
        <v>9.5304800386740874E-3</v>
      </c>
      <c r="AI3104">
        <v>0.16063939999999999</v>
      </c>
      <c r="AJ3104">
        <f t="shared" si="115"/>
        <v>0.16063939999999999</v>
      </c>
      <c r="AO3104">
        <v>0.16063939999999999</v>
      </c>
      <c r="AR3104" s="8">
        <v>0</v>
      </c>
      <c r="AS3104">
        <v>1.0370299999999999</v>
      </c>
    </row>
    <row r="3105" spans="1:45" x14ac:dyDescent="0.25">
      <c r="A3105">
        <v>534</v>
      </c>
      <c r="B3105">
        <v>2003</v>
      </c>
      <c r="C3105" s="8">
        <v>0</v>
      </c>
      <c r="D3105">
        <v>8.7137900000000004E-2</v>
      </c>
      <c r="E3105">
        <v>0.28209529999999999</v>
      </c>
      <c r="F3105">
        <v>4.3861799999999999E-2</v>
      </c>
      <c r="G3105">
        <v>1.4266669999999999</v>
      </c>
      <c r="H3105">
        <v>0.20845849999999999</v>
      </c>
      <c r="Q3105" s="10">
        <f t="shared" si="116"/>
        <v>4.439630075063831E-3</v>
      </c>
      <c r="AI3105">
        <v>0.1076614</v>
      </c>
      <c r="AJ3105">
        <f t="shared" si="115"/>
        <v>0.1076614</v>
      </c>
      <c r="AO3105">
        <v>0.1076614</v>
      </c>
      <c r="AR3105" s="8">
        <v>0</v>
      </c>
      <c r="AS3105">
        <v>1.1600159999999999</v>
      </c>
    </row>
    <row r="3106" spans="1:45" x14ac:dyDescent="0.25">
      <c r="A3106">
        <v>534</v>
      </c>
      <c r="B3106">
        <v>2004</v>
      </c>
      <c r="C3106" s="8">
        <v>0</v>
      </c>
      <c r="D3106">
        <v>0.16063939999999999</v>
      </c>
      <c r="E3106">
        <v>0.28572120000000001</v>
      </c>
      <c r="F3106">
        <v>5.8308600000000002E-2</v>
      </c>
      <c r="G3106">
        <v>2.7933110000000001</v>
      </c>
      <c r="H3106">
        <v>0.26681919999999998</v>
      </c>
      <c r="Q3106" s="10">
        <f t="shared" si="116"/>
        <v>4.782886697831416E-4</v>
      </c>
      <c r="AI3106">
        <v>1.6461900000000002E-2</v>
      </c>
      <c r="AJ3106">
        <f t="shared" si="115"/>
        <v>1.6461900000000002E-2</v>
      </c>
      <c r="AO3106">
        <v>1.6461900000000002E-2</v>
      </c>
      <c r="AR3106" s="8">
        <v>0</v>
      </c>
      <c r="AS3106">
        <v>0.9176744</v>
      </c>
    </row>
    <row r="3107" spans="1:45" x14ac:dyDescent="0.25">
      <c r="A3107">
        <v>535</v>
      </c>
      <c r="B3107">
        <v>1995</v>
      </c>
      <c r="C3107" s="8">
        <v>0</v>
      </c>
      <c r="D3107">
        <v>0.1076614</v>
      </c>
      <c r="E3107">
        <v>0.1315897</v>
      </c>
      <c r="F3107">
        <v>5.1443900000000001E-2</v>
      </c>
      <c r="G3107">
        <v>0.93588629999999995</v>
      </c>
      <c r="H3107">
        <v>0.1243218</v>
      </c>
      <c r="Q3107" s="10">
        <f t="shared" si="116"/>
        <v>1.0813609610549221E-2</v>
      </c>
      <c r="AI3107">
        <v>1.7572999999999998E-2</v>
      </c>
      <c r="AJ3107">
        <f t="shared" si="115"/>
        <v>1.7572999999999998E-2</v>
      </c>
      <c r="AO3107">
        <v>1.7572999999999998E-2</v>
      </c>
      <c r="AR3107" s="8">
        <v>0</v>
      </c>
      <c r="AS3107">
        <v>1.4266669999999999</v>
      </c>
    </row>
    <row r="3108" spans="1:45" x14ac:dyDescent="0.25">
      <c r="A3108">
        <v>535</v>
      </c>
      <c r="B3108">
        <v>1997</v>
      </c>
      <c r="C3108" s="8">
        <v>0</v>
      </c>
      <c r="D3108">
        <v>1.6461900000000002E-2</v>
      </c>
      <c r="E3108">
        <v>0.1181874</v>
      </c>
      <c r="F3108">
        <v>4.2848600000000001E-2</v>
      </c>
      <c r="G3108">
        <v>1.465185</v>
      </c>
      <c r="H3108">
        <v>0.102461</v>
      </c>
      <c r="Q3108" s="10">
        <f t="shared" si="116"/>
        <v>4.8560443442783796E-3</v>
      </c>
      <c r="AI3108">
        <v>1.3514699999999999E-2</v>
      </c>
      <c r="AJ3108">
        <f t="shared" si="115"/>
        <v>1.3514699999999999E-2</v>
      </c>
      <c r="AO3108">
        <v>1.3514699999999999E-2</v>
      </c>
      <c r="AR3108" s="8">
        <v>0</v>
      </c>
      <c r="AS3108">
        <v>2.7933110000000001</v>
      </c>
    </row>
    <row r="3109" spans="1:45" x14ac:dyDescent="0.25">
      <c r="A3109">
        <v>535</v>
      </c>
      <c r="B3109">
        <v>1998</v>
      </c>
      <c r="C3109" s="8">
        <v>0</v>
      </c>
      <c r="D3109">
        <v>1.7572999999999998E-2</v>
      </c>
      <c r="E3109">
        <v>0.13337470000000001</v>
      </c>
      <c r="F3109">
        <v>5.5583199999999999E-2</v>
      </c>
      <c r="G3109">
        <v>0.77237619999999996</v>
      </c>
      <c r="H3109">
        <v>0.1081381</v>
      </c>
      <c r="Q3109" s="10">
        <f t="shared" si="116"/>
        <v>1.2886866695282131E-2</v>
      </c>
      <c r="AI3109">
        <v>1.48016E-2</v>
      </c>
      <c r="AJ3109">
        <f t="shared" si="115"/>
        <v>1.48016E-2</v>
      </c>
      <c r="AO3109">
        <v>1.48016E-2</v>
      </c>
      <c r="AR3109" s="8">
        <v>0</v>
      </c>
      <c r="AS3109">
        <v>0.93588629999999995</v>
      </c>
    </row>
    <row r="3110" spans="1:45" x14ac:dyDescent="0.25">
      <c r="A3110">
        <v>535</v>
      </c>
      <c r="B3110">
        <v>1999</v>
      </c>
      <c r="C3110" s="8">
        <v>0</v>
      </c>
      <c r="D3110">
        <v>1.3514699999999999E-2</v>
      </c>
      <c r="E3110">
        <v>0.172712</v>
      </c>
      <c r="F3110">
        <v>5.2124799999999999E-2</v>
      </c>
      <c r="G3110">
        <v>0.65922080000000005</v>
      </c>
      <c r="H3110">
        <v>0.134765</v>
      </c>
      <c r="Q3110" s="10">
        <f t="shared" si="116"/>
        <v>1.5172738618379842E-2</v>
      </c>
      <c r="AI3110">
        <v>5.7559300000000001E-2</v>
      </c>
      <c r="AJ3110">
        <f t="shared" si="115"/>
        <v>5.7559300000000001E-2</v>
      </c>
      <c r="AO3110">
        <v>5.7559300000000001E-2</v>
      </c>
      <c r="AR3110" s="8">
        <v>0</v>
      </c>
      <c r="AS3110">
        <v>1.465185</v>
      </c>
    </row>
    <row r="3111" spans="1:45" x14ac:dyDescent="0.25">
      <c r="A3111">
        <v>535</v>
      </c>
      <c r="B3111">
        <v>2000</v>
      </c>
      <c r="C3111" s="8">
        <v>0</v>
      </c>
      <c r="D3111">
        <v>1.48016E-2</v>
      </c>
      <c r="E3111">
        <v>0.25572420000000001</v>
      </c>
      <c r="F3111">
        <v>4.1618099999999998E-2</v>
      </c>
      <c r="G3111">
        <v>1.1019060000000001</v>
      </c>
      <c r="H3111">
        <v>0.14996039999999999</v>
      </c>
      <c r="Q3111" s="10">
        <f t="shared" si="116"/>
        <v>7.3539682733324493E-3</v>
      </c>
      <c r="AI3111">
        <v>5.9662600000000003E-2</v>
      </c>
      <c r="AJ3111">
        <f t="shared" si="115"/>
        <v>5.9662600000000003E-2</v>
      </c>
      <c r="AO3111">
        <v>5.9662600000000003E-2</v>
      </c>
      <c r="AR3111" s="8">
        <v>0</v>
      </c>
      <c r="AS3111">
        <v>0.77237619999999996</v>
      </c>
    </row>
    <row r="3112" spans="1:45" x14ac:dyDescent="0.25">
      <c r="A3112">
        <v>535</v>
      </c>
      <c r="B3112">
        <v>2001</v>
      </c>
      <c r="C3112" s="8">
        <v>0</v>
      </c>
      <c r="D3112">
        <v>5.7559300000000001E-2</v>
      </c>
      <c r="E3112">
        <v>0.29538599999999998</v>
      </c>
      <c r="F3112">
        <v>3.91443E-2</v>
      </c>
      <c r="G3112">
        <v>1.124279</v>
      </c>
      <c r="H3112">
        <v>0.1239024</v>
      </c>
      <c r="Q3112" s="10">
        <f t="shared" si="116"/>
        <v>6.8468329314664818E-3</v>
      </c>
      <c r="AI3112">
        <v>4.9970599999999997E-2</v>
      </c>
      <c r="AJ3112">
        <f t="shared" si="115"/>
        <v>4.9970599999999997E-2</v>
      </c>
      <c r="AO3112">
        <v>4.9970599999999997E-2</v>
      </c>
      <c r="AR3112" s="8">
        <v>0</v>
      </c>
      <c r="AS3112">
        <v>0.65922080000000005</v>
      </c>
    </row>
    <row r="3113" spans="1:45" x14ac:dyDescent="0.25">
      <c r="A3113">
        <v>535</v>
      </c>
      <c r="B3113">
        <v>2002</v>
      </c>
      <c r="C3113" s="8">
        <v>0</v>
      </c>
      <c r="D3113">
        <v>5.9662600000000003E-2</v>
      </c>
      <c r="E3113">
        <v>0.29059289999999999</v>
      </c>
      <c r="F3113">
        <v>1.7913999999999999E-2</v>
      </c>
      <c r="G3113">
        <v>0.91009589999999996</v>
      </c>
      <c r="H3113">
        <v>0.10171910000000001</v>
      </c>
      <c r="Q3113" s="10">
        <f t="shared" si="116"/>
        <v>1.1296942706809724E-2</v>
      </c>
      <c r="AI3113">
        <v>0.1134947</v>
      </c>
      <c r="AJ3113">
        <f t="shared" si="115"/>
        <v>0.1134947</v>
      </c>
      <c r="AO3113">
        <v>0.1134947</v>
      </c>
      <c r="AR3113" s="8">
        <v>0</v>
      </c>
      <c r="AS3113">
        <v>1.1019060000000001</v>
      </c>
    </row>
    <row r="3114" spans="1:45" x14ac:dyDescent="0.25">
      <c r="A3114">
        <v>535</v>
      </c>
      <c r="B3114">
        <v>2003</v>
      </c>
      <c r="C3114" s="8">
        <v>0</v>
      </c>
      <c r="D3114">
        <v>4.9970599999999997E-2</v>
      </c>
      <c r="E3114">
        <v>0.30682619999999999</v>
      </c>
      <c r="F3114">
        <v>1.6183400000000001E-2</v>
      </c>
      <c r="G3114">
        <v>1.433189</v>
      </c>
      <c r="H3114">
        <v>0.13520960000000001</v>
      </c>
      <c r="Q3114" s="10">
        <f t="shared" si="116"/>
        <v>4.9743095736849655E-3</v>
      </c>
      <c r="AI3114">
        <v>0.14562459999999999</v>
      </c>
      <c r="AJ3114">
        <f t="shared" si="115"/>
        <v>0.14562459999999999</v>
      </c>
      <c r="AO3114">
        <v>0.14562459999999999</v>
      </c>
      <c r="AR3114" s="8">
        <v>0</v>
      </c>
      <c r="AS3114">
        <v>1.124279</v>
      </c>
    </row>
    <row r="3115" spans="1:45" x14ac:dyDescent="0.25">
      <c r="A3115">
        <v>536</v>
      </c>
      <c r="B3115">
        <v>1995</v>
      </c>
      <c r="C3115" s="8">
        <v>0</v>
      </c>
      <c r="D3115">
        <v>0.1134947</v>
      </c>
      <c r="E3115">
        <v>0.34043600000000002</v>
      </c>
      <c r="F3115">
        <v>4.6217500000000002E-2</v>
      </c>
      <c r="G3115">
        <v>2.8514789999999999</v>
      </c>
      <c r="H3115">
        <v>0.33399309999999999</v>
      </c>
      <c r="Q3115" s="10">
        <f t="shared" si="116"/>
        <v>4.5340996588639967E-4</v>
      </c>
      <c r="AI3115">
        <v>0.13734060000000001</v>
      </c>
      <c r="AJ3115">
        <f t="shared" si="115"/>
        <v>0.13734060000000001</v>
      </c>
      <c r="AO3115">
        <v>0.13734060000000001</v>
      </c>
      <c r="AR3115" s="8">
        <v>0</v>
      </c>
      <c r="AS3115">
        <v>0.91009589999999996</v>
      </c>
    </row>
    <row r="3116" spans="1:45" x14ac:dyDescent="0.25">
      <c r="A3116">
        <v>536</v>
      </c>
      <c r="B3116">
        <v>1996</v>
      </c>
      <c r="C3116" s="8">
        <v>0</v>
      </c>
      <c r="D3116">
        <v>0.14562459999999999</v>
      </c>
      <c r="E3116">
        <v>0.39672109999999999</v>
      </c>
      <c r="F3116">
        <v>5.9347799999999999E-2</v>
      </c>
      <c r="G3116">
        <v>3.9132829999999998</v>
      </c>
      <c r="H3116">
        <v>0.34946509999999997</v>
      </c>
      <c r="Q3116" s="10">
        <f t="shared" si="116"/>
        <v>7.0889877017443916E-5</v>
      </c>
      <c r="AI3116">
        <v>7.1253700000000003E-2</v>
      </c>
      <c r="AJ3116">
        <f t="shared" si="115"/>
        <v>7.1253700000000003E-2</v>
      </c>
      <c r="AO3116">
        <v>7.1253700000000003E-2</v>
      </c>
      <c r="AR3116" s="8">
        <v>0</v>
      </c>
      <c r="AS3116">
        <v>1.433189</v>
      </c>
    </row>
    <row r="3117" spans="1:45" x14ac:dyDescent="0.25">
      <c r="A3117">
        <v>536</v>
      </c>
      <c r="B3117">
        <v>1997</v>
      </c>
      <c r="C3117" s="8">
        <v>0</v>
      </c>
      <c r="D3117">
        <v>0.13734060000000001</v>
      </c>
      <c r="E3117">
        <v>0.39494760000000001</v>
      </c>
      <c r="F3117">
        <v>5.9833200000000003E-2</v>
      </c>
      <c r="G3117">
        <v>6.1972230000000001</v>
      </c>
      <c r="H3117">
        <v>0.34483750000000002</v>
      </c>
      <c r="Q3117" s="10">
        <f t="shared" si="116"/>
        <v>1.8476571538364948E-6</v>
      </c>
      <c r="AI3117">
        <v>4.5669099999999997E-2</v>
      </c>
      <c r="AJ3117">
        <f t="shared" si="115"/>
        <v>4.5669099999999997E-2</v>
      </c>
      <c r="AO3117">
        <v>4.5669099999999997E-2</v>
      </c>
      <c r="AR3117" s="8">
        <v>0</v>
      </c>
      <c r="AS3117">
        <v>2.8514789999999999</v>
      </c>
    </row>
    <row r="3118" spans="1:45" x14ac:dyDescent="0.25">
      <c r="A3118">
        <v>536</v>
      </c>
      <c r="B3118">
        <v>1998</v>
      </c>
      <c r="C3118" s="8">
        <v>0</v>
      </c>
      <c r="D3118">
        <v>7.1253700000000003E-2</v>
      </c>
      <c r="E3118">
        <v>0.34659669999999998</v>
      </c>
      <c r="F3118">
        <v>7.2008199999999994E-2</v>
      </c>
      <c r="G3118">
        <v>6.5523730000000002</v>
      </c>
      <c r="H3118">
        <v>0.32512279999999999</v>
      </c>
      <c r="Q3118" s="10">
        <f t="shared" si="116"/>
        <v>9.814397462483992E-7</v>
      </c>
      <c r="AI3118">
        <v>2.0592599999999999E-2</v>
      </c>
      <c r="AJ3118">
        <f t="shared" si="115"/>
        <v>2.0592599999999999E-2</v>
      </c>
      <c r="AO3118">
        <v>2.0592599999999999E-2</v>
      </c>
      <c r="AR3118" s="8">
        <v>0</v>
      </c>
      <c r="AS3118">
        <v>3.9132829999999998</v>
      </c>
    </row>
    <row r="3119" spans="1:45" x14ac:dyDescent="0.25">
      <c r="A3119">
        <v>536</v>
      </c>
      <c r="B3119">
        <v>1999</v>
      </c>
      <c r="C3119" s="8">
        <v>0</v>
      </c>
      <c r="D3119">
        <v>4.5669099999999997E-2</v>
      </c>
      <c r="E3119">
        <v>0.31739810000000002</v>
      </c>
      <c r="F3119">
        <v>7.7320899999999998E-2</v>
      </c>
      <c r="G3119">
        <v>5.9396979999999999</v>
      </c>
      <c r="H3119">
        <v>0.32672220000000002</v>
      </c>
      <c r="Q3119" s="10">
        <f t="shared" si="116"/>
        <v>2.5804580310373347E-6</v>
      </c>
      <c r="AI3119">
        <v>6.18335E-2</v>
      </c>
      <c r="AJ3119">
        <f t="shared" si="115"/>
        <v>6.18335E-2</v>
      </c>
      <c r="AO3119">
        <v>6.18335E-2</v>
      </c>
      <c r="AR3119" s="8">
        <v>0</v>
      </c>
      <c r="AS3119">
        <v>6.1972230000000001</v>
      </c>
    </row>
    <row r="3120" spans="1:45" x14ac:dyDescent="0.25">
      <c r="A3120">
        <v>536</v>
      </c>
      <c r="B3120">
        <v>2000</v>
      </c>
      <c r="C3120" s="8">
        <v>0</v>
      </c>
      <c r="D3120">
        <v>2.0592599999999999E-2</v>
      </c>
      <c r="E3120">
        <v>0.2878503</v>
      </c>
      <c r="F3120">
        <v>7.66458E-2</v>
      </c>
      <c r="G3120">
        <v>3.4656030000000002</v>
      </c>
      <c r="H3120">
        <v>0.31261040000000001</v>
      </c>
      <c r="Q3120" s="10">
        <f t="shared" si="116"/>
        <v>1.3697005536487632E-4</v>
      </c>
      <c r="AI3120">
        <v>2.5135000000000001E-2</v>
      </c>
      <c r="AJ3120">
        <f t="shared" si="115"/>
        <v>2.5135000000000001E-2</v>
      </c>
      <c r="AO3120">
        <v>2.5135000000000001E-2</v>
      </c>
      <c r="AR3120" s="8">
        <v>0</v>
      </c>
      <c r="AS3120">
        <v>6.5523730000000002</v>
      </c>
    </row>
    <row r="3121" spans="1:45" x14ac:dyDescent="0.25">
      <c r="A3121">
        <v>536</v>
      </c>
      <c r="B3121">
        <v>2001</v>
      </c>
      <c r="C3121" s="8">
        <v>0</v>
      </c>
      <c r="D3121">
        <v>6.18335E-2</v>
      </c>
      <c r="E3121">
        <v>0.26686739999999998</v>
      </c>
      <c r="F3121">
        <v>6.7970500000000003E-2</v>
      </c>
      <c r="G3121">
        <v>3.7263679999999999</v>
      </c>
      <c r="H3121">
        <v>0.3154749</v>
      </c>
      <c r="Q3121" s="10">
        <f t="shared" si="116"/>
        <v>1.0180028405552767E-4</v>
      </c>
      <c r="AI3121">
        <v>9.8987699999999998E-2</v>
      </c>
      <c r="AJ3121">
        <f t="shared" si="115"/>
        <v>9.8987699999999998E-2</v>
      </c>
      <c r="AO3121">
        <v>9.8987699999999998E-2</v>
      </c>
      <c r="AR3121" s="8">
        <v>0</v>
      </c>
      <c r="AS3121">
        <v>5.9396979999999999</v>
      </c>
    </row>
    <row r="3122" spans="1:45" x14ac:dyDescent="0.25">
      <c r="A3122">
        <v>536</v>
      </c>
      <c r="B3122">
        <v>2002</v>
      </c>
      <c r="C3122" s="8">
        <v>0</v>
      </c>
      <c r="D3122">
        <v>2.5135000000000001E-2</v>
      </c>
      <c r="E3122">
        <v>0.25613330000000001</v>
      </c>
      <c r="F3122">
        <v>7.7094599999999999E-2</v>
      </c>
      <c r="G3122">
        <v>4.3341560000000001</v>
      </c>
      <c r="H3122">
        <v>0.28012150000000002</v>
      </c>
      <c r="Q3122" s="10">
        <f t="shared" si="116"/>
        <v>3.516385135271403E-5</v>
      </c>
      <c r="AI3122">
        <v>-6.0836800000000003E-2</v>
      </c>
      <c r="AJ3122">
        <f t="shared" si="115"/>
        <v>-6.0836800000000003E-2</v>
      </c>
      <c r="AO3122">
        <v>-6.0836800000000003E-2</v>
      </c>
      <c r="AR3122" s="8">
        <v>0</v>
      </c>
      <c r="AS3122">
        <v>3.4656030000000002</v>
      </c>
    </row>
    <row r="3123" spans="1:45" x14ac:dyDescent="0.25">
      <c r="A3123">
        <v>536</v>
      </c>
      <c r="B3123">
        <v>2003</v>
      </c>
      <c r="C3123" s="8">
        <v>0</v>
      </c>
      <c r="D3123">
        <v>9.8987699999999998E-2</v>
      </c>
      <c r="E3123">
        <v>0.30015799999999998</v>
      </c>
      <c r="F3123">
        <v>8.2175300000000007E-2</v>
      </c>
      <c r="G3123">
        <v>4.2345360000000003</v>
      </c>
      <c r="H3123">
        <v>0.26694489999999998</v>
      </c>
      <c r="Q3123" s="10">
        <f t="shared" si="116"/>
        <v>3.796081065385401E-5</v>
      </c>
      <c r="AI3123">
        <v>8.7955099999999994E-2</v>
      </c>
      <c r="AJ3123">
        <f t="shared" si="115"/>
        <v>8.7955099999999994E-2</v>
      </c>
      <c r="AO3123">
        <v>8.7955099999999994E-2</v>
      </c>
      <c r="AR3123" s="8">
        <v>0</v>
      </c>
      <c r="AS3123">
        <v>3.7263679999999999</v>
      </c>
    </row>
    <row r="3124" spans="1:45" x14ac:dyDescent="0.25">
      <c r="A3124">
        <v>536</v>
      </c>
      <c r="B3124">
        <v>2004</v>
      </c>
      <c r="C3124" s="8">
        <v>0</v>
      </c>
      <c r="D3124">
        <v>-6.0836800000000003E-2</v>
      </c>
      <c r="E3124">
        <v>0.23544480000000001</v>
      </c>
      <c r="F3124">
        <v>7.6758099999999996E-2</v>
      </c>
      <c r="G3124">
        <v>3.5451329999999999</v>
      </c>
      <c r="H3124">
        <v>0.25659300000000002</v>
      </c>
      <c r="Q3124" s="10">
        <f t="shared" si="116"/>
        <v>1.2149591400688723E-4</v>
      </c>
      <c r="AI3124">
        <v>1.1310000000000001E-2</v>
      </c>
      <c r="AJ3124">
        <f t="shared" si="115"/>
        <v>1.1310000000000001E-2</v>
      </c>
      <c r="AO3124">
        <v>1.1310000000000001E-2</v>
      </c>
      <c r="AR3124" s="8">
        <v>0</v>
      </c>
      <c r="AS3124">
        <v>4.3341560000000001</v>
      </c>
    </row>
    <row r="3125" spans="1:45" x14ac:dyDescent="0.25">
      <c r="A3125">
        <v>537</v>
      </c>
      <c r="B3125">
        <v>1995</v>
      </c>
      <c r="C3125" s="8">
        <v>0</v>
      </c>
      <c r="D3125">
        <v>8.7955099999999994E-2</v>
      </c>
      <c r="E3125">
        <v>3.7276299999999998E-2</v>
      </c>
      <c r="F3125">
        <v>4.9960499999999998E-2</v>
      </c>
      <c r="G3125">
        <v>0.59248029999999996</v>
      </c>
      <c r="H3125">
        <v>0.11802120000000001</v>
      </c>
      <c r="Q3125" s="10">
        <f t="shared" si="116"/>
        <v>2.1208869035278851E-2</v>
      </c>
      <c r="AI3125">
        <v>1.5003000000000001E-2</v>
      </c>
      <c r="AJ3125">
        <f t="shared" si="115"/>
        <v>1.5003000000000001E-2</v>
      </c>
      <c r="AO3125">
        <v>1.5003000000000001E-2</v>
      </c>
      <c r="AR3125" s="8">
        <v>0</v>
      </c>
      <c r="AS3125">
        <v>4.2345360000000003</v>
      </c>
    </row>
    <row r="3126" spans="1:45" x14ac:dyDescent="0.25">
      <c r="A3126">
        <v>537</v>
      </c>
      <c r="B3126">
        <v>1996</v>
      </c>
      <c r="C3126" s="8">
        <v>0</v>
      </c>
      <c r="D3126">
        <v>1.1310000000000001E-2</v>
      </c>
      <c r="E3126">
        <v>6.02006E-2</v>
      </c>
      <c r="F3126">
        <v>4.2198800000000002E-2</v>
      </c>
      <c r="G3126">
        <v>0.58950440000000004</v>
      </c>
      <c r="H3126">
        <v>0.13600290000000001</v>
      </c>
      <c r="Q3126" s="10">
        <f t="shared" si="116"/>
        <v>2.1477872134192503E-2</v>
      </c>
      <c r="AI3126">
        <v>7.6580499999999996E-2</v>
      </c>
      <c r="AJ3126">
        <f t="shared" si="115"/>
        <v>7.6580499999999996E-2</v>
      </c>
      <c r="AO3126">
        <v>7.6580499999999996E-2</v>
      </c>
      <c r="AR3126" s="8">
        <v>0</v>
      </c>
      <c r="AS3126">
        <v>3.5451329999999999</v>
      </c>
    </row>
    <row r="3127" spans="1:45" x14ac:dyDescent="0.25">
      <c r="A3127">
        <v>537</v>
      </c>
      <c r="B3127">
        <v>1997</v>
      </c>
      <c r="C3127" s="8">
        <v>0</v>
      </c>
      <c r="D3127">
        <v>1.5003000000000001E-2</v>
      </c>
      <c r="E3127">
        <v>9.3268100000000007E-2</v>
      </c>
      <c r="F3127">
        <v>4.8347000000000001E-2</v>
      </c>
      <c r="G3127">
        <v>0.69107790000000002</v>
      </c>
      <c r="H3127">
        <v>0.14156340000000001</v>
      </c>
      <c r="Q3127" s="10">
        <f t="shared" si="116"/>
        <v>1.673837131585838E-2</v>
      </c>
      <c r="AI3127">
        <v>8.9259099999999994E-2</v>
      </c>
      <c r="AJ3127">
        <f t="shared" si="115"/>
        <v>8.9259099999999994E-2</v>
      </c>
      <c r="AO3127">
        <v>8.9259099999999994E-2</v>
      </c>
      <c r="AR3127" s="8">
        <v>0</v>
      </c>
      <c r="AS3127">
        <v>0.59248029999999996</v>
      </c>
    </row>
    <row r="3128" spans="1:45" x14ac:dyDescent="0.25">
      <c r="A3128">
        <v>537</v>
      </c>
      <c r="B3128">
        <v>1998</v>
      </c>
      <c r="C3128" s="8">
        <v>0</v>
      </c>
      <c r="D3128">
        <v>7.6580499999999996E-2</v>
      </c>
      <c r="E3128">
        <v>0.1057013</v>
      </c>
      <c r="F3128">
        <v>3.5091499999999998E-2</v>
      </c>
      <c r="G3128">
        <v>0.52354210000000001</v>
      </c>
      <c r="H3128">
        <v>0.14178499999999999</v>
      </c>
      <c r="Q3128" s="10">
        <f t="shared" si="116"/>
        <v>2.4302359402224905E-2</v>
      </c>
      <c r="AI3128">
        <v>9.3628900000000001E-2</v>
      </c>
      <c r="AJ3128">
        <f t="shared" si="115"/>
        <v>9.3628900000000001E-2</v>
      </c>
      <c r="AO3128">
        <v>9.3628900000000001E-2</v>
      </c>
      <c r="AR3128" s="8">
        <v>0</v>
      </c>
      <c r="AS3128">
        <v>0.58950440000000004</v>
      </c>
    </row>
    <row r="3129" spans="1:45" x14ac:dyDescent="0.25">
      <c r="A3129">
        <v>537</v>
      </c>
      <c r="B3129">
        <v>1999</v>
      </c>
      <c r="C3129" s="8">
        <v>0</v>
      </c>
      <c r="D3129">
        <v>8.9259099999999994E-2</v>
      </c>
      <c r="E3129">
        <v>0.10039770000000001</v>
      </c>
      <c r="F3129">
        <v>4.1285099999999998E-2</v>
      </c>
      <c r="G3129">
        <v>0.3829111</v>
      </c>
      <c r="H3129">
        <v>0.1288398</v>
      </c>
      <c r="Q3129" s="10">
        <f t="shared" si="116"/>
        <v>2.8942615829884256E-2</v>
      </c>
      <c r="AI3129">
        <v>4.2233600000000003E-2</v>
      </c>
      <c r="AJ3129">
        <f t="shared" si="115"/>
        <v>4.2233600000000003E-2</v>
      </c>
      <c r="AO3129">
        <v>4.2233600000000003E-2</v>
      </c>
      <c r="AR3129" s="8">
        <v>0</v>
      </c>
      <c r="AS3129">
        <v>0.69107790000000002</v>
      </c>
    </row>
    <row r="3130" spans="1:45" x14ac:dyDescent="0.25">
      <c r="A3130">
        <v>537</v>
      </c>
      <c r="B3130">
        <v>2000</v>
      </c>
      <c r="C3130" s="8">
        <v>0</v>
      </c>
      <c r="D3130">
        <v>9.3628900000000001E-2</v>
      </c>
      <c r="E3130">
        <v>0.1234311</v>
      </c>
      <c r="F3130">
        <v>3.5045300000000001E-2</v>
      </c>
      <c r="G3130">
        <v>0.56357219999999997</v>
      </c>
      <c r="H3130">
        <v>0.18987619999999999</v>
      </c>
      <c r="Q3130" s="10">
        <f t="shared" si="116"/>
        <v>2.3091845206027112E-2</v>
      </c>
      <c r="AI3130">
        <v>1.4241200000000001E-2</v>
      </c>
      <c r="AJ3130">
        <f t="shared" si="115"/>
        <v>1.4241200000000001E-2</v>
      </c>
      <c r="AO3130">
        <v>1.4241200000000001E-2</v>
      </c>
      <c r="AR3130" s="8">
        <v>0</v>
      </c>
      <c r="AS3130">
        <v>0.52354210000000001</v>
      </c>
    </row>
    <row r="3131" spans="1:45" x14ac:dyDescent="0.25">
      <c r="A3131">
        <v>537</v>
      </c>
      <c r="B3131">
        <v>2001</v>
      </c>
      <c r="C3131" s="8">
        <v>0</v>
      </c>
      <c r="D3131">
        <v>4.2233600000000003E-2</v>
      </c>
      <c r="E3131">
        <v>0.16708980000000001</v>
      </c>
      <c r="F3131">
        <v>4.4581799999999998E-2</v>
      </c>
      <c r="G3131">
        <v>0.59178739999999996</v>
      </c>
      <c r="H3131">
        <v>0.13359460000000001</v>
      </c>
      <c r="Q3131" s="10">
        <f t="shared" si="116"/>
        <v>1.8238437502791874E-2</v>
      </c>
      <c r="AI3131">
        <v>1.5687599999999999E-2</v>
      </c>
      <c r="AJ3131">
        <f t="shared" si="115"/>
        <v>1.5687599999999999E-2</v>
      </c>
      <c r="AO3131">
        <v>1.5687599999999999E-2</v>
      </c>
      <c r="AR3131" s="8">
        <v>0</v>
      </c>
      <c r="AS3131">
        <v>0.3829111</v>
      </c>
    </row>
    <row r="3132" spans="1:45" x14ac:dyDescent="0.25">
      <c r="A3132">
        <v>537</v>
      </c>
      <c r="B3132">
        <v>2002</v>
      </c>
      <c r="C3132" s="8">
        <v>0</v>
      </c>
      <c r="D3132">
        <v>1.4241200000000001E-2</v>
      </c>
      <c r="E3132">
        <v>0.1565965</v>
      </c>
      <c r="F3132">
        <v>4.2989899999999998E-2</v>
      </c>
      <c r="G3132">
        <v>0.49468450000000003</v>
      </c>
      <c r="H3132">
        <v>0.12157900000000001</v>
      </c>
      <c r="Q3132" s="10">
        <f t="shared" si="116"/>
        <v>2.141262118374394E-2</v>
      </c>
      <c r="AI3132">
        <v>1.7754099999999998E-2</v>
      </c>
      <c r="AJ3132">
        <f t="shared" si="115"/>
        <v>1.7754099999999998E-2</v>
      </c>
      <c r="AO3132">
        <v>1.7754099999999998E-2</v>
      </c>
      <c r="AR3132" s="8">
        <v>0</v>
      </c>
      <c r="AS3132">
        <v>0.56357219999999997</v>
      </c>
    </row>
    <row r="3133" spans="1:45" x14ac:dyDescent="0.25">
      <c r="A3133">
        <v>537</v>
      </c>
      <c r="B3133">
        <v>2003</v>
      </c>
      <c r="C3133" s="8">
        <v>0</v>
      </c>
      <c r="D3133">
        <v>1.5687599999999999E-2</v>
      </c>
      <c r="E3133">
        <v>0.16362470000000001</v>
      </c>
      <c r="F3133">
        <v>4.6483900000000002E-2</v>
      </c>
      <c r="G3133">
        <v>0.53933900000000001</v>
      </c>
      <c r="H3133">
        <v>0.1353366</v>
      </c>
      <c r="Q3133" s="10">
        <f t="shared" si="116"/>
        <v>1.9410622611370356E-2</v>
      </c>
      <c r="AI3133">
        <v>-5.41658E-2</v>
      </c>
      <c r="AJ3133">
        <f t="shared" si="115"/>
        <v>-5.41658E-2</v>
      </c>
      <c r="AO3133">
        <v>-5.41658E-2</v>
      </c>
      <c r="AR3133" s="8">
        <v>0</v>
      </c>
      <c r="AS3133">
        <v>0.59178739999999996</v>
      </c>
    </row>
    <row r="3134" spans="1:45" x14ac:dyDescent="0.25">
      <c r="A3134">
        <v>537</v>
      </c>
      <c r="B3134">
        <v>2004</v>
      </c>
      <c r="C3134" s="8">
        <v>0</v>
      </c>
      <c r="D3134">
        <v>1.7754099999999998E-2</v>
      </c>
      <c r="E3134">
        <v>0.16772119999999999</v>
      </c>
      <c r="F3134">
        <v>3.7351000000000002E-2</v>
      </c>
      <c r="G3134">
        <v>0.67122649999999995</v>
      </c>
      <c r="H3134">
        <v>0.14399590000000001</v>
      </c>
      <c r="Q3134" s="10">
        <f t="shared" si="116"/>
        <v>1.6970083214912401E-2</v>
      </c>
      <c r="AI3134">
        <v>-3.9575000000000001E-3</v>
      </c>
      <c r="AJ3134">
        <f t="shared" si="115"/>
        <v>-3.9575000000000001E-3</v>
      </c>
      <c r="AO3134">
        <v>-3.9575000000000001E-3</v>
      </c>
      <c r="AR3134" s="8">
        <v>0</v>
      </c>
      <c r="AS3134">
        <v>0.49468450000000003</v>
      </c>
    </row>
    <row r="3135" spans="1:45" x14ac:dyDescent="0.25">
      <c r="A3135">
        <v>538</v>
      </c>
      <c r="B3135">
        <v>1996</v>
      </c>
      <c r="C3135" s="8">
        <v>0</v>
      </c>
      <c r="D3135">
        <v>-5.41658E-2</v>
      </c>
      <c r="E3135">
        <v>0.13179279999999999</v>
      </c>
      <c r="F3135">
        <v>3.1559000000000001E-3</v>
      </c>
      <c r="G3135">
        <v>1.0809960000000001</v>
      </c>
      <c r="H3135">
        <v>7.88267E-2</v>
      </c>
      <c r="Q3135" s="10">
        <f t="shared" si="116"/>
        <v>1.1468521252914475E-2</v>
      </c>
      <c r="AI3135">
        <v>-5.3602900000000002E-2</v>
      </c>
      <c r="AJ3135">
        <f t="shared" si="115"/>
        <v>-5.3602900000000002E-2</v>
      </c>
      <c r="AO3135">
        <v>-5.3602900000000002E-2</v>
      </c>
      <c r="AR3135" s="8">
        <v>0</v>
      </c>
      <c r="AS3135">
        <v>0.53933900000000001</v>
      </c>
    </row>
    <row r="3136" spans="1:45" x14ac:dyDescent="0.25">
      <c r="A3136">
        <v>538</v>
      </c>
      <c r="B3136">
        <v>1997</v>
      </c>
      <c r="C3136" s="8">
        <v>0</v>
      </c>
      <c r="D3136">
        <v>-3.9575000000000001E-3</v>
      </c>
      <c r="E3136">
        <v>0.1334033</v>
      </c>
      <c r="F3136">
        <v>1.86418E-2</v>
      </c>
      <c r="G3136">
        <v>1.0886910000000001</v>
      </c>
      <c r="H3136">
        <v>8.1660899999999995E-2</v>
      </c>
      <c r="Q3136" s="10">
        <f t="shared" si="116"/>
        <v>1.0226142138809366E-2</v>
      </c>
      <c r="AI3136">
        <v>-7.1984099999999995E-2</v>
      </c>
      <c r="AJ3136">
        <f t="shared" si="115"/>
        <v>-7.1984099999999995E-2</v>
      </c>
      <c r="AO3136">
        <v>-7.1984099999999995E-2</v>
      </c>
      <c r="AR3136" s="8">
        <v>0</v>
      </c>
      <c r="AS3136">
        <v>0.67122649999999995</v>
      </c>
    </row>
    <row r="3137" spans="1:45" x14ac:dyDescent="0.25">
      <c r="A3137">
        <v>538</v>
      </c>
      <c r="B3137">
        <v>1998</v>
      </c>
      <c r="C3137" s="8">
        <v>0</v>
      </c>
      <c r="D3137">
        <v>-5.3602900000000002E-2</v>
      </c>
      <c r="E3137">
        <v>0.13915250000000001</v>
      </c>
      <c r="F3137">
        <v>1.25913E-2</v>
      </c>
      <c r="G3137">
        <v>1.2124330000000001</v>
      </c>
      <c r="H3137">
        <v>8.9172500000000002E-2</v>
      </c>
      <c r="Q3137" s="10">
        <f t="shared" si="116"/>
        <v>8.6149627953061147E-3</v>
      </c>
      <c r="AI3137">
        <v>-8.6890000000000003E-4</v>
      </c>
      <c r="AJ3137">
        <f t="shared" si="115"/>
        <v>-8.6890000000000003E-4</v>
      </c>
      <c r="AO3137">
        <v>-8.6890000000000003E-4</v>
      </c>
      <c r="AR3137" s="8">
        <v>0</v>
      </c>
      <c r="AS3137">
        <v>1.0809960000000001</v>
      </c>
    </row>
    <row r="3138" spans="1:45" x14ac:dyDescent="0.25">
      <c r="A3138">
        <v>538</v>
      </c>
      <c r="B3138">
        <v>1999</v>
      </c>
      <c r="C3138" s="8">
        <v>0</v>
      </c>
      <c r="D3138">
        <v>-7.1984099999999995E-2</v>
      </c>
      <c r="E3138">
        <v>0.13930670000000001</v>
      </c>
      <c r="F3138">
        <v>4.22301E-2</v>
      </c>
      <c r="G3138">
        <v>1.5471779999999999</v>
      </c>
      <c r="H3138">
        <v>9.8430900000000002E-2</v>
      </c>
      <c r="Q3138" s="10">
        <f t="shared" si="116"/>
        <v>3.9968801028185839E-3</v>
      </c>
      <c r="AI3138">
        <v>-7.8069899999999998E-2</v>
      </c>
      <c r="AJ3138">
        <f t="shared" si="115"/>
        <v>-7.8069899999999998E-2</v>
      </c>
      <c r="AO3138">
        <v>-7.8069899999999998E-2</v>
      </c>
      <c r="AR3138" s="8">
        <v>0</v>
      </c>
      <c r="AS3138">
        <v>1.0886910000000001</v>
      </c>
    </row>
    <row r="3139" spans="1:45" x14ac:dyDescent="0.25">
      <c r="A3139">
        <v>539</v>
      </c>
      <c r="B3139">
        <v>1998</v>
      </c>
      <c r="C3139" s="8">
        <v>0</v>
      </c>
      <c r="D3139">
        <v>-8.6890000000000003E-4</v>
      </c>
      <c r="E3139">
        <v>0.11233659999999999</v>
      </c>
      <c r="F3139">
        <v>4.93737E-2</v>
      </c>
      <c r="G3139">
        <v>0.74773339999999999</v>
      </c>
      <c r="H3139">
        <v>0.1180441</v>
      </c>
      <c r="Q3139" s="10">
        <f t="shared" si="116"/>
        <v>1.4477894405879136E-2</v>
      </c>
      <c r="AI3139">
        <v>-9.8324900000000007E-2</v>
      </c>
      <c r="AJ3139">
        <f t="shared" si="115"/>
        <v>-9.8324900000000007E-2</v>
      </c>
      <c r="AO3139">
        <v>-9.8324900000000007E-2</v>
      </c>
      <c r="AR3139" s="8">
        <v>0</v>
      </c>
      <c r="AS3139">
        <v>1.2124330000000001</v>
      </c>
    </row>
    <row r="3140" spans="1:45" x14ac:dyDescent="0.25">
      <c r="A3140">
        <v>539</v>
      </c>
      <c r="B3140">
        <v>1999</v>
      </c>
      <c r="C3140" s="8">
        <v>0</v>
      </c>
      <c r="D3140">
        <v>-7.8069899999999998E-2</v>
      </c>
      <c r="E3140">
        <v>8.5949800000000007E-2</v>
      </c>
      <c r="F3140">
        <v>5.4594999999999998E-2</v>
      </c>
      <c r="G3140">
        <v>0.54039649999999995</v>
      </c>
      <c r="H3140">
        <v>0.10915179999999999</v>
      </c>
      <c r="Q3140" s="10">
        <f t="shared" si="116"/>
        <v>1.9245618451647295E-2</v>
      </c>
      <c r="AI3140">
        <v>-2.31027E-2</v>
      </c>
      <c r="AJ3140">
        <f t="shared" si="115"/>
        <v>-2.31027E-2</v>
      </c>
      <c r="AO3140">
        <v>-2.31027E-2</v>
      </c>
      <c r="AR3140" s="8">
        <v>0</v>
      </c>
      <c r="AS3140">
        <v>1.5471779999999999</v>
      </c>
    </row>
    <row r="3141" spans="1:45" x14ac:dyDescent="0.25">
      <c r="A3141">
        <v>539</v>
      </c>
      <c r="B3141">
        <v>2000</v>
      </c>
      <c r="C3141" s="8">
        <v>0</v>
      </c>
      <c r="D3141">
        <v>-9.8324900000000007E-2</v>
      </c>
      <c r="E3141">
        <v>8.4407700000000002E-2</v>
      </c>
      <c r="F3141">
        <v>5.1682600000000002E-2</v>
      </c>
      <c r="G3141">
        <v>0.65676400000000001</v>
      </c>
      <c r="H3141">
        <v>0.16317380000000001</v>
      </c>
      <c r="Q3141" s="10">
        <f t="shared" si="116"/>
        <v>1.6859172596893283E-2</v>
      </c>
      <c r="AI3141">
        <v>-5.476E-3</v>
      </c>
      <c r="AJ3141">
        <f t="shared" ref="AJ3141:AJ3204" si="117">MAX(MIN(AI3141,AM$5),AM$4)</f>
        <v>-5.476E-3</v>
      </c>
      <c r="AO3141">
        <v>-5.476E-3</v>
      </c>
      <c r="AR3141" s="8">
        <v>0</v>
      </c>
      <c r="AS3141">
        <v>0.74773339999999999</v>
      </c>
    </row>
    <row r="3142" spans="1:45" x14ac:dyDescent="0.25">
      <c r="A3142">
        <v>539</v>
      </c>
      <c r="B3142">
        <v>2001</v>
      </c>
      <c r="C3142" s="8">
        <v>0</v>
      </c>
      <c r="D3142">
        <v>-2.31027E-2</v>
      </c>
      <c r="E3142">
        <v>9.5578700000000003E-2</v>
      </c>
      <c r="F3142">
        <v>5.6701300000000003E-2</v>
      </c>
      <c r="G3142">
        <v>0.43176500000000001</v>
      </c>
      <c r="H3142">
        <v>0.1005612</v>
      </c>
      <c r="Q3142" s="10">
        <f t="shared" si="116"/>
        <v>2.2503610625684872E-2</v>
      </c>
      <c r="AI3142">
        <v>3.3132599999999998E-2</v>
      </c>
      <c r="AJ3142">
        <f t="shared" si="117"/>
        <v>3.3132599999999998E-2</v>
      </c>
      <c r="AO3142">
        <v>3.3132599999999998E-2</v>
      </c>
      <c r="AR3142" s="8">
        <v>0</v>
      </c>
      <c r="AS3142">
        <v>0.54039649999999995</v>
      </c>
    </row>
    <row r="3143" spans="1:45" x14ac:dyDescent="0.25">
      <c r="A3143">
        <v>539</v>
      </c>
      <c r="B3143">
        <v>2002</v>
      </c>
      <c r="C3143" s="8">
        <v>0</v>
      </c>
      <c r="D3143">
        <v>-5.476E-3</v>
      </c>
      <c r="E3143">
        <v>6.8235900000000002E-2</v>
      </c>
      <c r="F3143">
        <v>5.0104299999999997E-2</v>
      </c>
      <c r="G3143">
        <v>0.37924950000000002</v>
      </c>
      <c r="H3143">
        <v>0.13494429999999999</v>
      </c>
      <c r="Q3143" s="10">
        <f t="shared" ref="Q3143:Q3206" si="118">1/(1+EXP(-(J$6+SUMPRODUCT(K$6:O$6,D3143:H3143))))</f>
        <v>2.7478419358183695E-2</v>
      </c>
      <c r="AI3143">
        <v>3.9662599999999999E-2</v>
      </c>
      <c r="AJ3143">
        <f t="shared" si="117"/>
        <v>3.9662599999999999E-2</v>
      </c>
      <c r="AO3143">
        <v>3.9662599999999999E-2</v>
      </c>
      <c r="AR3143" s="8">
        <v>0</v>
      </c>
      <c r="AS3143">
        <v>0.65676400000000001</v>
      </c>
    </row>
    <row r="3144" spans="1:45" x14ac:dyDescent="0.25">
      <c r="A3144">
        <v>539</v>
      </c>
      <c r="B3144">
        <v>2003</v>
      </c>
      <c r="C3144" s="8">
        <v>0</v>
      </c>
      <c r="D3144">
        <v>3.3132599999999998E-2</v>
      </c>
      <c r="E3144">
        <v>9.6055299999999996E-2</v>
      </c>
      <c r="F3144">
        <v>3.7654E-2</v>
      </c>
      <c r="G3144">
        <v>0.49407479999999998</v>
      </c>
      <c r="H3144">
        <v>0.13132199999999999</v>
      </c>
      <c r="Q3144" s="10">
        <f t="shared" si="118"/>
        <v>2.4684603731368177E-2</v>
      </c>
      <c r="AI3144">
        <v>-0.10521659999999999</v>
      </c>
      <c r="AJ3144">
        <f t="shared" si="117"/>
        <v>-0.10521659999999999</v>
      </c>
      <c r="AO3144">
        <v>-0.10521659999999999</v>
      </c>
      <c r="AR3144" s="8">
        <v>0</v>
      </c>
      <c r="AS3144">
        <v>0.43176500000000001</v>
      </c>
    </row>
    <row r="3145" spans="1:45" x14ac:dyDescent="0.25">
      <c r="A3145">
        <v>539</v>
      </c>
      <c r="B3145">
        <v>2004</v>
      </c>
      <c r="C3145" s="8">
        <v>0</v>
      </c>
      <c r="D3145">
        <v>3.9662599999999999E-2</v>
      </c>
      <c r="E3145">
        <v>0.1055444</v>
      </c>
      <c r="F3145">
        <v>3.8340699999999998E-2</v>
      </c>
      <c r="G3145">
        <v>0.55757330000000005</v>
      </c>
      <c r="H3145">
        <v>0.1132079</v>
      </c>
      <c r="Q3145" s="10">
        <f t="shared" si="118"/>
        <v>2.1762120225703153E-2</v>
      </c>
      <c r="AI3145">
        <v>2.2703899999999999E-2</v>
      </c>
      <c r="AJ3145">
        <f t="shared" si="117"/>
        <v>2.2703899999999999E-2</v>
      </c>
      <c r="AO3145">
        <v>2.2703899999999999E-2</v>
      </c>
      <c r="AR3145" s="8">
        <v>0</v>
      </c>
      <c r="AS3145">
        <v>0.37924950000000002</v>
      </c>
    </row>
    <row r="3146" spans="1:45" x14ac:dyDescent="0.25">
      <c r="A3146">
        <v>540</v>
      </c>
      <c r="B3146">
        <v>1995</v>
      </c>
      <c r="C3146" s="8">
        <v>0</v>
      </c>
      <c r="D3146">
        <v>-0.10521659999999999</v>
      </c>
      <c r="E3146">
        <v>-0.92345270000000002</v>
      </c>
      <c r="F3146">
        <v>-1.934E-3</v>
      </c>
      <c r="G3146">
        <v>0.76915529999999999</v>
      </c>
      <c r="H3146">
        <v>0.1540252</v>
      </c>
      <c r="Q3146" s="10">
        <f t="shared" si="118"/>
        <v>8.6340682326532692E-2</v>
      </c>
      <c r="AI3146">
        <v>5.2062999999999996E-3</v>
      </c>
      <c r="AJ3146">
        <f t="shared" si="117"/>
        <v>5.2062999999999996E-3</v>
      </c>
      <c r="AO3146">
        <v>5.2062999999999996E-3</v>
      </c>
      <c r="AR3146" s="8">
        <v>0</v>
      </c>
      <c r="AS3146">
        <v>0.49407479999999998</v>
      </c>
    </row>
    <row r="3147" spans="1:45" x14ac:dyDescent="0.25">
      <c r="A3147">
        <v>541</v>
      </c>
      <c r="B3147">
        <v>1995</v>
      </c>
      <c r="C3147" s="8">
        <v>0</v>
      </c>
      <c r="D3147">
        <v>2.2703899999999999E-2</v>
      </c>
      <c r="E3147">
        <v>9.2023999999999995E-2</v>
      </c>
      <c r="F3147">
        <v>5.7949899999999999E-2</v>
      </c>
      <c r="G3147">
        <v>0.82835049999999999</v>
      </c>
      <c r="H3147">
        <v>0.1218967</v>
      </c>
      <c r="Q3147" s="10">
        <f t="shared" si="118"/>
        <v>1.2420236271513502E-2</v>
      </c>
      <c r="AI3147">
        <v>-5.18355E-2</v>
      </c>
      <c r="AJ3147">
        <f t="shared" si="117"/>
        <v>-5.18355E-2</v>
      </c>
      <c r="AO3147">
        <v>-5.18355E-2</v>
      </c>
      <c r="AR3147" s="8">
        <v>0</v>
      </c>
      <c r="AS3147">
        <v>0.55757330000000005</v>
      </c>
    </row>
    <row r="3148" spans="1:45" x14ac:dyDescent="0.25">
      <c r="A3148">
        <v>541</v>
      </c>
      <c r="B3148">
        <v>1996</v>
      </c>
      <c r="C3148" s="8">
        <v>0</v>
      </c>
      <c r="D3148">
        <v>5.2062999999999996E-3</v>
      </c>
      <c r="E3148">
        <v>9.1923299999999999E-2</v>
      </c>
      <c r="F3148">
        <v>6.8664199999999995E-2</v>
      </c>
      <c r="G3148">
        <v>0.88771310000000003</v>
      </c>
      <c r="H3148">
        <v>0.194276</v>
      </c>
      <c r="Q3148" s="10">
        <f t="shared" si="118"/>
        <v>1.0787896998954319E-2</v>
      </c>
      <c r="AI3148">
        <v>-7.7017799999999997E-2</v>
      </c>
      <c r="AJ3148">
        <f t="shared" si="117"/>
        <v>-7.7017799999999997E-2</v>
      </c>
      <c r="AO3148">
        <v>-7.7017799999999997E-2</v>
      </c>
      <c r="AR3148" s="8">
        <v>0</v>
      </c>
      <c r="AS3148">
        <v>0.76915529999999999</v>
      </c>
    </row>
    <row r="3149" spans="1:45" x14ac:dyDescent="0.25">
      <c r="A3149">
        <v>541</v>
      </c>
      <c r="B3149">
        <v>1997</v>
      </c>
      <c r="C3149" s="8">
        <v>0</v>
      </c>
      <c r="D3149">
        <v>-5.18355E-2</v>
      </c>
      <c r="E3149">
        <v>4.8850200000000003E-2</v>
      </c>
      <c r="F3149">
        <v>5.5999199999999999E-2</v>
      </c>
      <c r="G3149">
        <v>0.87584280000000003</v>
      </c>
      <c r="H3149">
        <v>0.1510881</v>
      </c>
      <c r="Q3149" s="10">
        <f t="shared" si="118"/>
        <v>1.2296930584009207E-2</v>
      </c>
      <c r="AI3149">
        <v>-6.23931E-2</v>
      </c>
      <c r="AJ3149">
        <f t="shared" si="117"/>
        <v>-6.23931E-2</v>
      </c>
      <c r="AO3149">
        <v>-6.23931E-2</v>
      </c>
      <c r="AR3149" s="8">
        <v>0</v>
      </c>
      <c r="AS3149">
        <v>0.82835049999999999</v>
      </c>
    </row>
    <row r="3150" spans="1:45" x14ac:dyDescent="0.25">
      <c r="A3150">
        <v>541</v>
      </c>
      <c r="B3150">
        <v>1998</v>
      </c>
      <c r="C3150" s="8">
        <v>0</v>
      </c>
      <c r="D3150">
        <v>-7.7017799999999997E-2</v>
      </c>
      <c r="E3150">
        <v>3.3080100000000001E-2</v>
      </c>
      <c r="F3150">
        <v>5.4574200000000003E-2</v>
      </c>
      <c r="G3150">
        <v>0.77901819999999999</v>
      </c>
      <c r="H3150">
        <v>0.1564931</v>
      </c>
      <c r="Q3150" s="10">
        <f t="shared" si="118"/>
        <v>1.4708812671841612E-2</v>
      </c>
      <c r="AI3150">
        <v>-1.7635899999999999E-2</v>
      </c>
      <c r="AJ3150">
        <f t="shared" si="117"/>
        <v>-1.7635899999999999E-2</v>
      </c>
      <c r="AO3150">
        <v>-1.7635899999999999E-2</v>
      </c>
      <c r="AR3150" s="8">
        <v>0</v>
      </c>
      <c r="AS3150">
        <v>0.88771310000000003</v>
      </c>
    </row>
    <row r="3151" spans="1:45" x14ac:dyDescent="0.25">
      <c r="A3151">
        <v>541</v>
      </c>
      <c r="B3151">
        <v>1999</v>
      </c>
      <c r="C3151" s="8">
        <v>0</v>
      </c>
      <c r="D3151">
        <v>-6.23931E-2</v>
      </c>
      <c r="E3151">
        <v>4.5031599999999998E-2</v>
      </c>
      <c r="F3151">
        <v>5.1175499999999999E-2</v>
      </c>
      <c r="G3151">
        <v>0.47807090000000002</v>
      </c>
      <c r="H3151">
        <v>0.16621749999999999</v>
      </c>
      <c r="Q3151" s="10">
        <f t="shared" si="118"/>
        <v>2.4056321893680146E-2</v>
      </c>
      <c r="AI3151">
        <v>1.6942000000000001E-3</v>
      </c>
      <c r="AJ3151">
        <f t="shared" si="117"/>
        <v>1.6942000000000001E-3</v>
      </c>
      <c r="AO3151">
        <v>1.6942000000000001E-3</v>
      </c>
      <c r="AR3151" s="8">
        <v>0</v>
      </c>
      <c r="AS3151">
        <v>0.87584280000000003</v>
      </c>
    </row>
    <row r="3152" spans="1:45" x14ac:dyDescent="0.25">
      <c r="A3152">
        <v>541</v>
      </c>
      <c r="B3152">
        <v>2000</v>
      </c>
      <c r="C3152" s="8">
        <v>0</v>
      </c>
      <c r="D3152">
        <v>-1.7635899999999999E-2</v>
      </c>
      <c r="E3152">
        <v>6.28248E-2</v>
      </c>
      <c r="F3152">
        <v>6.2466800000000003E-2</v>
      </c>
      <c r="G3152">
        <v>0.62526740000000003</v>
      </c>
      <c r="H3152">
        <v>0.25513780000000003</v>
      </c>
      <c r="Q3152" s="10">
        <f t="shared" si="118"/>
        <v>1.8340781791584999E-2</v>
      </c>
      <c r="AI3152">
        <v>5.1520499999999997E-2</v>
      </c>
      <c r="AJ3152">
        <f t="shared" si="117"/>
        <v>5.1520499999999997E-2</v>
      </c>
      <c r="AO3152">
        <v>5.1520499999999997E-2</v>
      </c>
      <c r="AR3152" s="8">
        <v>0</v>
      </c>
      <c r="AS3152">
        <v>0.77901819999999999</v>
      </c>
    </row>
    <row r="3153" spans="1:45" x14ac:dyDescent="0.25">
      <c r="A3153">
        <v>541</v>
      </c>
      <c r="B3153">
        <v>2001</v>
      </c>
      <c r="C3153" s="8">
        <v>0</v>
      </c>
      <c r="D3153">
        <v>1.6942000000000001E-3</v>
      </c>
      <c r="E3153">
        <v>2.8455399999999999E-2</v>
      </c>
      <c r="F3153">
        <v>5.0576299999999998E-2</v>
      </c>
      <c r="G3153">
        <v>0.49294969999999999</v>
      </c>
      <c r="H3153">
        <v>0.15887470000000001</v>
      </c>
      <c r="Q3153" s="10">
        <f t="shared" si="118"/>
        <v>2.4703038849065682E-2</v>
      </c>
      <c r="AI3153">
        <v>1.4936999999999999E-3</v>
      </c>
      <c r="AJ3153">
        <f t="shared" si="117"/>
        <v>1.4936999999999999E-3</v>
      </c>
      <c r="AO3153">
        <v>1.4936999999999999E-3</v>
      </c>
      <c r="AR3153" s="8">
        <v>0</v>
      </c>
      <c r="AS3153">
        <v>0.47807090000000002</v>
      </c>
    </row>
    <row r="3154" spans="1:45" x14ac:dyDescent="0.25">
      <c r="A3154">
        <v>541</v>
      </c>
      <c r="B3154">
        <v>2002</v>
      </c>
      <c r="C3154" s="8">
        <v>0</v>
      </c>
      <c r="D3154">
        <v>5.1520499999999997E-2</v>
      </c>
      <c r="E3154">
        <v>4.3532399999999999E-2</v>
      </c>
      <c r="F3154">
        <v>5.2027299999999999E-2</v>
      </c>
      <c r="G3154">
        <v>0.54413699999999998</v>
      </c>
      <c r="H3154">
        <v>0.15696389999999999</v>
      </c>
      <c r="Q3154" s="10">
        <f t="shared" si="118"/>
        <v>2.2500662499389965E-2</v>
      </c>
      <c r="AI3154">
        <v>4.7091800000000003E-2</v>
      </c>
      <c r="AJ3154">
        <f t="shared" si="117"/>
        <v>4.7091800000000003E-2</v>
      </c>
      <c r="AO3154">
        <v>4.7091800000000003E-2</v>
      </c>
      <c r="AR3154" s="8">
        <v>0</v>
      </c>
      <c r="AS3154">
        <v>0.62526740000000003</v>
      </c>
    </row>
    <row r="3155" spans="1:45" x14ac:dyDescent="0.25">
      <c r="A3155">
        <v>541</v>
      </c>
      <c r="B3155">
        <v>2003</v>
      </c>
      <c r="C3155" s="8">
        <v>0</v>
      </c>
      <c r="D3155">
        <v>1.4936999999999999E-3</v>
      </c>
      <c r="E3155">
        <v>3.7864299999999997E-2</v>
      </c>
      <c r="F3155">
        <v>5.5960200000000002E-2</v>
      </c>
      <c r="G3155">
        <v>0.60908759999999995</v>
      </c>
      <c r="H3155">
        <v>0.15106810000000001</v>
      </c>
      <c r="Q3155" s="10">
        <f t="shared" si="118"/>
        <v>1.9406303061494046E-2</v>
      </c>
      <c r="AI3155">
        <v>-7.2405800000000006E-2</v>
      </c>
      <c r="AJ3155">
        <f t="shared" si="117"/>
        <v>-7.2405800000000006E-2</v>
      </c>
      <c r="AO3155">
        <v>-7.2405800000000006E-2</v>
      </c>
      <c r="AR3155" s="8">
        <v>0</v>
      </c>
      <c r="AS3155">
        <v>0.49294969999999999</v>
      </c>
    </row>
    <row r="3156" spans="1:45" x14ac:dyDescent="0.25">
      <c r="A3156">
        <v>541</v>
      </c>
      <c r="B3156">
        <v>2004</v>
      </c>
      <c r="C3156" s="8">
        <v>0</v>
      </c>
      <c r="D3156">
        <v>4.7091800000000003E-2</v>
      </c>
      <c r="E3156">
        <v>4.2298299999999997E-2</v>
      </c>
      <c r="F3156">
        <v>4.6036800000000003E-2</v>
      </c>
      <c r="G3156">
        <v>0.61646939999999995</v>
      </c>
      <c r="H3156">
        <v>0.1670866</v>
      </c>
      <c r="Q3156" s="10">
        <f t="shared" si="118"/>
        <v>2.1194928910262374E-2</v>
      </c>
      <c r="AI3156">
        <v>-8.7958900000000007E-2</v>
      </c>
      <c r="AJ3156">
        <f t="shared" si="117"/>
        <v>-8.7958900000000007E-2</v>
      </c>
      <c r="AO3156">
        <v>-8.7958900000000007E-2</v>
      </c>
      <c r="AR3156" s="8">
        <v>0</v>
      </c>
      <c r="AS3156">
        <v>0.54413699999999998</v>
      </c>
    </row>
    <row r="3157" spans="1:45" x14ac:dyDescent="0.25">
      <c r="A3157">
        <v>542</v>
      </c>
      <c r="B3157">
        <v>1995</v>
      </c>
      <c r="C3157" s="8">
        <v>0</v>
      </c>
      <c r="D3157">
        <v>-7.2405800000000006E-2</v>
      </c>
      <c r="E3157">
        <v>0.31061129999999998</v>
      </c>
      <c r="F3157">
        <v>3.0523499999999999E-2</v>
      </c>
      <c r="G3157">
        <v>1.353337</v>
      </c>
      <c r="H3157">
        <v>0.27944639999999998</v>
      </c>
      <c r="Q3157" s="10">
        <f t="shared" si="118"/>
        <v>5.2057780316719943E-3</v>
      </c>
      <c r="AI3157">
        <v>0.106456</v>
      </c>
      <c r="AJ3157">
        <f t="shared" si="117"/>
        <v>0.106456</v>
      </c>
      <c r="AO3157">
        <v>0.106456</v>
      </c>
      <c r="AR3157" s="8">
        <v>0</v>
      </c>
      <c r="AS3157">
        <v>0.60908759999999995</v>
      </c>
    </row>
    <row r="3158" spans="1:45" x14ac:dyDescent="0.25">
      <c r="A3158">
        <v>542</v>
      </c>
      <c r="B3158">
        <v>1996</v>
      </c>
      <c r="C3158" s="8">
        <v>0</v>
      </c>
      <c r="D3158">
        <v>-8.7958900000000007E-2</v>
      </c>
      <c r="E3158">
        <v>0.34416629999999998</v>
      </c>
      <c r="F3158">
        <v>3.6939399999999997E-2</v>
      </c>
      <c r="G3158">
        <v>1.687783</v>
      </c>
      <c r="H3158">
        <v>0.26931149999999998</v>
      </c>
      <c r="Q3158" s="10">
        <f t="shared" si="118"/>
        <v>2.7358467602351063E-3</v>
      </c>
      <c r="AI3158">
        <v>6.2912099999999999E-2</v>
      </c>
      <c r="AJ3158">
        <f t="shared" si="117"/>
        <v>6.2912099999999999E-2</v>
      </c>
      <c r="AO3158">
        <v>6.2912099999999999E-2</v>
      </c>
      <c r="AR3158" s="8">
        <v>0</v>
      </c>
      <c r="AS3158">
        <v>0.61646939999999995</v>
      </c>
    </row>
    <row r="3159" spans="1:45" x14ac:dyDescent="0.25">
      <c r="A3159">
        <v>542</v>
      </c>
      <c r="B3159">
        <v>1997</v>
      </c>
      <c r="C3159" s="8">
        <v>0</v>
      </c>
      <c r="D3159">
        <v>0.106456</v>
      </c>
      <c r="E3159">
        <v>0.1326473</v>
      </c>
      <c r="F3159">
        <v>5.5290600000000002E-2</v>
      </c>
      <c r="G3159">
        <v>3.0246369999999998</v>
      </c>
      <c r="H3159">
        <v>0.429398</v>
      </c>
      <c r="Q3159" s="10">
        <f t="shared" si="118"/>
        <v>4.5788087622367627E-4</v>
      </c>
      <c r="AI3159">
        <v>4.31215E-2</v>
      </c>
      <c r="AJ3159">
        <f t="shared" si="117"/>
        <v>4.31215E-2</v>
      </c>
      <c r="AO3159">
        <v>4.31215E-2</v>
      </c>
      <c r="AR3159" s="8">
        <v>0</v>
      </c>
      <c r="AS3159">
        <v>1.353337</v>
      </c>
    </row>
    <row r="3160" spans="1:45" x14ac:dyDescent="0.25">
      <c r="A3160">
        <v>542</v>
      </c>
      <c r="B3160">
        <v>1998</v>
      </c>
      <c r="C3160" s="8">
        <v>0</v>
      </c>
      <c r="D3160">
        <v>6.2912099999999999E-2</v>
      </c>
      <c r="E3160">
        <v>0.19039200000000001</v>
      </c>
      <c r="F3160">
        <v>6.3652E-2</v>
      </c>
      <c r="G3160">
        <v>3.4928249999999998</v>
      </c>
      <c r="H3160">
        <v>0.412796</v>
      </c>
      <c r="Q3160" s="10">
        <f t="shared" si="118"/>
        <v>1.8156351060790831E-4</v>
      </c>
      <c r="AI3160">
        <v>8.6068099999999995E-2</v>
      </c>
      <c r="AJ3160">
        <f t="shared" si="117"/>
        <v>8.6068099999999995E-2</v>
      </c>
      <c r="AO3160">
        <v>8.6068099999999995E-2</v>
      </c>
      <c r="AR3160" s="8">
        <v>0</v>
      </c>
      <c r="AS3160">
        <v>1.687783</v>
      </c>
    </row>
    <row r="3161" spans="1:45" x14ac:dyDescent="0.25">
      <c r="A3161">
        <v>542</v>
      </c>
      <c r="B3161">
        <v>1999</v>
      </c>
      <c r="C3161" s="8">
        <v>0</v>
      </c>
      <c r="D3161">
        <v>4.31215E-2</v>
      </c>
      <c r="E3161">
        <v>0.32418190000000002</v>
      </c>
      <c r="F3161">
        <v>5.8472999999999997E-2</v>
      </c>
      <c r="G3161">
        <v>4.0368060000000003</v>
      </c>
      <c r="H3161">
        <v>0.4311468</v>
      </c>
      <c r="Q3161" s="10">
        <f t="shared" si="118"/>
        <v>6.5687033579735384E-5</v>
      </c>
      <c r="AI3161">
        <v>0.1735738</v>
      </c>
      <c r="AJ3161">
        <f t="shared" si="117"/>
        <v>0.1735738</v>
      </c>
      <c r="AO3161">
        <v>0.1735738</v>
      </c>
      <c r="AR3161" s="8">
        <v>0</v>
      </c>
      <c r="AS3161">
        <v>3.0246369999999998</v>
      </c>
    </row>
    <row r="3162" spans="1:45" x14ac:dyDescent="0.25">
      <c r="A3162">
        <v>542</v>
      </c>
      <c r="B3162">
        <v>2000</v>
      </c>
      <c r="C3162" s="8">
        <v>0</v>
      </c>
      <c r="D3162">
        <v>8.6068099999999995E-2</v>
      </c>
      <c r="E3162">
        <v>0.40762340000000002</v>
      </c>
      <c r="F3162">
        <v>7.2096999999999994E-2</v>
      </c>
      <c r="G3162">
        <v>6.2845500000000003</v>
      </c>
      <c r="H3162">
        <v>0.4314846</v>
      </c>
      <c r="Q3162" s="10">
        <f t="shared" si="118"/>
        <v>1.4779784558916665E-6</v>
      </c>
      <c r="AI3162">
        <v>0.1845242</v>
      </c>
      <c r="AJ3162">
        <f t="shared" si="117"/>
        <v>0.1845242</v>
      </c>
      <c r="AO3162">
        <v>0.1845242</v>
      </c>
      <c r="AR3162" s="8">
        <v>0</v>
      </c>
      <c r="AS3162">
        <v>3.4928249999999998</v>
      </c>
    </row>
    <row r="3163" spans="1:45" x14ac:dyDescent="0.25">
      <c r="A3163">
        <v>543</v>
      </c>
      <c r="B3163">
        <v>1995</v>
      </c>
      <c r="C3163" s="8">
        <v>0</v>
      </c>
      <c r="D3163">
        <v>0.1735738</v>
      </c>
      <c r="E3163">
        <v>0.1741741</v>
      </c>
      <c r="F3163">
        <v>8.7027300000000002E-2</v>
      </c>
      <c r="G3163">
        <v>0.74928539999999999</v>
      </c>
      <c r="H3163">
        <v>0.44435590000000003</v>
      </c>
      <c r="Q3163" s="10">
        <f t="shared" si="118"/>
        <v>1.2873617474576266E-2</v>
      </c>
      <c r="AI3163">
        <v>0.1060398</v>
      </c>
      <c r="AJ3163">
        <f t="shared" si="117"/>
        <v>0.1060398</v>
      </c>
      <c r="AO3163">
        <v>0.1060398</v>
      </c>
      <c r="AR3163" s="8">
        <v>0</v>
      </c>
      <c r="AS3163">
        <v>4.0368060000000003</v>
      </c>
    </row>
    <row r="3164" spans="1:45" x14ac:dyDescent="0.25">
      <c r="A3164">
        <v>543</v>
      </c>
      <c r="B3164">
        <v>1996</v>
      </c>
      <c r="C3164" s="8">
        <v>0</v>
      </c>
      <c r="D3164">
        <v>0.1845242</v>
      </c>
      <c r="E3164">
        <v>0.15538569999999999</v>
      </c>
      <c r="F3164">
        <v>6.5289299999999995E-2</v>
      </c>
      <c r="G3164">
        <v>0.76722409999999996</v>
      </c>
      <c r="H3164">
        <v>0.30672500000000003</v>
      </c>
      <c r="Q3164" s="10">
        <f t="shared" si="118"/>
        <v>1.4094752391886296E-2</v>
      </c>
      <c r="AI3164">
        <v>0.13498750000000001</v>
      </c>
      <c r="AJ3164">
        <f t="shared" si="117"/>
        <v>0.13498750000000001</v>
      </c>
      <c r="AO3164">
        <v>0.13498750000000001</v>
      </c>
      <c r="AR3164" s="8">
        <v>0</v>
      </c>
      <c r="AS3164">
        <v>6.2845500000000003</v>
      </c>
    </row>
    <row r="3165" spans="1:45" x14ac:dyDescent="0.25">
      <c r="A3165">
        <v>543</v>
      </c>
      <c r="B3165">
        <v>1997</v>
      </c>
      <c r="C3165" s="8">
        <v>0</v>
      </c>
      <c r="D3165">
        <v>0.1060398</v>
      </c>
      <c r="E3165">
        <v>0.25915359999999998</v>
      </c>
      <c r="F3165">
        <v>4.3031899999999998E-2</v>
      </c>
      <c r="G3165">
        <v>0.95832349999999999</v>
      </c>
      <c r="H3165">
        <v>0.32493870000000002</v>
      </c>
      <c r="Q3165" s="10">
        <f t="shared" si="118"/>
        <v>1.0494322986186718E-2</v>
      </c>
      <c r="AI3165">
        <v>0.152724</v>
      </c>
      <c r="AJ3165">
        <f t="shared" si="117"/>
        <v>0.152724</v>
      </c>
      <c r="AO3165">
        <v>0.152724</v>
      </c>
      <c r="AR3165" s="8">
        <v>0</v>
      </c>
      <c r="AS3165">
        <v>0.74928539999999999</v>
      </c>
    </row>
    <row r="3166" spans="1:45" x14ac:dyDescent="0.25">
      <c r="A3166">
        <v>543</v>
      </c>
      <c r="B3166">
        <v>1998</v>
      </c>
      <c r="C3166" s="8">
        <v>0</v>
      </c>
      <c r="D3166">
        <v>0.13498750000000001</v>
      </c>
      <c r="E3166">
        <v>0.2489741</v>
      </c>
      <c r="F3166">
        <v>6.9185399999999994E-2</v>
      </c>
      <c r="G3166">
        <v>0.61764439999999998</v>
      </c>
      <c r="H3166">
        <v>0.3383351</v>
      </c>
      <c r="Q3166" s="10">
        <f t="shared" si="118"/>
        <v>1.5104077478835909E-2</v>
      </c>
      <c r="AI3166">
        <v>0.1876863</v>
      </c>
      <c r="AJ3166">
        <f t="shared" si="117"/>
        <v>0.1876863</v>
      </c>
      <c r="AO3166">
        <v>0.1876863</v>
      </c>
      <c r="AR3166" s="8">
        <v>0</v>
      </c>
      <c r="AS3166">
        <v>0.76722409999999996</v>
      </c>
    </row>
    <row r="3167" spans="1:45" x14ac:dyDescent="0.25">
      <c r="A3167">
        <v>543</v>
      </c>
      <c r="B3167">
        <v>1999</v>
      </c>
      <c r="C3167" s="8">
        <v>0</v>
      </c>
      <c r="D3167">
        <v>0.152724</v>
      </c>
      <c r="E3167">
        <v>0.29039910000000002</v>
      </c>
      <c r="F3167">
        <v>6.5375500000000003E-2</v>
      </c>
      <c r="G3167">
        <v>0.81382840000000001</v>
      </c>
      <c r="H3167">
        <v>0.35509800000000002</v>
      </c>
      <c r="Q3167" s="10">
        <f t="shared" si="118"/>
        <v>1.0962760211097962E-2</v>
      </c>
      <c r="AI3167">
        <v>0.17895739999999999</v>
      </c>
      <c r="AJ3167">
        <f t="shared" si="117"/>
        <v>0.17895739999999999</v>
      </c>
      <c r="AO3167">
        <v>0.17895739999999999</v>
      </c>
      <c r="AR3167" s="8">
        <v>0</v>
      </c>
      <c r="AS3167">
        <v>0.95832349999999999</v>
      </c>
    </row>
    <row r="3168" spans="1:45" x14ac:dyDescent="0.25">
      <c r="A3168">
        <v>543</v>
      </c>
      <c r="B3168">
        <v>2000</v>
      </c>
      <c r="C3168" s="8">
        <v>0</v>
      </c>
      <c r="D3168">
        <v>0.1876863</v>
      </c>
      <c r="E3168">
        <v>0.29392499999999999</v>
      </c>
      <c r="F3168">
        <v>7.6021599999999995E-2</v>
      </c>
      <c r="G3168">
        <v>0.73489559999999998</v>
      </c>
      <c r="H3168">
        <v>0.39891209999999999</v>
      </c>
      <c r="Q3168" s="10">
        <f t="shared" si="118"/>
        <v>1.1831522040951368E-2</v>
      </c>
      <c r="AI3168">
        <v>0.39182220000000001</v>
      </c>
      <c r="AJ3168">
        <f t="shared" si="117"/>
        <v>0.39182220000000001</v>
      </c>
      <c r="AO3168">
        <v>0.39182220000000001</v>
      </c>
      <c r="AR3168" s="8">
        <v>0</v>
      </c>
      <c r="AS3168">
        <v>0.61764439999999998</v>
      </c>
    </row>
    <row r="3169" spans="1:45" x14ac:dyDescent="0.25">
      <c r="A3169">
        <v>543</v>
      </c>
      <c r="B3169">
        <v>2001</v>
      </c>
      <c r="C3169" s="8">
        <v>0</v>
      </c>
      <c r="D3169">
        <v>0.17895739999999999</v>
      </c>
      <c r="E3169">
        <v>0.29264459999999998</v>
      </c>
      <c r="F3169">
        <v>5.9238499999999999E-2</v>
      </c>
      <c r="G3169">
        <v>0.85386150000000005</v>
      </c>
      <c r="H3169">
        <v>0.39852959999999998</v>
      </c>
      <c r="Q3169" s="10">
        <f t="shared" si="118"/>
        <v>1.1179702547908239E-2</v>
      </c>
      <c r="AI3169">
        <v>0.42529319999999998</v>
      </c>
      <c r="AJ3169">
        <f t="shared" si="117"/>
        <v>0.42529319999999998</v>
      </c>
      <c r="AO3169">
        <v>0.42529319999999998</v>
      </c>
      <c r="AR3169" s="8">
        <v>0</v>
      </c>
      <c r="AS3169">
        <v>0.81382840000000001</v>
      </c>
    </row>
    <row r="3170" spans="1:45" x14ac:dyDescent="0.25">
      <c r="A3170">
        <v>544</v>
      </c>
      <c r="B3170">
        <v>1995</v>
      </c>
      <c r="C3170" s="8">
        <v>0</v>
      </c>
      <c r="D3170">
        <v>0.39182220000000001</v>
      </c>
      <c r="E3170">
        <v>0.17109260000000001</v>
      </c>
      <c r="F3170">
        <v>5.6048599999999997E-2</v>
      </c>
      <c r="G3170">
        <v>0.70608459999999995</v>
      </c>
      <c r="H3170">
        <v>0.65443059999999997</v>
      </c>
      <c r="Q3170" s="10">
        <f t="shared" si="118"/>
        <v>2.1927034593912143E-2</v>
      </c>
      <c r="AI3170">
        <v>0.5574751</v>
      </c>
      <c r="AJ3170">
        <f t="shared" si="117"/>
        <v>0.52051970800000003</v>
      </c>
      <c r="AO3170">
        <v>0.52051970800000003</v>
      </c>
      <c r="AR3170" s="8">
        <v>0</v>
      </c>
      <c r="AS3170">
        <v>0.73489559999999998</v>
      </c>
    </row>
    <row r="3171" spans="1:45" x14ac:dyDescent="0.25">
      <c r="A3171">
        <v>544</v>
      </c>
      <c r="B3171">
        <v>1996</v>
      </c>
      <c r="C3171" s="8">
        <v>0</v>
      </c>
      <c r="D3171">
        <v>0.42529319999999998</v>
      </c>
      <c r="E3171">
        <v>0.23336100000000001</v>
      </c>
      <c r="F3171">
        <v>9.6917500000000004E-2</v>
      </c>
      <c r="G3171">
        <v>2.019136</v>
      </c>
      <c r="H3171">
        <v>0.74099400000000004</v>
      </c>
      <c r="Q3171" s="10">
        <f t="shared" si="118"/>
        <v>1.9455326995482811E-3</v>
      </c>
      <c r="AI3171">
        <v>0.47287269999999998</v>
      </c>
      <c r="AJ3171">
        <f t="shared" si="117"/>
        <v>0.47287269999999998</v>
      </c>
      <c r="AO3171">
        <v>0.47287269999999998</v>
      </c>
      <c r="AR3171" s="8">
        <v>0</v>
      </c>
      <c r="AS3171">
        <v>0.85386150000000005</v>
      </c>
    </row>
    <row r="3172" spans="1:45" x14ac:dyDescent="0.25">
      <c r="A3172">
        <v>544</v>
      </c>
      <c r="B3172">
        <v>1997</v>
      </c>
      <c r="C3172" s="8">
        <v>0</v>
      </c>
      <c r="D3172">
        <v>0.5574751</v>
      </c>
      <c r="E3172">
        <v>0.27099879999999998</v>
      </c>
      <c r="F3172">
        <v>3.8874600000000002E-2</v>
      </c>
      <c r="G3172">
        <v>3.2480069999999999</v>
      </c>
      <c r="H3172">
        <v>0.56481899999999996</v>
      </c>
      <c r="Q3172" s="10">
        <f t="shared" si="118"/>
        <v>3.9216518533279223E-4</v>
      </c>
      <c r="AI3172">
        <v>0.59888669999999999</v>
      </c>
      <c r="AJ3172">
        <f t="shared" si="117"/>
        <v>0.52051970800000003</v>
      </c>
      <c r="AO3172">
        <v>0.52051970800000003</v>
      </c>
      <c r="AR3172" s="8">
        <v>0</v>
      </c>
      <c r="AS3172">
        <v>0.70608459999999995</v>
      </c>
    </row>
    <row r="3173" spans="1:45" x14ac:dyDescent="0.25">
      <c r="A3173">
        <v>544</v>
      </c>
      <c r="B3173">
        <v>1999</v>
      </c>
      <c r="C3173" s="8">
        <v>0</v>
      </c>
      <c r="D3173">
        <v>0.47287269999999998</v>
      </c>
      <c r="E3173">
        <v>0.55971070000000001</v>
      </c>
      <c r="F3173">
        <v>0.10287010000000001</v>
      </c>
      <c r="G3173">
        <v>3.9184640000000002</v>
      </c>
      <c r="H3173">
        <v>0.36778959999999999</v>
      </c>
      <c r="Q3173" s="10">
        <f t="shared" si="118"/>
        <v>4.5364724270872993E-5</v>
      </c>
      <c r="AI3173">
        <v>0.39055580000000001</v>
      </c>
      <c r="AJ3173">
        <f t="shared" si="117"/>
        <v>0.39055580000000001</v>
      </c>
      <c r="AO3173">
        <v>0.39055580000000001</v>
      </c>
      <c r="AR3173" s="8">
        <v>0</v>
      </c>
      <c r="AS3173">
        <v>2.019136</v>
      </c>
    </row>
    <row r="3174" spans="1:45" x14ac:dyDescent="0.25">
      <c r="A3174">
        <v>544</v>
      </c>
      <c r="B3174">
        <v>2000</v>
      </c>
      <c r="C3174" s="8">
        <v>0</v>
      </c>
      <c r="D3174">
        <v>0.59888669999999999</v>
      </c>
      <c r="E3174">
        <v>0.33514840000000001</v>
      </c>
      <c r="F3174">
        <v>5.6188299999999997E-2</v>
      </c>
      <c r="G3174">
        <v>2.9326789999999998</v>
      </c>
      <c r="H3174">
        <v>0.18711729999999999</v>
      </c>
      <c r="Q3174" s="10">
        <f t="shared" si="118"/>
        <v>4.1384408959152063E-4</v>
      </c>
      <c r="AI3174">
        <v>0.45070009999999999</v>
      </c>
      <c r="AJ3174">
        <f t="shared" si="117"/>
        <v>0.45070009999999999</v>
      </c>
      <c r="AO3174">
        <v>0.45070009999999999</v>
      </c>
      <c r="AR3174" s="8">
        <v>0</v>
      </c>
      <c r="AS3174">
        <v>3.2480069999999999</v>
      </c>
    </row>
    <row r="3175" spans="1:45" x14ac:dyDescent="0.25">
      <c r="A3175">
        <v>544</v>
      </c>
      <c r="B3175">
        <v>2001</v>
      </c>
      <c r="C3175" s="8">
        <v>0</v>
      </c>
      <c r="D3175">
        <v>0.39055580000000001</v>
      </c>
      <c r="E3175">
        <v>0.33895249999999999</v>
      </c>
      <c r="F3175">
        <v>2.3083800000000002E-2</v>
      </c>
      <c r="G3175">
        <v>1.9895339999999999</v>
      </c>
      <c r="H3175">
        <v>0.22360820000000001</v>
      </c>
      <c r="Q3175" s="10">
        <f t="shared" si="118"/>
        <v>2.2578987278891001E-3</v>
      </c>
      <c r="AI3175">
        <v>0.51079059999999998</v>
      </c>
      <c r="AJ3175">
        <f t="shared" si="117"/>
        <v>0.51079059999999998</v>
      </c>
      <c r="AO3175">
        <v>0.51079059999999998</v>
      </c>
      <c r="AR3175" s="8">
        <v>0</v>
      </c>
      <c r="AS3175">
        <v>3.9184640000000002</v>
      </c>
    </row>
    <row r="3176" spans="1:45" x14ac:dyDescent="0.25">
      <c r="A3176">
        <v>544</v>
      </c>
      <c r="B3176">
        <v>2002</v>
      </c>
      <c r="C3176" s="8">
        <v>0</v>
      </c>
      <c r="D3176">
        <v>0.45070009999999999</v>
      </c>
      <c r="E3176">
        <v>0.150725</v>
      </c>
      <c r="F3176">
        <v>3.0372099999999999E-2</v>
      </c>
      <c r="G3176">
        <v>1.1339030000000001</v>
      </c>
      <c r="H3176">
        <v>0.3054403</v>
      </c>
      <c r="Q3176" s="10">
        <f t="shared" si="118"/>
        <v>1.1698721981638575E-2</v>
      </c>
      <c r="AI3176">
        <v>0.47619650000000002</v>
      </c>
      <c r="AJ3176">
        <f t="shared" si="117"/>
        <v>0.47619650000000002</v>
      </c>
      <c r="AO3176">
        <v>0.47619650000000002</v>
      </c>
      <c r="AR3176" s="8">
        <v>0</v>
      </c>
      <c r="AS3176">
        <v>2.9326789999999998</v>
      </c>
    </row>
    <row r="3177" spans="1:45" x14ac:dyDescent="0.25">
      <c r="A3177">
        <v>544</v>
      </c>
      <c r="B3177">
        <v>2003</v>
      </c>
      <c r="C3177" s="8">
        <v>0</v>
      </c>
      <c r="D3177">
        <v>0.51079059999999998</v>
      </c>
      <c r="E3177">
        <v>9.7277000000000002E-2</v>
      </c>
      <c r="F3177">
        <v>2.67528E-2</v>
      </c>
      <c r="G3177">
        <v>1.700974</v>
      </c>
      <c r="H3177">
        <v>0.3060755</v>
      </c>
      <c r="Q3177" s="10">
        <f t="shared" si="118"/>
        <v>5.4415833555479026E-3</v>
      </c>
      <c r="AI3177">
        <v>0.21558140000000001</v>
      </c>
      <c r="AJ3177">
        <f t="shared" si="117"/>
        <v>0.21558140000000001</v>
      </c>
      <c r="AO3177">
        <v>0.21558140000000001</v>
      </c>
      <c r="AR3177" s="8">
        <v>0</v>
      </c>
      <c r="AS3177">
        <v>1.9895339999999999</v>
      </c>
    </row>
    <row r="3178" spans="1:45" x14ac:dyDescent="0.25">
      <c r="A3178">
        <v>544</v>
      </c>
      <c r="B3178">
        <v>2004</v>
      </c>
      <c r="C3178" s="8">
        <v>0</v>
      </c>
      <c r="D3178">
        <v>0.47619650000000002</v>
      </c>
      <c r="E3178">
        <v>9.5269000000000006E-2</v>
      </c>
      <c r="F3178">
        <v>3.6077900000000003E-2</v>
      </c>
      <c r="G3178">
        <v>1.3095129999999999</v>
      </c>
      <c r="H3178">
        <v>0.35906739999999998</v>
      </c>
      <c r="Q3178" s="10">
        <f t="shared" si="118"/>
        <v>9.5884003441208017E-3</v>
      </c>
      <c r="AI3178">
        <v>0.24470459999999999</v>
      </c>
      <c r="AJ3178">
        <f t="shared" si="117"/>
        <v>0.24470459999999999</v>
      </c>
      <c r="AO3178">
        <v>0.24470459999999999</v>
      </c>
      <c r="AR3178" s="8">
        <v>0</v>
      </c>
      <c r="AS3178">
        <v>1.1339030000000001</v>
      </c>
    </row>
    <row r="3179" spans="1:45" x14ac:dyDescent="0.25">
      <c r="A3179">
        <v>545</v>
      </c>
      <c r="B3179">
        <v>1999</v>
      </c>
      <c r="C3179" s="8">
        <v>0</v>
      </c>
      <c r="D3179">
        <v>0.21558140000000001</v>
      </c>
      <c r="E3179">
        <v>0.18584909999999999</v>
      </c>
      <c r="F3179">
        <v>5.2664900000000001E-2</v>
      </c>
      <c r="G3179">
        <v>0.73952620000000002</v>
      </c>
      <c r="H3179">
        <v>0.290213</v>
      </c>
      <c r="Q3179" s="10">
        <f t="shared" si="118"/>
        <v>1.5607202788081434E-2</v>
      </c>
      <c r="AI3179">
        <v>0.23906359999999999</v>
      </c>
      <c r="AJ3179">
        <f t="shared" si="117"/>
        <v>0.23906359999999999</v>
      </c>
      <c r="AO3179">
        <v>0.23906359999999999</v>
      </c>
      <c r="AR3179" s="8">
        <v>0</v>
      </c>
      <c r="AS3179">
        <v>1.700974</v>
      </c>
    </row>
    <row r="3180" spans="1:45" x14ac:dyDescent="0.25">
      <c r="A3180">
        <v>545</v>
      </c>
      <c r="B3180">
        <v>2000</v>
      </c>
      <c r="C3180" s="8">
        <v>0</v>
      </c>
      <c r="D3180">
        <v>0.24470459999999999</v>
      </c>
      <c r="E3180">
        <v>0.17916209999999999</v>
      </c>
      <c r="F3180">
        <v>6.5512299999999996E-2</v>
      </c>
      <c r="G3180">
        <v>0.6227897</v>
      </c>
      <c r="H3180">
        <v>0.2859044</v>
      </c>
      <c r="Q3180" s="10">
        <f t="shared" si="118"/>
        <v>1.7260768559944295E-2</v>
      </c>
      <c r="AI3180">
        <v>0.24150440000000001</v>
      </c>
      <c r="AJ3180">
        <f t="shared" si="117"/>
        <v>0.24150440000000001</v>
      </c>
      <c r="AO3180">
        <v>0.24150440000000001</v>
      </c>
      <c r="AR3180" s="8">
        <v>0</v>
      </c>
      <c r="AS3180">
        <v>1.3095129999999999</v>
      </c>
    </row>
    <row r="3181" spans="1:45" x14ac:dyDescent="0.25">
      <c r="A3181">
        <v>545</v>
      </c>
      <c r="B3181">
        <v>2001</v>
      </c>
      <c r="C3181" s="8">
        <v>0</v>
      </c>
      <c r="D3181">
        <v>0.23906359999999999</v>
      </c>
      <c r="E3181">
        <v>0.1981183</v>
      </c>
      <c r="F3181">
        <v>6.6766000000000006E-2</v>
      </c>
      <c r="G3181">
        <v>1.5532429999999999</v>
      </c>
      <c r="H3181">
        <v>0.3034828</v>
      </c>
      <c r="Q3181" s="10">
        <f t="shared" si="118"/>
        <v>3.8581279546636093E-3</v>
      </c>
      <c r="AI3181">
        <v>7.2130600000000003E-2</v>
      </c>
      <c r="AJ3181">
        <f t="shared" si="117"/>
        <v>7.2130600000000003E-2</v>
      </c>
      <c r="AO3181">
        <v>7.2130600000000003E-2</v>
      </c>
      <c r="AR3181" s="8">
        <v>0</v>
      </c>
      <c r="AS3181">
        <v>0.73952620000000002</v>
      </c>
    </row>
    <row r="3182" spans="1:45" x14ac:dyDescent="0.25">
      <c r="A3182">
        <v>545</v>
      </c>
      <c r="B3182">
        <v>2002</v>
      </c>
      <c r="C3182" s="8">
        <v>0</v>
      </c>
      <c r="D3182">
        <v>0.24150440000000001</v>
      </c>
      <c r="E3182">
        <v>0.19619909999999999</v>
      </c>
      <c r="F3182">
        <v>6.7139699999999997E-2</v>
      </c>
      <c r="G3182">
        <v>1.0716669999999999</v>
      </c>
      <c r="H3182">
        <v>0.28155010000000003</v>
      </c>
      <c r="Q3182" s="10">
        <f t="shared" si="118"/>
        <v>8.1702636830307748E-3</v>
      </c>
      <c r="AI3182">
        <v>2.9577599999999999E-2</v>
      </c>
      <c r="AJ3182">
        <f t="shared" si="117"/>
        <v>2.9577599999999999E-2</v>
      </c>
      <c r="AO3182">
        <v>2.9577599999999999E-2</v>
      </c>
      <c r="AR3182" s="8">
        <v>0</v>
      </c>
      <c r="AS3182">
        <v>0.6227897</v>
      </c>
    </row>
    <row r="3183" spans="1:45" x14ac:dyDescent="0.25">
      <c r="A3183">
        <v>546</v>
      </c>
      <c r="B3183">
        <v>1995</v>
      </c>
      <c r="C3183" s="8">
        <v>0</v>
      </c>
      <c r="D3183">
        <v>7.2130600000000003E-2</v>
      </c>
      <c r="E3183">
        <v>0.24961459999999999</v>
      </c>
      <c r="F3183">
        <v>5.6447700000000003E-2</v>
      </c>
      <c r="G3183">
        <v>0.67377580000000004</v>
      </c>
      <c r="H3183">
        <v>0.15762039999999999</v>
      </c>
      <c r="Q3183" s="10">
        <f t="shared" si="118"/>
        <v>1.3332824550019143E-2</v>
      </c>
      <c r="AI3183">
        <v>6.3495099999999999E-2</v>
      </c>
      <c r="AJ3183">
        <f t="shared" si="117"/>
        <v>6.3495099999999999E-2</v>
      </c>
      <c r="AO3183">
        <v>6.3495099999999999E-2</v>
      </c>
      <c r="AR3183" s="8">
        <v>0</v>
      </c>
      <c r="AS3183">
        <v>1.5532429999999999</v>
      </c>
    </row>
    <row r="3184" spans="1:45" x14ac:dyDescent="0.25">
      <c r="A3184">
        <v>546</v>
      </c>
      <c r="B3184">
        <v>1996</v>
      </c>
      <c r="C3184" s="8">
        <v>0</v>
      </c>
      <c r="D3184">
        <v>2.9577599999999999E-2</v>
      </c>
      <c r="E3184">
        <v>0.2345573</v>
      </c>
      <c r="F3184">
        <v>3.5331899999999999E-2</v>
      </c>
      <c r="G3184">
        <v>0.60899000000000003</v>
      </c>
      <c r="H3184">
        <v>0.15429319999999999</v>
      </c>
      <c r="Q3184" s="10">
        <f t="shared" si="118"/>
        <v>1.746809101970026E-2</v>
      </c>
      <c r="AI3184">
        <v>4.04015E-2</v>
      </c>
      <c r="AJ3184">
        <f t="shared" si="117"/>
        <v>4.04015E-2</v>
      </c>
      <c r="AO3184">
        <v>4.04015E-2</v>
      </c>
      <c r="AR3184" s="8">
        <v>0</v>
      </c>
      <c r="AS3184">
        <v>1.0716669999999999</v>
      </c>
    </row>
    <row r="3185" spans="1:45" x14ac:dyDescent="0.25">
      <c r="A3185">
        <v>546</v>
      </c>
      <c r="B3185">
        <v>1997</v>
      </c>
      <c r="C3185" s="8">
        <v>0</v>
      </c>
      <c r="D3185">
        <v>6.3495099999999999E-2</v>
      </c>
      <c r="E3185">
        <v>0.22402530000000001</v>
      </c>
      <c r="F3185">
        <v>6.7167599999999994E-2</v>
      </c>
      <c r="G3185">
        <v>0.81070580000000003</v>
      </c>
      <c r="H3185">
        <v>0.153997</v>
      </c>
      <c r="Q3185" s="10">
        <f t="shared" si="118"/>
        <v>1.0184210064966592E-2</v>
      </c>
      <c r="AI3185">
        <v>3.4459400000000001E-2</v>
      </c>
      <c r="AJ3185">
        <f t="shared" si="117"/>
        <v>3.4459400000000001E-2</v>
      </c>
      <c r="AO3185">
        <v>3.4459400000000001E-2</v>
      </c>
      <c r="AR3185" s="8">
        <v>0</v>
      </c>
      <c r="AS3185">
        <v>0.67377580000000004</v>
      </c>
    </row>
    <row r="3186" spans="1:45" x14ac:dyDescent="0.25">
      <c r="A3186">
        <v>546</v>
      </c>
      <c r="B3186">
        <v>1998</v>
      </c>
      <c r="C3186" s="8">
        <v>0</v>
      </c>
      <c r="D3186">
        <v>4.04015E-2</v>
      </c>
      <c r="E3186">
        <v>0.19883809999999999</v>
      </c>
      <c r="F3186">
        <v>5.94815E-2</v>
      </c>
      <c r="G3186">
        <v>0.7199797</v>
      </c>
      <c r="H3186">
        <v>0.14920720000000001</v>
      </c>
      <c r="Q3186" s="10">
        <f t="shared" si="118"/>
        <v>1.278602931830093E-2</v>
      </c>
      <c r="AI3186">
        <v>0.26550879999999999</v>
      </c>
      <c r="AJ3186">
        <f t="shared" si="117"/>
        <v>0.26550879999999999</v>
      </c>
      <c r="AO3186">
        <v>0.26550879999999999</v>
      </c>
      <c r="AR3186" s="8">
        <v>0</v>
      </c>
      <c r="AS3186">
        <v>0.60899000000000003</v>
      </c>
    </row>
    <row r="3187" spans="1:45" x14ac:dyDescent="0.25">
      <c r="A3187">
        <v>546</v>
      </c>
      <c r="B3187">
        <v>1999</v>
      </c>
      <c r="C3187" s="8">
        <v>0</v>
      </c>
      <c r="D3187">
        <v>3.4459400000000001E-2</v>
      </c>
      <c r="E3187">
        <v>0.2237286</v>
      </c>
      <c r="F3187">
        <v>6.7056400000000002E-2</v>
      </c>
      <c r="G3187">
        <v>0.55854769999999998</v>
      </c>
      <c r="H3187">
        <v>0.14716950000000001</v>
      </c>
      <c r="Q3187" s="10">
        <f t="shared" si="118"/>
        <v>1.4923456035576087E-2</v>
      </c>
      <c r="AI3187">
        <v>0.18330099999999999</v>
      </c>
      <c r="AJ3187">
        <f t="shared" si="117"/>
        <v>0.18330099999999999</v>
      </c>
      <c r="AO3187">
        <v>0.18330099999999999</v>
      </c>
      <c r="AR3187" s="8">
        <v>0</v>
      </c>
      <c r="AS3187">
        <v>0.81070580000000003</v>
      </c>
    </row>
    <row r="3188" spans="1:45" x14ac:dyDescent="0.25">
      <c r="A3188">
        <v>547</v>
      </c>
      <c r="B3188">
        <v>1998</v>
      </c>
      <c r="C3188" s="8">
        <v>0</v>
      </c>
      <c r="D3188">
        <v>0.26550879999999999</v>
      </c>
      <c r="E3188">
        <v>0.42387940000000002</v>
      </c>
      <c r="F3188">
        <v>6.2229399999999997E-2</v>
      </c>
      <c r="G3188">
        <v>3.2918940000000001</v>
      </c>
      <c r="H3188">
        <v>0.30395539999999999</v>
      </c>
      <c r="Q3188" s="10">
        <f t="shared" si="118"/>
        <v>1.8312967044652081E-4</v>
      </c>
      <c r="AI3188">
        <v>0.1171601</v>
      </c>
      <c r="AJ3188">
        <f t="shared" si="117"/>
        <v>0.1171601</v>
      </c>
      <c r="AO3188">
        <v>0.1171601</v>
      </c>
      <c r="AR3188" s="8">
        <v>0</v>
      </c>
      <c r="AS3188">
        <v>0.7199797</v>
      </c>
    </row>
    <row r="3189" spans="1:45" x14ac:dyDescent="0.25">
      <c r="A3189">
        <v>548</v>
      </c>
      <c r="B3189">
        <v>1995</v>
      </c>
      <c r="C3189" s="8">
        <v>0</v>
      </c>
      <c r="D3189">
        <v>0.18330099999999999</v>
      </c>
      <c r="E3189">
        <v>0.42096810000000001</v>
      </c>
      <c r="F3189">
        <v>7.4827599999999994E-2</v>
      </c>
      <c r="G3189">
        <v>2.0749919999999999</v>
      </c>
      <c r="H3189">
        <v>0.3637398</v>
      </c>
      <c r="Q3189" s="10">
        <f t="shared" si="118"/>
        <v>1.158531984903028E-3</v>
      </c>
      <c r="AI3189">
        <v>-6.0784600000000001E-2</v>
      </c>
      <c r="AJ3189">
        <f t="shared" si="117"/>
        <v>-6.0784600000000001E-2</v>
      </c>
      <c r="AO3189">
        <v>-6.0784600000000001E-2</v>
      </c>
      <c r="AR3189" s="8">
        <v>0</v>
      </c>
      <c r="AS3189">
        <v>0.55854769999999998</v>
      </c>
    </row>
    <row r="3190" spans="1:45" x14ac:dyDescent="0.25">
      <c r="A3190">
        <v>548</v>
      </c>
      <c r="B3190">
        <v>1996</v>
      </c>
      <c r="C3190" s="8">
        <v>0</v>
      </c>
      <c r="D3190">
        <v>0.1171601</v>
      </c>
      <c r="E3190">
        <v>0.39239249999999998</v>
      </c>
      <c r="F3190">
        <v>5.5045400000000001E-2</v>
      </c>
      <c r="G3190">
        <v>1.7676609999999999</v>
      </c>
      <c r="H3190">
        <v>0.32675999999999999</v>
      </c>
      <c r="Q3190" s="10">
        <f t="shared" si="118"/>
        <v>2.1931550601845032E-3</v>
      </c>
      <c r="AI3190">
        <v>9.7487000000000004E-2</v>
      </c>
      <c r="AJ3190">
        <f t="shared" si="117"/>
        <v>9.7487000000000004E-2</v>
      </c>
      <c r="AO3190">
        <v>9.7487000000000004E-2</v>
      </c>
      <c r="AR3190" s="8">
        <v>0</v>
      </c>
      <c r="AS3190">
        <v>3.2918940000000001</v>
      </c>
    </row>
    <row r="3191" spans="1:45" x14ac:dyDescent="0.25">
      <c r="A3191">
        <v>548</v>
      </c>
      <c r="B3191">
        <v>1997</v>
      </c>
      <c r="C3191" s="8">
        <v>0</v>
      </c>
      <c r="D3191">
        <v>-6.0784600000000001E-2</v>
      </c>
      <c r="E3191">
        <v>0.183643</v>
      </c>
      <c r="F3191">
        <v>5.3688600000000003E-2</v>
      </c>
      <c r="G3191">
        <v>0.96383099999999999</v>
      </c>
      <c r="H3191">
        <v>0.17216310000000001</v>
      </c>
      <c r="Q3191" s="10">
        <f t="shared" si="118"/>
        <v>9.063396295398712E-3</v>
      </c>
      <c r="AI3191">
        <v>6.5389900000000001E-2</v>
      </c>
      <c r="AJ3191">
        <f t="shared" si="117"/>
        <v>6.5389900000000001E-2</v>
      </c>
      <c r="AO3191">
        <v>6.5389900000000001E-2</v>
      </c>
      <c r="AR3191" s="8">
        <v>0</v>
      </c>
      <c r="AS3191">
        <v>2.0749919999999999</v>
      </c>
    </row>
    <row r="3192" spans="1:45" x14ac:dyDescent="0.25">
      <c r="A3192">
        <v>548</v>
      </c>
      <c r="B3192">
        <v>1998</v>
      </c>
      <c r="C3192" s="8">
        <v>0</v>
      </c>
      <c r="D3192">
        <v>9.7487000000000004E-2</v>
      </c>
      <c r="E3192">
        <v>0.19535079999999999</v>
      </c>
      <c r="F3192">
        <v>5.5049099999999997E-2</v>
      </c>
      <c r="G3192">
        <v>1.05365</v>
      </c>
      <c r="H3192">
        <v>0.21318239999999999</v>
      </c>
      <c r="Q3192" s="10">
        <f t="shared" si="118"/>
        <v>8.3721226746372602E-3</v>
      </c>
      <c r="AI3192">
        <v>0.1430334</v>
      </c>
      <c r="AJ3192">
        <f t="shared" si="117"/>
        <v>0.1430334</v>
      </c>
      <c r="AO3192">
        <v>0.1430334</v>
      </c>
      <c r="AR3192" s="8">
        <v>0</v>
      </c>
      <c r="AS3192">
        <v>1.7676609999999999</v>
      </c>
    </row>
    <row r="3193" spans="1:45" x14ac:dyDescent="0.25">
      <c r="A3193">
        <v>548</v>
      </c>
      <c r="B3193">
        <v>1999</v>
      </c>
      <c r="C3193" s="8">
        <v>0</v>
      </c>
      <c r="D3193">
        <v>6.5389900000000001E-2</v>
      </c>
      <c r="E3193">
        <v>0.19869249999999999</v>
      </c>
      <c r="F3193">
        <v>2.9723699999999999E-2</v>
      </c>
      <c r="G3193">
        <v>0.54230509999999998</v>
      </c>
      <c r="H3193">
        <v>0.17540130000000001</v>
      </c>
      <c r="Q3193" s="10">
        <f t="shared" si="118"/>
        <v>2.1912148494932421E-2</v>
      </c>
      <c r="AI3193">
        <v>0.13487979999999999</v>
      </c>
      <c r="AJ3193">
        <f t="shared" si="117"/>
        <v>0.13487979999999999</v>
      </c>
      <c r="AO3193">
        <v>0.13487979999999999</v>
      </c>
      <c r="AR3193" s="8">
        <v>0</v>
      </c>
      <c r="AS3193">
        <v>0.96383099999999999</v>
      </c>
    </row>
    <row r="3194" spans="1:45" x14ac:dyDescent="0.25">
      <c r="A3194">
        <v>548</v>
      </c>
      <c r="B3194">
        <v>2000</v>
      </c>
      <c r="C3194" s="8">
        <v>0</v>
      </c>
      <c r="D3194">
        <v>0.1430334</v>
      </c>
      <c r="E3194">
        <v>0.2088798</v>
      </c>
      <c r="F3194">
        <v>4.8690999999999998E-2</v>
      </c>
      <c r="G3194">
        <v>0.67509370000000002</v>
      </c>
      <c r="H3194">
        <v>0.20006119999999999</v>
      </c>
      <c r="Q3194" s="10">
        <f t="shared" si="118"/>
        <v>1.5840075217540748E-2</v>
      </c>
      <c r="AI3194">
        <v>0.1268367</v>
      </c>
      <c r="AJ3194">
        <f t="shared" si="117"/>
        <v>0.1268367</v>
      </c>
      <c r="AO3194">
        <v>0.1268367</v>
      </c>
      <c r="AR3194" s="8">
        <v>0</v>
      </c>
      <c r="AS3194">
        <v>1.05365</v>
      </c>
    </row>
    <row r="3195" spans="1:45" x14ac:dyDescent="0.25">
      <c r="A3195">
        <v>548</v>
      </c>
      <c r="B3195">
        <v>2001</v>
      </c>
      <c r="C3195" s="8">
        <v>0</v>
      </c>
      <c r="D3195">
        <v>0.13487979999999999</v>
      </c>
      <c r="E3195">
        <v>0.1661811</v>
      </c>
      <c r="F3195">
        <v>4.8693699999999999E-2</v>
      </c>
      <c r="G3195">
        <v>0.87403600000000004</v>
      </c>
      <c r="H3195">
        <v>0.19145809999999999</v>
      </c>
      <c r="Q3195" s="10">
        <f t="shared" si="118"/>
        <v>1.2213487733912752E-2</v>
      </c>
      <c r="AI3195">
        <v>0.1529209</v>
      </c>
      <c r="AJ3195">
        <f t="shared" si="117"/>
        <v>0.1529209</v>
      </c>
      <c r="AO3195">
        <v>0.1529209</v>
      </c>
      <c r="AR3195" s="8">
        <v>0</v>
      </c>
      <c r="AS3195">
        <v>0.54230509999999998</v>
      </c>
    </row>
    <row r="3196" spans="1:45" x14ac:dyDescent="0.25">
      <c r="A3196">
        <v>548</v>
      </c>
      <c r="B3196">
        <v>2002</v>
      </c>
      <c r="C3196" s="8">
        <v>0</v>
      </c>
      <c r="D3196">
        <v>0.1268367</v>
      </c>
      <c r="E3196">
        <v>5.30102E-2</v>
      </c>
      <c r="F3196">
        <v>4.4296599999999998E-2</v>
      </c>
      <c r="G3196">
        <v>0.85604880000000005</v>
      </c>
      <c r="H3196">
        <v>0.22744629999999999</v>
      </c>
      <c r="Q3196" s="10">
        <f t="shared" si="118"/>
        <v>1.5587644456977931E-2</v>
      </c>
      <c r="AI3196">
        <v>0.10104340000000001</v>
      </c>
      <c r="AJ3196">
        <f t="shared" si="117"/>
        <v>0.10104340000000001</v>
      </c>
      <c r="AO3196">
        <v>0.10104340000000001</v>
      </c>
      <c r="AR3196" s="8">
        <v>0</v>
      </c>
      <c r="AS3196">
        <v>0.67509370000000002</v>
      </c>
    </row>
    <row r="3197" spans="1:45" x14ac:dyDescent="0.25">
      <c r="A3197">
        <v>548</v>
      </c>
      <c r="B3197">
        <v>2003</v>
      </c>
      <c r="C3197" s="8">
        <v>0</v>
      </c>
      <c r="D3197">
        <v>0.1529209</v>
      </c>
      <c r="E3197">
        <v>5.8891300000000001E-2</v>
      </c>
      <c r="F3197">
        <v>4.9767199999999998E-2</v>
      </c>
      <c r="G3197">
        <v>0.88680979999999998</v>
      </c>
      <c r="H3197">
        <v>0.24824869999999999</v>
      </c>
      <c r="Q3197" s="10">
        <f t="shared" si="118"/>
        <v>1.4440155883759451E-2</v>
      </c>
      <c r="AI3197">
        <v>9.3803700000000004E-2</v>
      </c>
      <c r="AJ3197">
        <f t="shared" si="117"/>
        <v>9.3803700000000004E-2</v>
      </c>
      <c r="AO3197">
        <v>9.3803700000000004E-2</v>
      </c>
      <c r="AR3197" s="8">
        <v>0</v>
      </c>
      <c r="AS3197">
        <v>0.87403600000000004</v>
      </c>
    </row>
    <row r="3198" spans="1:45" x14ac:dyDescent="0.25">
      <c r="A3198">
        <v>548</v>
      </c>
      <c r="B3198">
        <v>2004</v>
      </c>
      <c r="C3198" s="8">
        <v>0</v>
      </c>
      <c r="D3198">
        <v>0.10104340000000001</v>
      </c>
      <c r="E3198">
        <v>6.1967300000000003E-2</v>
      </c>
      <c r="F3198">
        <v>5.7065100000000001E-2</v>
      </c>
      <c r="G3198">
        <v>1.3181780000000001</v>
      </c>
      <c r="H3198">
        <v>0.26116279999999997</v>
      </c>
      <c r="Q3198" s="10">
        <f t="shared" si="118"/>
        <v>6.7800592887413448E-3</v>
      </c>
      <c r="AI3198">
        <v>0.12829160000000001</v>
      </c>
      <c r="AJ3198">
        <f t="shared" si="117"/>
        <v>0.12829160000000001</v>
      </c>
      <c r="AO3198">
        <v>0.12829160000000001</v>
      </c>
      <c r="AR3198" s="8">
        <v>0</v>
      </c>
      <c r="AS3198">
        <v>0.85604880000000005</v>
      </c>
    </row>
    <row r="3199" spans="1:45" x14ac:dyDescent="0.25">
      <c r="A3199">
        <v>549</v>
      </c>
      <c r="B3199">
        <v>1998</v>
      </c>
      <c r="C3199" s="8">
        <v>0</v>
      </c>
      <c r="D3199">
        <v>9.3803700000000004E-2</v>
      </c>
      <c r="E3199">
        <v>7.6871599999999998E-2</v>
      </c>
      <c r="F3199">
        <v>4.2740599999999997E-2</v>
      </c>
      <c r="G3199">
        <v>0.62899269999999996</v>
      </c>
      <c r="H3199">
        <v>8.6754800000000007E-2</v>
      </c>
      <c r="Q3199" s="10">
        <f t="shared" si="118"/>
        <v>1.9707387210413749E-2</v>
      </c>
      <c r="AI3199">
        <v>0.57699509999999998</v>
      </c>
      <c r="AJ3199">
        <f t="shared" si="117"/>
        <v>0.52051970800000003</v>
      </c>
      <c r="AO3199">
        <v>0.52051970800000003</v>
      </c>
      <c r="AR3199" s="8">
        <v>0</v>
      </c>
      <c r="AS3199">
        <v>0.88680979999999998</v>
      </c>
    </row>
    <row r="3200" spans="1:45" x14ac:dyDescent="0.25">
      <c r="A3200">
        <v>549</v>
      </c>
      <c r="B3200">
        <v>1999</v>
      </c>
      <c r="C3200" s="8">
        <v>0</v>
      </c>
      <c r="D3200">
        <v>0.12829160000000001</v>
      </c>
      <c r="E3200">
        <v>3.9783100000000002E-2</v>
      </c>
      <c r="F3200">
        <v>2.7478900000000001E-2</v>
      </c>
      <c r="G3200">
        <v>0.77615000000000001</v>
      </c>
      <c r="H3200">
        <v>6.2221199999999997E-2</v>
      </c>
      <c r="Q3200" s="10">
        <f t="shared" si="118"/>
        <v>1.859171909492088E-2</v>
      </c>
      <c r="AI3200">
        <v>0.55973580000000001</v>
      </c>
      <c r="AJ3200">
        <f t="shared" si="117"/>
        <v>0.52051970800000003</v>
      </c>
      <c r="AO3200">
        <v>0.52051970800000003</v>
      </c>
      <c r="AR3200" s="8">
        <v>0</v>
      </c>
      <c r="AS3200">
        <v>1.3181780000000001</v>
      </c>
    </row>
    <row r="3201" spans="1:45" x14ac:dyDescent="0.25">
      <c r="A3201">
        <v>550</v>
      </c>
      <c r="B3201">
        <v>1995</v>
      </c>
      <c r="C3201" s="8">
        <v>0</v>
      </c>
      <c r="D3201">
        <v>0.57699509999999998</v>
      </c>
      <c r="E3201">
        <v>0.92817130000000003</v>
      </c>
      <c r="F3201">
        <v>8.0116000000000007E-2</v>
      </c>
      <c r="G3201">
        <v>2.9481259999999998</v>
      </c>
      <c r="H3201">
        <v>0.47617959999999998</v>
      </c>
      <c r="Q3201" s="10">
        <f t="shared" si="118"/>
        <v>1.6692082084694023E-4</v>
      </c>
      <c r="AI3201">
        <v>0.54255960000000003</v>
      </c>
      <c r="AJ3201">
        <f t="shared" si="117"/>
        <v>0.52051970800000003</v>
      </c>
      <c r="AO3201">
        <v>0.52051970800000003</v>
      </c>
      <c r="AR3201" s="8">
        <v>0</v>
      </c>
      <c r="AS3201">
        <v>0.62899269999999996</v>
      </c>
    </row>
    <row r="3202" spans="1:45" x14ac:dyDescent="0.25">
      <c r="A3202">
        <v>550</v>
      </c>
      <c r="B3202">
        <v>1996</v>
      </c>
      <c r="C3202" s="8">
        <v>0</v>
      </c>
      <c r="D3202">
        <v>0.55973580000000001</v>
      </c>
      <c r="E3202">
        <v>0.59918519999999997</v>
      </c>
      <c r="F3202">
        <v>4.37086E-2</v>
      </c>
      <c r="G3202">
        <v>1.696807</v>
      </c>
      <c r="H3202">
        <v>0.47680270000000002</v>
      </c>
      <c r="Q3202" s="10">
        <f t="shared" si="118"/>
        <v>2.6227183418392327E-3</v>
      </c>
      <c r="AI3202">
        <v>0.46091539999999998</v>
      </c>
      <c r="AJ3202">
        <f t="shared" si="117"/>
        <v>0.46091539999999998</v>
      </c>
      <c r="AO3202">
        <v>0.46091539999999998</v>
      </c>
      <c r="AR3202" s="8">
        <v>0</v>
      </c>
      <c r="AS3202">
        <v>0.77615000000000001</v>
      </c>
    </row>
    <row r="3203" spans="1:45" x14ac:dyDescent="0.25">
      <c r="A3203">
        <v>550</v>
      </c>
      <c r="B3203">
        <v>1997</v>
      </c>
      <c r="C3203" s="8">
        <v>0</v>
      </c>
      <c r="D3203">
        <v>0.54255960000000003</v>
      </c>
      <c r="E3203">
        <v>0.6649119</v>
      </c>
      <c r="F3203">
        <v>4.7190999999999997E-2</v>
      </c>
      <c r="G3203">
        <v>1.3325450000000001</v>
      </c>
      <c r="H3203">
        <v>0.51840790000000003</v>
      </c>
      <c r="Q3203" s="10">
        <f t="shared" si="118"/>
        <v>4.213706523367825E-3</v>
      </c>
      <c r="AI3203">
        <v>0.41854279999999999</v>
      </c>
      <c r="AJ3203">
        <f t="shared" si="117"/>
        <v>0.41854279999999999</v>
      </c>
      <c r="AO3203">
        <v>0.41854279999999999</v>
      </c>
      <c r="AR3203" s="8">
        <v>0</v>
      </c>
      <c r="AS3203">
        <v>2.9481259999999998</v>
      </c>
    </row>
    <row r="3204" spans="1:45" x14ac:dyDescent="0.25">
      <c r="A3204">
        <v>550</v>
      </c>
      <c r="B3204">
        <v>1998</v>
      </c>
      <c r="C3204" s="8">
        <v>0</v>
      </c>
      <c r="D3204">
        <v>0.46091539999999998</v>
      </c>
      <c r="E3204">
        <v>0.6981503</v>
      </c>
      <c r="F3204">
        <v>2.50563E-2</v>
      </c>
      <c r="G3204">
        <v>0.71893569999999996</v>
      </c>
      <c r="H3204">
        <v>0.43558599999999997</v>
      </c>
      <c r="Q3204" s="10">
        <f t="shared" si="118"/>
        <v>1.1614968947520548E-2</v>
      </c>
      <c r="AI3204">
        <v>0.52816490000000005</v>
      </c>
      <c r="AJ3204">
        <f t="shared" si="117"/>
        <v>0.52051970800000003</v>
      </c>
      <c r="AO3204">
        <v>0.52051970800000003</v>
      </c>
      <c r="AR3204" s="8">
        <v>0</v>
      </c>
      <c r="AS3204">
        <v>1.696807</v>
      </c>
    </row>
    <row r="3205" spans="1:45" x14ac:dyDescent="0.25">
      <c r="A3205">
        <v>550</v>
      </c>
      <c r="B3205">
        <v>1999</v>
      </c>
      <c r="C3205" s="8">
        <v>0</v>
      </c>
      <c r="D3205">
        <v>0.41854279999999999</v>
      </c>
      <c r="E3205">
        <v>0.76046599999999998</v>
      </c>
      <c r="F3205">
        <v>3.4291299999999997E-2</v>
      </c>
      <c r="G3205">
        <v>0.45932289999999998</v>
      </c>
      <c r="H3205">
        <v>0.42705700000000002</v>
      </c>
      <c r="Q3205" s="10">
        <f t="shared" si="118"/>
        <v>1.4523111971101847E-2</v>
      </c>
      <c r="AI3205">
        <v>0.58372690000000005</v>
      </c>
      <c r="AJ3205">
        <f t="shared" ref="AJ3205:AJ3268" si="119">MAX(MIN(AI3205,AM$5),AM$4)</f>
        <v>0.52051970800000003</v>
      </c>
      <c r="AO3205">
        <v>0.52051970800000003</v>
      </c>
      <c r="AR3205" s="8">
        <v>0</v>
      </c>
      <c r="AS3205">
        <v>1.3325450000000001</v>
      </c>
    </row>
    <row r="3206" spans="1:45" x14ac:dyDescent="0.25">
      <c r="A3206">
        <v>550</v>
      </c>
      <c r="B3206">
        <v>2000</v>
      </c>
      <c r="C3206" s="8">
        <v>0</v>
      </c>
      <c r="D3206">
        <v>0.52816490000000005</v>
      </c>
      <c r="E3206">
        <v>0.8860652</v>
      </c>
      <c r="F3206">
        <v>4.0131500000000001E-2</v>
      </c>
      <c r="G3206">
        <v>1.8514090000000001</v>
      </c>
      <c r="H3206">
        <v>0.45839780000000002</v>
      </c>
      <c r="Q3206" s="10">
        <f t="shared" si="118"/>
        <v>1.3581193101177278E-3</v>
      </c>
      <c r="AI3206">
        <v>0.58861350000000001</v>
      </c>
      <c r="AJ3206">
        <f t="shared" si="119"/>
        <v>0.52051970800000003</v>
      </c>
      <c r="AO3206">
        <v>0.52051970800000003</v>
      </c>
      <c r="AR3206" s="8">
        <v>0</v>
      </c>
      <c r="AS3206">
        <v>0.71893569999999996</v>
      </c>
    </row>
    <row r="3207" spans="1:45" x14ac:dyDescent="0.25">
      <c r="A3207">
        <v>550</v>
      </c>
      <c r="B3207">
        <v>2001</v>
      </c>
      <c r="C3207" s="8">
        <v>0</v>
      </c>
      <c r="D3207">
        <v>0.58372690000000005</v>
      </c>
      <c r="E3207">
        <v>0.92919929999999995</v>
      </c>
      <c r="F3207">
        <v>4.3918499999999999E-2</v>
      </c>
      <c r="G3207">
        <v>1.93824</v>
      </c>
      <c r="H3207">
        <v>0.46188990000000002</v>
      </c>
      <c r="Q3207" s="10">
        <f t="shared" ref="Q3207:Q3270" si="120">1/(1+EXP(-(J$6+SUMPRODUCT(K$6:O$6,D3207:H3207))))</f>
        <v>1.1053466206982982E-3</v>
      </c>
      <c r="AI3207">
        <v>0.59703399999999995</v>
      </c>
      <c r="AJ3207">
        <f t="shared" si="119"/>
        <v>0.52051970800000003</v>
      </c>
      <c r="AO3207">
        <v>0.52051970800000003</v>
      </c>
      <c r="AR3207" s="8">
        <v>0</v>
      </c>
      <c r="AS3207">
        <v>0.45932289999999998</v>
      </c>
    </row>
    <row r="3208" spans="1:45" x14ac:dyDescent="0.25">
      <c r="A3208">
        <v>550</v>
      </c>
      <c r="B3208">
        <v>2002</v>
      </c>
      <c r="C3208" s="8">
        <v>0</v>
      </c>
      <c r="D3208">
        <v>0.58861350000000001</v>
      </c>
      <c r="E3208">
        <v>0.86209829999999998</v>
      </c>
      <c r="F3208">
        <v>5.7775199999999999E-2</v>
      </c>
      <c r="G3208">
        <v>1.8521240000000001</v>
      </c>
      <c r="H3208">
        <v>0.44025219999999998</v>
      </c>
      <c r="Q3208" s="10">
        <f t="shared" si="120"/>
        <v>1.2368929459707818E-3</v>
      </c>
      <c r="AI3208">
        <v>0.46448919999999999</v>
      </c>
      <c r="AJ3208">
        <f t="shared" si="119"/>
        <v>0.46448919999999999</v>
      </c>
      <c r="AO3208">
        <v>0.46448919999999999</v>
      </c>
      <c r="AR3208" s="8">
        <v>0</v>
      </c>
      <c r="AS3208">
        <v>1.8514090000000001</v>
      </c>
    </row>
    <row r="3209" spans="1:45" x14ac:dyDescent="0.25">
      <c r="A3209">
        <v>550</v>
      </c>
      <c r="B3209">
        <v>2003</v>
      </c>
      <c r="C3209" s="8">
        <v>0</v>
      </c>
      <c r="D3209">
        <v>0.59703399999999995</v>
      </c>
      <c r="E3209">
        <v>0.92967960000000005</v>
      </c>
      <c r="F3209">
        <v>3.8647800000000003E-2</v>
      </c>
      <c r="G3209">
        <v>2.4465240000000001</v>
      </c>
      <c r="H3209">
        <v>0.44492290000000001</v>
      </c>
      <c r="Q3209" s="10">
        <f t="shared" si="120"/>
        <v>5.1028694701621326E-4</v>
      </c>
      <c r="AI3209">
        <v>0.1230701</v>
      </c>
      <c r="AJ3209">
        <f t="shared" si="119"/>
        <v>0.1230701</v>
      </c>
      <c r="AO3209">
        <v>0.1230701</v>
      </c>
      <c r="AR3209" s="8">
        <v>0</v>
      </c>
      <c r="AS3209">
        <v>1.93824</v>
      </c>
    </row>
    <row r="3210" spans="1:45" x14ac:dyDescent="0.25">
      <c r="A3210">
        <v>550</v>
      </c>
      <c r="B3210">
        <v>2004</v>
      </c>
      <c r="C3210" s="8">
        <v>0</v>
      </c>
      <c r="D3210">
        <v>0.46448919999999999</v>
      </c>
      <c r="E3210">
        <v>0.85489199999999999</v>
      </c>
      <c r="F3210">
        <v>5.7559899999999997E-2</v>
      </c>
      <c r="G3210">
        <v>2.130274</v>
      </c>
      <c r="H3210">
        <v>0.42341119999999999</v>
      </c>
      <c r="Q3210" s="10">
        <f t="shared" si="120"/>
        <v>7.5589938660468856E-4</v>
      </c>
      <c r="AI3210">
        <v>8.1118300000000004E-2</v>
      </c>
      <c r="AJ3210">
        <f t="shared" si="119"/>
        <v>8.1118300000000004E-2</v>
      </c>
      <c r="AO3210">
        <v>8.1118300000000004E-2</v>
      </c>
      <c r="AR3210" s="8">
        <v>0</v>
      </c>
      <c r="AS3210">
        <v>1.8521240000000001</v>
      </c>
    </row>
    <row r="3211" spans="1:45" x14ac:dyDescent="0.25">
      <c r="A3211">
        <v>551</v>
      </c>
      <c r="B3211">
        <v>1998</v>
      </c>
      <c r="C3211" s="8">
        <v>0</v>
      </c>
      <c r="D3211">
        <v>0.1230701</v>
      </c>
      <c r="E3211">
        <v>0.45166200000000001</v>
      </c>
      <c r="F3211">
        <v>0.1044809</v>
      </c>
      <c r="G3211">
        <v>7.4189850000000002</v>
      </c>
      <c r="H3211">
        <v>0.27804719999999999</v>
      </c>
      <c r="Q3211" s="10">
        <f t="shared" si="120"/>
        <v>1.6202879818065059E-7</v>
      </c>
      <c r="AI3211">
        <v>8.7080900000000003E-2</v>
      </c>
      <c r="AJ3211">
        <f t="shared" si="119"/>
        <v>8.7080900000000003E-2</v>
      </c>
      <c r="AO3211">
        <v>8.7080900000000003E-2</v>
      </c>
      <c r="AR3211" s="8">
        <v>0</v>
      </c>
      <c r="AS3211">
        <v>2.4465240000000001</v>
      </c>
    </row>
    <row r="3212" spans="1:45" x14ac:dyDescent="0.25">
      <c r="A3212">
        <v>551</v>
      </c>
      <c r="B3212">
        <v>1999</v>
      </c>
      <c r="C3212" s="8">
        <v>0</v>
      </c>
      <c r="D3212">
        <v>8.1118300000000004E-2</v>
      </c>
      <c r="E3212">
        <v>0.27605410000000002</v>
      </c>
      <c r="F3212">
        <v>7.5411800000000001E-2</v>
      </c>
      <c r="G3212">
        <v>1.3222100000000001</v>
      </c>
      <c r="H3212">
        <v>0.18210009999999999</v>
      </c>
      <c r="Q3212" s="10">
        <f t="shared" si="120"/>
        <v>4.0350705104904832E-3</v>
      </c>
      <c r="AI3212">
        <v>0.1105689</v>
      </c>
      <c r="AJ3212">
        <f t="shared" si="119"/>
        <v>0.1105689</v>
      </c>
      <c r="AO3212">
        <v>0.1105689</v>
      </c>
      <c r="AR3212" s="8">
        <v>0</v>
      </c>
      <c r="AS3212">
        <v>2.130274</v>
      </c>
    </row>
    <row r="3213" spans="1:45" x14ac:dyDescent="0.25">
      <c r="A3213">
        <v>552</v>
      </c>
      <c r="B3213">
        <v>2001</v>
      </c>
      <c r="C3213" s="8">
        <v>0</v>
      </c>
      <c r="D3213">
        <v>8.7080900000000003E-2</v>
      </c>
      <c r="E3213">
        <v>0.15135599999999999</v>
      </c>
      <c r="F3213">
        <v>5.6688200000000001E-2</v>
      </c>
      <c r="G3213">
        <v>0.97298720000000005</v>
      </c>
      <c r="H3213">
        <v>0.6728227</v>
      </c>
      <c r="Q3213" s="10">
        <f t="shared" si="120"/>
        <v>1.3196722725794169E-2</v>
      </c>
      <c r="AI3213">
        <v>4.5984900000000002E-2</v>
      </c>
      <c r="AJ3213">
        <f t="shared" si="119"/>
        <v>4.5984900000000002E-2</v>
      </c>
      <c r="AO3213">
        <v>4.5984900000000002E-2</v>
      </c>
      <c r="AR3213" s="8">
        <v>0</v>
      </c>
      <c r="AS3213">
        <v>7.4189850000000002</v>
      </c>
    </row>
    <row r="3214" spans="1:45" x14ac:dyDescent="0.25">
      <c r="A3214">
        <v>552</v>
      </c>
      <c r="B3214">
        <v>2002</v>
      </c>
      <c r="C3214" s="8">
        <v>0</v>
      </c>
      <c r="D3214">
        <v>0.1105689</v>
      </c>
      <c r="E3214">
        <v>0.19960059999999999</v>
      </c>
      <c r="F3214">
        <v>2.6300400000000002E-2</v>
      </c>
      <c r="G3214">
        <v>0.88005409999999995</v>
      </c>
      <c r="H3214">
        <v>0.56788919999999998</v>
      </c>
      <c r="Q3214" s="10">
        <f t="shared" si="120"/>
        <v>1.714465414795174E-2</v>
      </c>
      <c r="AI3214">
        <v>6.3659800000000002E-2</v>
      </c>
      <c r="AJ3214">
        <f t="shared" si="119"/>
        <v>6.3659800000000002E-2</v>
      </c>
      <c r="AO3214">
        <v>6.3659800000000002E-2</v>
      </c>
      <c r="AR3214" s="8">
        <v>0</v>
      </c>
      <c r="AS3214">
        <v>1.3222100000000001</v>
      </c>
    </row>
    <row r="3215" spans="1:45" x14ac:dyDescent="0.25">
      <c r="A3215">
        <v>552</v>
      </c>
      <c r="B3215">
        <v>2003</v>
      </c>
      <c r="C3215" s="8">
        <v>0</v>
      </c>
      <c r="D3215">
        <v>4.5984900000000002E-2</v>
      </c>
      <c r="E3215">
        <v>0.2298357</v>
      </c>
      <c r="F3215">
        <v>5.31907E-2</v>
      </c>
      <c r="G3215">
        <v>1.0779190000000001</v>
      </c>
      <c r="H3215">
        <v>0.53510029999999997</v>
      </c>
      <c r="Q3215" s="10">
        <f t="shared" si="120"/>
        <v>9.283087318560106E-3</v>
      </c>
      <c r="AI3215">
        <v>4.8798000000000001E-3</v>
      </c>
      <c r="AJ3215">
        <f t="shared" si="119"/>
        <v>4.8798000000000001E-3</v>
      </c>
      <c r="AO3215">
        <v>4.8798000000000001E-3</v>
      </c>
      <c r="AR3215" s="8">
        <v>0</v>
      </c>
      <c r="AS3215">
        <v>0.97298720000000005</v>
      </c>
    </row>
    <row r="3216" spans="1:45" x14ac:dyDescent="0.25">
      <c r="A3216">
        <v>552</v>
      </c>
      <c r="B3216">
        <v>2004</v>
      </c>
      <c r="C3216" s="8">
        <v>0</v>
      </c>
      <c r="D3216">
        <v>6.3659800000000002E-2</v>
      </c>
      <c r="E3216">
        <v>0.2811304</v>
      </c>
      <c r="F3216">
        <v>5.4343599999999999E-2</v>
      </c>
      <c r="G3216">
        <v>1.177098</v>
      </c>
      <c r="H3216">
        <v>0.5807042</v>
      </c>
      <c r="Q3216" s="10">
        <f t="shared" si="120"/>
        <v>7.565929687596536E-3</v>
      </c>
      <c r="AI3216">
        <v>3.4955E-2</v>
      </c>
      <c r="AJ3216">
        <f t="shared" si="119"/>
        <v>3.4955E-2</v>
      </c>
      <c r="AO3216">
        <v>3.4955E-2</v>
      </c>
      <c r="AR3216" s="8">
        <v>0</v>
      </c>
      <c r="AS3216">
        <v>0.88005409999999995</v>
      </c>
    </row>
    <row r="3217" spans="1:45" x14ac:dyDescent="0.25">
      <c r="A3217">
        <v>553</v>
      </c>
      <c r="B3217">
        <v>1995</v>
      </c>
      <c r="C3217" s="8">
        <v>0</v>
      </c>
      <c r="D3217">
        <v>4.8798000000000001E-3</v>
      </c>
      <c r="E3217">
        <v>-0.63809950000000004</v>
      </c>
      <c r="F3217">
        <v>3.9010000000000003E-2</v>
      </c>
      <c r="G3217">
        <v>0.35924109999999998</v>
      </c>
      <c r="H3217">
        <v>0.34768329999999997</v>
      </c>
      <c r="Q3217" s="10">
        <f t="shared" si="120"/>
        <v>9.2565434157683008E-2</v>
      </c>
      <c r="AI3217">
        <v>-0.1153782</v>
      </c>
      <c r="AJ3217">
        <f t="shared" si="119"/>
        <v>-0.113345184</v>
      </c>
      <c r="AO3217">
        <v>-0.113345184</v>
      </c>
      <c r="AR3217" s="8">
        <v>0</v>
      </c>
      <c r="AS3217">
        <v>1.0779190000000001</v>
      </c>
    </row>
    <row r="3218" spans="1:45" x14ac:dyDescent="0.25">
      <c r="A3218">
        <v>553</v>
      </c>
      <c r="B3218">
        <v>1996</v>
      </c>
      <c r="C3218" s="8">
        <v>0</v>
      </c>
      <c r="D3218">
        <v>3.4955E-2</v>
      </c>
      <c r="E3218">
        <v>-0.67265889999999995</v>
      </c>
      <c r="F3218">
        <v>5.4128000000000003E-2</v>
      </c>
      <c r="G3218">
        <v>0.44117640000000002</v>
      </c>
      <c r="H3218">
        <v>0.39271679999999998</v>
      </c>
      <c r="Q3218" s="10">
        <f t="shared" si="120"/>
        <v>7.9908873732380925E-2</v>
      </c>
      <c r="AI3218">
        <v>-0.1133378</v>
      </c>
      <c r="AJ3218">
        <f t="shared" si="119"/>
        <v>-0.1133378</v>
      </c>
      <c r="AO3218">
        <v>-0.1133378</v>
      </c>
      <c r="AR3218" s="8">
        <v>0</v>
      </c>
      <c r="AS3218">
        <v>1.177098</v>
      </c>
    </row>
    <row r="3219" spans="1:45" x14ac:dyDescent="0.25">
      <c r="A3219">
        <v>553</v>
      </c>
      <c r="B3219">
        <v>1997</v>
      </c>
      <c r="C3219" s="8">
        <v>0</v>
      </c>
      <c r="D3219">
        <v>-0.1153782</v>
      </c>
      <c r="E3219">
        <v>-1.365861</v>
      </c>
      <c r="F3219">
        <v>4.0900199999999998E-2</v>
      </c>
      <c r="G3219">
        <v>0.14600379999999999</v>
      </c>
      <c r="H3219">
        <v>0.37079810000000002</v>
      </c>
      <c r="Q3219" s="10">
        <f t="shared" si="120"/>
        <v>0.28184239885515217</v>
      </c>
      <c r="AI3219">
        <v>0.34195779999999998</v>
      </c>
      <c r="AJ3219">
        <f t="shared" si="119"/>
        <v>0.34195779999999998</v>
      </c>
      <c r="AO3219">
        <v>0.34195779999999998</v>
      </c>
      <c r="AR3219" s="8">
        <v>0</v>
      </c>
      <c r="AS3219">
        <v>0.35924109999999998</v>
      </c>
    </row>
    <row r="3220" spans="1:45" x14ac:dyDescent="0.25">
      <c r="A3220">
        <v>553</v>
      </c>
      <c r="B3220">
        <v>1998</v>
      </c>
      <c r="C3220" s="8">
        <v>0</v>
      </c>
      <c r="D3220">
        <v>-0.1133378</v>
      </c>
      <c r="E3220">
        <v>-1.5858760000000001</v>
      </c>
      <c r="F3220">
        <v>3.7358000000000001E-3</v>
      </c>
      <c r="G3220">
        <v>1.3561810000000001</v>
      </c>
      <c r="H3220">
        <v>0.3610643</v>
      </c>
      <c r="Q3220" s="10">
        <f t="shared" si="120"/>
        <v>9.5188070418091172E-2</v>
      </c>
      <c r="AI3220">
        <v>0.18613830000000001</v>
      </c>
      <c r="AJ3220">
        <f t="shared" si="119"/>
        <v>0.18613830000000001</v>
      </c>
      <c r="AO3220">
        <v>0.18613830000000001</v>
      </c>
      <c r="AR3220" s="8">
        <v>0</v>
      </c>
      <c r="AS3220">
        <v>0.44117640000000002</v>
      </c>
    </row>
    <row r="3221" spans="1:45" x14ac:dyDescent="0.25">
      <c r="A3221">
        <v>554</v>
      </c>
      <c r="B3221">
        <v>1997</v>
      </c>
      <c r="C3221" s="8">
        <v>0</v>
      </c>
      <c r="D3221">
        <v>0.34195779999999998</v>
      </c>
      <c r="E3221">
        <v>0.1334458</v>
      </c>
      <c r="F3221">
        <v>6.1921700000000003E-2</v>
      </c>
      <c r="G3221">
        <v>1.8872070000000001</v>
      </c>
      <c r="H3221">
        <v>9.0270100000000006E-2</v>
      </c>
      <c r="Q3221" s="10">
        <f t="shared" si="120"/>
        <v>2.3697002443236795E-3</v>
      </c>
      <c r="AI3221">
        <v>5.75115E-2</v>
      </c>
      <c r="AJ3221">
        <f t="shared" si="119"/>
        <v>5.75115E-2</v>
      </c>
      <c r="AO3221">
        <v>5.75115E-2</v>
      </c>
      <c r="AR3221" s="8">
        <v>0</v>
      </c>
      <c r="AS3221">
        <v>0.14600379999999999</v>
      </c>
    </row>
    <row r="3222" spans="1:45" x14ac:dyDescent="0.25">
      <c r="A3222">
        <v>554</v>
      </c>
      <c r="B3222">
        <v>2000</v>
      </c>
      <c r="C3222" s="8">
        <v>0</v>
      </c>
      <c r="D3222">
        <v>0.18613830000000001</v>
      </c>
      <c r="E3222">
        <v>0.19379959999999999</v>
      </c>
      <c r="F3222">
        <v>2.2119699999999999E-2</v>
      </c>
      <c r="G3222">
        <v>0.90133580000000002</v>
      </c>
      <c r="H3222">
        <v>6.9690299999999997E-2</v>
      </c>
      <c r="Q3222" s="10">
        <f t="shared" si="120"/>
        <v>1.3148106954103586E-2</v>
      </c>
      <c r="AI3222">
        <v>7.1248900000000004E-2</v>
      </c>
      <c r="AJ3222">
        <f t="shared" si="119"/>
        <v>7.1248900000000004E-2</v>
      </c>
      <c r="AO3222">
        <v>7.1248900000000004E-2</v>
      </c>
      <c r="AR3222" s="8">
        <v>0</v>
      </c>
      <c r="AS3222">
        <v>1.3561810000000001</v>
      </c>
    </row>
    <row r="3223" spans="1:45" x14ac:dyDescent="0.25">
      <c r="A3223">
        <v>554</v>
      </c>
      <c r="B3223">
        <v>2001</v>
      </c>
      <c r="C3223" s="8">
        <v>0</v>
      </c>
      <c r="D3223">
        <v>5.75115E-2</v>
      </c>
      <c r="E3223">
        <v>0.2042002</v>
      </c>
      <c r="F3223">
        <v>4.6636999999999998E-2</v>
      </c>
      <c r="G3223">
        <v>0.68105959999999999</v>
      </c>
      <c r="H3223">
        <v>8.3447300000000002E-2</v>
      </c>
      <c r="Q3223" s="10">
        <f t="shared" si="120"/>
        <v>1.4439741754200187E-2</v>
      </c>
      <c r="AI3223">
        <v>4.5559299999999997E-2</v>
      </c>
      <c r="AJ3223">
        <f t="shared" si="119"/>
        <v>4.5559299999999997E-2</v>
      </c>
      <c r="AO3223">
        <v>4.5559299999999997E-2</v>
      </c>
      <c r="AR3223" s="8">
        <v>0</v>
      </c>
      <c r="AS3223">
        <v>1.8872070000000001</v>
      </c>
    </row>
    <row r="3224" spans="1:45" x14ac:dyDescent="0.25">
      <c r="A3224">
        <v>554</v>
      </c>
      <c r="B3224">
        <v>2003</v>
      </c>
      <c r="C3224" s="8">
        <v>0</v>
      </c>
      <c r="D3224">
        <v>7.1248900000000004E-2</v>
      </c>
      <c r="E3224">
        <v>0.16701250000000001</v>
      </c>
      <c r="F3224">
        <v>4.1095100000000002E-2</v>
      </c>
      <c r="G3224">
        <v>0.49145280000000002</v>
      </c>
      <c r="H3224">
        <v>8.3913600000000005E-2</v>
      </c>
      <c r="Q3224" s="10">
        <f t="shared" si="120"/>
        <v>2.1526975882069792E-2</v>
      </c>
      <c r="AI3224">
        <v>2.7701199999999999E-2</v>
      </c>
      <c r="AJ3224">
        <f t="shared" si="119"/>
        <v>2.7701199999999999E-2</v>
      </c>
      <c r="AO3224">
        <v>2.7701199999999999E-2</v>
      </c>
      <c r="AR3224" s="8">
        <v>0</v>
      </c>
      <c r="AS3224">
        <v>0.90133580000000002</v>
      </c>
    </row>
    <row r="3225" spans="1:45" x14ac:dyDescent="0.25">
      <c r="A3225">
        <v>555</v>
      </c>
      <c r="B3225">
        <v>1995</v>
      </c>
      <c r="C3225" s="8">
        <v>0</v>
      </c>
      <c r="D3225">
        <v>4.5559299999999997E-2</v>
      </c>
      <c r="E3225">
        <v>2.65052E-2</v>
      </c>
      <c r="F3225">
        <v>5.0433400000000003E-2</v>
      </c>
      <c r="G3225">
        <v>0.43023470000000003</v>
      </c>
      <c r="H3225">
        <v>0.1730729</v>
      </c>
      <c r="Q3225" s="10">
        <f t="shared" si="120"/>
        <v>2.8060834042632172E-2</v>
      </c>
      <c r="AI3225">
        <v>4.5239099999999997E-2</v>
      </c>
      <c r="AJ3225">
        <f t="shared" si="119"/>
        <v>4.5239099999999997E-2</v>
      </c>
      <c r="AO3225">
        <v>4.5239099999999997E-2</v>
      </c>
      <c r="AR3225" s="8">
        <v>0</v>
      </c>
      <c r="AS3225">
        <v>0.68105959999999999</v>
      </c>
    </row>
    <row r="3226" spans="1:45" x14ac:dyDescent="0.25">
      <c r="A3226">
        <v>555</v>
      </c>
      <c r="B3226">
        <v>1996</v>
      </c>
      <c r="C3226" s="8">
        <v>0</v>
      </c>
      <c r="D3226">
        <v>2.7701199999999999E-2</v>
      </c>
      <c r="E3226">
        <v>2.3847299999999998E-2</v>
      </c>
      <c r="F3226">
        <v>4.3039399999999998E-2</v>
      </c>
      <c r="G3226">
        <v>0.47020119999999999</v>
      </c>
      <c r="H3226">
        <v>0.17780009999999999</v>
      </c>
      <c r="Q3226" s="10">
        <f t="shared" si="120"/>
        <v>2.7920677610462175E-2</v>
      </c>
      <c r="AI3226">
        <v>1.58523E-2</v>
      </c>
      <c r="AJ3226">
        <f t="shared" si="119"/>
        <v>1.58523E-2</v>
      </c>
      <c r="AO3226">
        <v>1.58523E-2</v>
      </c>
      <c r="AR3226" s="8">
        <v>0</v>
      </c>
      <c r="AS3226">
        <v>0.49145280000000002</v>
      </c>
    </row>
    <row r="3227" spans="1:45" x14ac:dyDescent="0.25">
      <c r="A3227">
        <v>555</v>
      </c>
      <c r="B3227">
        <v>1997</v>
      </c>
      <c r="C3227" s="8">
        <v>0</v>
      </c>
      <c r="D3227">
        <v>4.5239099999999997E-2</v>
      </c>
      <c r="E3227">
        <v>1.38012E-2</v>
      </c>
      <c r="F3227">
        <v>7.0658700000000005E-2</v>
      </c>
      <c r="G3227">
        <v>0.61263389999999995</v>
      </c>
      <c r="H3227">
        <v>0.1887943</v>
      </c>
      <c r="Q3227" s="10">
        <f t="shared" si="120"/>
        <v>1.8536736983828784E-2</v>
      </c>
      <c r="AI3227">
        <v>2.7541599999999999E-2</v>
      </c>
      <c r="AJ3227">
        <f t="shared" si="119"/>
        <v>2.7541599999999999E-2</v>
      </c>
      <c r="AO3227">
        <v>2.7541599999999999E-2</v>
      </c>
      <c r="AR3227" s="8">
        <v>0</v>
      </c>
      <c r="AS3227">
        <v>0.43023470000000003</v>
      </c>
    </row>
    <row r="3228" spans="1:45" x14ac:dyDescent="0.25">
      <c r="A3228">
        <v>555</v>
      </c>
      <c r="B3228">
        <v>1998</v>
      </c>
      <c r="C3228" s="8">
        <v>0</v>
      </c>
      <c r="D3228">
        <v>1.58523E-2</v>
      </c>
      <c r="E3228">
        <v>-1.6218300000000001E-2</v>
      </c>
      <c r="F3228">
        <v>3.1976499999999998E-2</v>
      </c>
      <c r="G3228">
        <v>0.47477390000000003</v>
      </c>
      <c r="H3228">
        <v>0.11517230000000001</v>
      </c>
      <c r="Q3228" s="10">
        <f t="shared" si="120"/>
        <v>3.0639999061314493E-2</v>
      </c>
      <c r="AI3228">
        <v>0.11538470000000001</v>
      </c>
      <c r="AJ3228">
        <f t="shared" si="119"/>
        <v>0.11538470000000001</v>
      </c>
      <c r="AO3228">
        <v>0.11538470000000001</v>
      </c>
      <c r="AR3228" s="8">
        <v>0</v>
      </c>
      <c r="AS3228">
        <v>0.47020119999999999</v>
      </c>
    </row>
    <row r="3229" spans="1:45" x14ac:dyDescent="0.25">
      <c r="A3229">
        <v>555</v>
      </c>
      <c r="B3229">
        <v>1999</v>
      </c>
      <c r="C3229" s="8">
        <v>0</v>
      </c>
      <c r="D3229">
        <v>2.7541599999999999E-2</v>
      </c>
      <c r="E3229">
        <v>1.4231499999999999E-2</v>
      </c>
      <c r="F3229">
        <v>6.5545099999999995E-2</v>
      </c>
      <c r="G3229">
        <v>0.4285176</v>
      </c>
      <c r="H3229">
        <v>0.22125110000000001</v>
      </c>
      <c r="Q3229" s="10">
        <f t="shared" si="120"/>
        <v>2.6012415092459683E-2</v>
      </c>
      <c r="AI3229">
        <v>9.2629799999999998E-2</v>
      </c>
      <c r="AJ3229">
        <f t="shared" si="119"/>
        <v>9.2629799999999998E-2</v>
      </c>
      <c r="AO3229">
        <v>9.2629799999999998E-2</v>
      </c>
      <c r="AR3229" s="8">
        <v>0</v>
      </c>
      <c r="AS3229">
        <v>0.61263389999999995</v>
      </c>
    </row>
    <row r="3230" spans="1:45" x14ac:dyDescent="0.25">
      <c r="A3230">
        <v>556</v>
      </c>
      <c r="B3230">
        <v>1995</v>
      </c>
      <c r="C3230" s="8">
        <v>0</v>
      </c>
      <c r="D3230">
        <v>0.11538470000000001</v>
      </c>
      <c r="E3230">
        <v>0.189137</v>
      </c>
      <c r="F3230">
        <v>5.0217999999999999E-2</v>
      </c>
      <c r="G3230">
        <v>0.72867360000000003</v>
      </c>
      <c r="H3230">
        <v>0.27092939999999999</v>
      </c>
      <c r="Q3230" s="10">
        <f t="shared" si="120"/>
        <v>1.5282040026250339E-2</v>
      </c>
      <c r="AI3230">
        <v>0.13055459999999999</v>
      </c>
      <c r="AJ3230">
        <f t="shared" si="119"/>
        <v>0.13055459999999999</v>
      </c>
      <c r="AO3230">
        <v>0.13055459999999999</v>
      </c>
      <c r="AR3230" s="8">
        <v>0</v>
      </c>
      <c r="AS3230">
        <v>0.47477390000000003</v>
      </c>
    </row>
    <row r="3231" spans="1:45" x14ac:dyDescent="0.25">
      <c r="A3231">
        <v>556</v>
      </c>
      <c r="B3231">
        <v>1996</v>
      </c>
      <c r="C3231" s="8">
        <v>0</v>
      </c>
      <c r="D3231">
        <v>9.2629799999999998E-2</v>
      </c>
      <c r="E3231">
        <v>0.19683990000000001</v>
      </c>
      <c r="F3231">
        <v>3.9444399999999998E-2</v>
      </c>
      <c r="G3231">
        <v>0.89109850000000002</v>
      </c>
      <c r="H3231">
        <v>0.2602836</v>
      </c>
      <c r="Q3231" s="10">
        <f t="shared" si="120"/>
        <v>1.2548022413038228E-2</v>
      </c>
      <c r="AI3231">
        <v>9.7606799999999994E-2</v>
      </c>
      <c r="AJ3231">
        <f t="shared" si="119"/>
        <v>9.7606799999999994E-2</v>
      </c>
      <c r="AO3231">
        <v>9.7606799999999994E-2</v>
      </c>
      <c r="AR3231" s="8">
        <v>0</v>
      </c>
      <c r="AS3231">
        <v>0.4285176</v>
      </c>
    </row>
    <row r="3232" spans="1:45" x14ac:dyDescent="0.25">
      <c r="A3232">
        <v>556</v>
      </c>
      <c r="B3232">
        <v>1997</v>
      </c>
      <c r="C3232" s="8">
        <v>0</v>
      </c>
      <c r="D3232">
        <v>0.13055459999999999</v>
      </c>
      <c r="E3232">
        <v>0.1985355</v>
      </c>
      <c r="F3232">
        <v>5.4291699999999998E-2</v>
      </c>
      <c r="G3232">
        <v>1.019587</v>
      </c>
      <c r="H3232">
        <v>0.27260519999999999</v>
      </c>
      <c r="Q3232" s="10">
        <f t="shared" si="120"/>
        <v>9.3018054401198223E-3</v>
      </c>
      <c r="AI3232">
        <v>3.9755600000000002E-2</v>
      </c>
      <c r="AJ3232">
        <f t="shared" si="119"/>
        <v>3.9755600000000002E-2</v>
      </c>
      <c r="AO3232">
        <v>3.9755600000000002E-2</v>
      </c>
      <c r="AR3232" s="8">
        <v>0</v>
      </c>
      <c r="AS3232">
        <v>0.72867360000000003</v>
      </c>
    </row>
    <row r="3233" spans="1:45" x14ac:dyDescent="0.25">
      <c r="A3233">
        <v>556</v>
      </c>
      <c r="B3233">
        <v>1998</v>
      </c>
      <c r="C3233" s="8">
        <v>0</v>
      </c>
      <c r="D3233">
        <v>9.7606799999999994E-2</v>
      </c>
      <c r="E3233">
        <v>0.21779090000000001</v>
      </c>
      <c r="F3233">
        <v>5.6508200000000001E-2</v>
      </c>
      <c r="G3233">
        <v>0.90502159999999998</v>
      </c>
      <c r="H3233">
        <v>0.2415253</v>
      </c>
      <c r="Q3233" s="10">
        <f t="shared" si="120"/>
        <v>1.0310049977883E-2</v>
      </c>
      <c r="AI3233">
        <v>0.76604019999999995</v>
      </c>
      <c r="AJ3233">
        <f t="shared" si="119"/>
        <v>0.52051970800000003</v>
      </c>
      <c r="AO3233">
        <v>0.52051970800000003</v>
      </c>
      <c r="AR3233" s="8">
        <v>0</v>
      </c>
      <c r="AS3233">
        <v>0.89109850000000002</v>
      </c>
    </row>
    <row r="3234" spans="1:45" x14ac:dyDescent="0.25">
      <c r="A3234">
        <v>556</v>
      </c>
      <c r="B3234">
        <v>1999</v>
      </c>
      <c r="C3234" s="8">
        <v>0</v>
      </c>
      <c r="D3234">
        <v>3.9755600000000002E-2</v>
      </c>
      <c r="E3234">
        <v>0.2238077</v>
      </c>
      <c r="F3234">
        <v>5.1474899999999997E-2</v>
      </c>
      <c r="G3234">
        <v>1.294319</v>
      </c>
      <c r="H3234">
        <v>0.27447199999999999</v>
      </c>
      <c r="Q3234" s="10">
        <f t="shared" si="120"/>
        <v>5.7277004693001609E-3</v>
      </c>
      <c r="AI3234">
        <v>0.75318390000000002</v>
      </c>
      <c r="AJ3234">
        <f t="shared" si="119"/>
        <v>0.52051970800000003</v>
      </c>
      <c r="AO3234">
        <v>0.52051970800000003</v>
      </c>
      <c r="AR3234" s="8">
        <v>0</v>
      </c>
      <c r="AS3234">
        <v>1.019587</v>
      </c>
    </row>
    <row r="3235" spans="1:45" x14ac:dyDescent="0.25">
      <c r="A3235">
        <v>557</v>
      </c>
      <c r="B3235">
        <v>1995</v>
      </c>
      <c r="C3235" s="8">
        <v>0</v>
      </c>
      <c r="D3235">
        <v>0.76604019999999995</v>
      </c>
      <c r="E3235">
        <v>8.3312499999999998E-2</v>
      </c>
      <c r="F3235">
        <v>5.5524299999999999E-2</v>
      </c>
      <c r="G3235">
        <v>1.067863</v>
      </c>
      <c r="H3235">
        <v>0.37993090000000002</v>
      </c>
      <c r="Q3235" s="10">
        <f t="shared" si="120"/>
        <v>1.3958588769740295E-2</v>
      </c>
      <c r="AI3235">
        <v>0.7440544</v>
      </c>
      <c r="AJ3235">
        <f t="shared" si="119"/>
        <v>0.52051970800000003</v>
      </c>
      <c r="AO3235">
        <v>0.52051970800000003</v>
      </c>
      <c r="AR3235" s="8">
        <v>0</v>
      </c>
      <c r="AS3235">
        <v>0.90502159999999998</v>
      </c>
    </row>
    <row r="3236" spans="1:45" x14ac:dyDescent="0.25">
      <c r="A3236">
        <v>557</v>
      </c>
      <c r="B3236">
        <v>1996</v>
      </c>
      <c r="C3236" s="8">
        <v>0</v>
      </c>
      <c r="D3236">
        <v>0.75318390000000002</v>
      </c>
      <c r="E3236">
        <v>5.7469100000000002E-2</v>
      </c>
      <c r="F3236">
        <v>5.7751400000000001E-2</v>
      </c>
      <c r="G3236">
        <v>0.76538649999999997</v>
      </c>
      <c r="H3236">
        <v>0.40564850000000002</v>
      </c>
      <c r="Q3236" s="10">
        <f t="shared" si="120"/>
        <v>2.3085232874977341E-2</v>
      </c>
      <c r="AI3236">
        <v>0.71747490000000003</v>
      </c>
      <c r="AJ3236">
        <f t="shared" si="119"/>
        <v>0.52051970800000003</v>
      </c>
      <c r="AO3236">
        <v>0.52051970800000003</v>
      </c>
      <c r="AR3236" s="8">
        <v>0</v>
      </c>
      <c r="AS3236">
        <v>1.294319</v>
      </c>
    </row>
    <row r="3237" spans="1:45" x14ac:dyDescent="0.25">
      <c r="A3237">
        <v>557</v>
      </c>
      <c r="B3237">
        <v>1997</v>
      </c>
      <c r="C3237" s="8">
        <v>0</v>
      </c>
      <c r="D3237">
        <v>0.7440544</v>
      </c>
      <c r="E3237">
        <v>9.3911300000000003E-2</v>
      </c>
      <c r="F3237">
        <v>7.0257799999999995E-2</v>
      </c>
      <c r="G3237">
        <v>1.024821</v>
      </c>
      <c r="H3237">
        <v>0.42312660000000002</v>
      </c>
      <c r="Q3237" s="10">
        <f t="shared" si="120"/>
        <v>1.3326056228039994E-2</v>
      </c>
      <c r="AI3237">
        <v>0.69584630000000003</v>
      </c>
      <c r="AJ3237">
        <f t="shared" si="119"/>
        <v>0.52051970800000003</v>
      </c>
      <c r="AO3237">
        <v>0.52051970800000003</v>
      </c>
      <c r="AR3237" s="8">
        <v>0</v>
      </c>
      <c r="AS3237">
        <v>1.067863</v>
      </c>
    </row>
    <row r="3238" spans="1:45" x14ac:dyDescent="0.25">
      <c r="A3238">
        <v>557</v>
      </c>
      <c r="B3238">
        <v>1998</v>
      </c>
      <c r="C3238" s="8">
        <v>0</v>
      </c>
      <c r="D3238">
        <v>0.71747490000000003</v>
      </c>
      <c r="E3238">
        <v>8.7736900000000007E-2</v>
      </c>
      <c r="F3238">
        <v>5.3485999999999999E-2</v>
      </c>
      <c r="G3238">
        <v>0.4198171</v>
      </c>
      <c r="H3238">
        <v>0.38755679999999998</v>
      </c>
      <c r="Q3238" s="10">
        <f t="shared" si="120"/>
        <v>3.803727547753722E-2</v>
      </c>
      <c r="AI3238">
        <v>0.7365564</v>
      </c>
      <c r="AJ3238">
        <f t="shared" si="119"/>
        <v>0.52051970800000003</v>
      </c>
      <c r="AO3238">
        <v>0.52051970800000003</v>
      </c>
      <c r="AR3238" s="8">
        <v>0</v>
      </c>
      <c r="AS3238">
        <v>0.76538649999999997</v>
      </c>
    </row>
    <row r="3239" spans="1:45" x14ac:dyDescent="0.25">
      <c r="A3239">
        <v>557</v>
      </c>
      <c r="B3239">
        <v>1999</v>
      </c>
      <c r="C3239" s="8">
        <v>0</v>
      </c>
      <c r="D3239">
        <v>0.69584630000000003</v>
      </c>
      <c r="E3239">
        <v>0.10151250000000001</v>
      </c>
      <c r="F3239">
        <v>6.4079899999999995E-2</v>
      </c>
      <c r="G3239">
        <v>0.71603779999999995</v>
      </c>
      <c r="H3239">
        <v>0.46618510000000002</v>
      </c>
      <c r="Q3239" s="10">
        <f t="shared" si="120"/>
        <v>2.2588405600937472E-2</v>
      </c>
      <c r="AI3239">
        <v>0.68053490000000005</v>
      </c>
      <c r="AJ3239">
        <f t="shared" si="119"/>
        <v>0.52051970800000003</v>
      </c>
      <c r="AO3239">
        <v>0.52051970800000003</v>
      </c>
      <c r="AR3239" s="8">
        <v>0</v>
      </c>
      <c r="AS3239">
        <v>1.024821</v>
      </c>
    </row>
    <row r="3240" spans="1:45" x14ac:dyDescent="0.25">
      <c r="A3240">
        <v>557</v>
      </c>
      <c r="B3240">
        <v>2000</v>
      </c>
      <c r="C3240" s="8">
        <v>0</v>
      </c>
      <c r="D3240">
        <v>0.7365564</v>
      </c>
      <c r="E3240">
        <v>0.12640940000000001</v>
      </c>
      <c r="F3240">
        <v>6.5283400000000005E-2</v>
      </c>
      <c r="G3240">
        <v>0.62884059999999997</v>
      </c>
      <c r="H3240">
        <v>0.4222785</v>
      </c>
      <c r="Q3240" s="10">
        <f t="shared" si="120"/>
        <v>2.4490337164170563E-2</v>
      </c>
      <c r="AI3240">
        <v>0.72512540000000003</v>
      </c>
      <c r="AJ3240">
        <f t="shared" si="119"/>
        <v>0.52051970800000003</v>
      </c>
      <c r="AO3240">
        <v>0.52051970800000003</v>
      </c>
      <c r="AR3240" s="8">
        <v>0</v>
      </c>
      <c r="AS3240">
        <v>0.4198171</v>
      </c>
    </row>
    <row r="3241" spans="1:45" x14ac:dyDescent="0.25">
      <c r="A3241">
        <v>557</v>
      </c>
      <c r="B3241">
        <v>2001</v>
      </c>
      <c r="C3241" s="8">
        <v>0</v>
      </c>
      <c r="D3241">
        <v>0.68053490000000005</v>
      </c>
      <c r="E3241">
        <v>8.3685999999999997E-2</v>
      </c>
      <c r="F3241">
        <v>3.1368E-2</v>
      </c>
      <c r="G3241">
        <v>0.75484450000000003</v>
      </c>
      <c r="H3241">
        <v>0.42805110000000002</v>
      </c>
      <c r="Q3241" s="10">
        <f t="shared" si="120"/>
        <v>2.7339406230944864E-2</v>
      </c>
      <c r="AI3241">
        <v>0.65391960000000005</v>
      </c>
      <c r="AJ3241">
        <f t="shared" si="119"/>
        <v>0.52051970800000003</v>
      </c>
      <c r="AO3241">
        <v>0.52051970800000003</v>
      </c>
      <c r="AR3241" s="8">
        <v>0</v>
      </c>
      <c r="AS3241">
        <v>0.71603779999999995</v>
      </c>
    </row>
    <row r="3242" spans="1:45" x14ac:dyDescent="0.25">
      <c r="A3242">
        <v>557</v>
      </c>
      <c r="B3242">
        <v>2002</v>
      </c>
      <c r="C3242" s="8">
        <v>0</v>
      </c>
      <c r="D3242">
        <v>0.72512540000000003</v>
      </c>
      <c r="E3242">
        <v>-5.6423000000000003E-3</v>
      </c>
      <c r="F3242">
        <v>3.8696500000000002E-2</v>
      </c>
      <c r="G3242">
        <v>0.54861499999999996</v>
      </c>
      <c r="H3242">
        <v>0.47313070000000002</v>
      </c>
      <c r="Q3242" s="10">
        <f t="shared" si="120"/>
        <v>4.2072367761543362E-2</v>
      </c>
      <c r="AI3242">
        <v>0.25429089999999999</v>
      </c>
      <c r="AJ3242">
        <f t="shared" si="119"/>
        <v>0.25429089999999999</v>
      </c>
      <c r="AO3242">
        <v>0.25429089999999999</v>
      </c>
      <c r="AR3242" s="8">
        <v>0</v>
      </c>
      <c r="AS3242">
        <v>0.62884059999999997</v>
      </c>
    </row>
    <row r="3243" spans="1:45" x14ac:dyDescent="0.25">
      <c r="A3243">
        <v>557</v>
      </c>
      <c r="B3243">
        <v>2003</v>
      </c>
      <c r="C3243" s="8">
        <v>0</v>
      </c>
      <c r="D3243">
        <v>0.65391960000000005</v>
      </c>
      <c r="E3243">
        <v>4.2740500000000001E-2</v>
      </c>
      <c r="F3243">
        <v>5.1459699999999997E-2</v>
      </c>
      <c r="G3243">
        <v>0.67836609999999997</v>
      </c>
      <c r="H3243">
        <v>0.53624590000000005</v>
      </c>
      <c r="Q3243" s="10">
        <f t="shared" si="120"/>
        <v>2.9455165395397487E-2</v>
      </c>
      <c r="AI3243">
        <v>0.285939</v>
      </c>
      <c r="AJ3243">
        <f t="shared" si="119"/>
        <v>0.285939</v>
      </c>
      <c r="AO3243">
        <v>0.285939</v>
      </c>
      <c r="AR3243" s="8">
        <v>0</v>
      </c>
      <c r="AS3243">
        <v>0.75484450000000003</v>
      </c>
    </row>
    <row r="3244" spans="1:45" x14ac:dyDescent="0.25">
      <c r="A3244">
        <v>558</v>
      </c>
      <c r="B3244">
        <v>1995</v>
      </c>
      <c r="C3244" s="8">
        <v>0</v>
      </c>
      <c r="D3244">
        <v>0.25429089999999999</v>
      </c>
      <c r="E3244">
        <v>0.32870719999999998</v>
      </c>
      <c r="F3244">
        <v>4.5104900000000003E-2</v>
      </c>
      <c r="G3244">
        <v>1.056489</v>
      </c>
      <c r="H3244">
        <v>0.22911329999999999</v>
      </c>
      <c r="Q3244" s="10">
        <f t="shared" si="120"/>
        <v>8.0143730192954437E-3</v>
      </c>
      <c r="AI3244">
        <v>0.27912229999999999</v>
      </c>
      <c r="AJ3244">
        <f t="shared" si="119"/>
        <v>0.27912229999999999</v>
      </c>
      <c r="AO3244">
        <v>0.27912229999999999</v>
      </c>
      <c r="AR3244" s="8">
        <v>0</v>
      </c>
      <c r="AS3244">
        <v>0.54861499999999996</v>
      </c>
    </row>
    <row r="3245" spans="1:45" x14ac:dyDescent="0.25">
      <c r="A3245">
        <v>558</v>
      </c>
      <c r="B3245">
        <v>1996</v>
      </c>
      <c r="C3245" s="8">
        <v>0</v>
      </c>
      <c r="D3245">
        <v>0.285939</v>
      </c>
      <c r="E3245">
        <v>0.3856387</v>
      </c>
      <c r="F3245">
        <v>4.7522399999999999E-2</v>
      </c>
      <c r="G3245">
        <v>1.84663</v>
      </c>
      <c r="H3245">
        <v>0.22153970000000001</v>
      </c>
      <c r="Q3245" s="10">
        <f t="shared" si="120"/>
        <v>2.0840993333504291E-3</v>
      </c>
      <c r="AI3245">
        <v>0.20438490000000001</v>
      </c>
      <c r="AJ3245">
        <f t="shared" si="119"/>
        <v>0.20438490000000001</v>
      </c>
      <c r="AO3245">
        <v>0.20438490000000001</v>
      </c>
      <c r="AR3245" s="8">
        <v>0</v>
      </c>
      <c r="AS3245">
        <v>0.67836609999999997</v>
      </c>
    </row>
    <row r="3246" spans="1:45" x14ac:dyDescent="0.25">
      <c r="A3246">
        <v>558</v>
      </c>
      <c r="B3246">
        <v>1997</v>
      </c>
      <c r="C3246" s="8">
        <v>0</v>
      </c>
      <c r="D3246">
        <v>0.27912229999999999</v>
      </c>
      <c r="E3246">
        <v>0.48431360000000001</v>
      </c>
      <c r="F3246">
        <v>3.9432700000000001E-2</v>
      </c>
      <c r="G3246">
        <v>1.775755</v>
      </c>
      <c r="H3246">
        <v>0.1904545</v>
      </c>
      <c r="Q3246" s="10">
        <f t="shared" si="120"/>
        <v>2.1093991192680764E-3</v>
      </c>
      <c r="AI3246">
        <v>0.15991830000000001</v>
      </c>
      <c r="AJ3246">
        <f t="shared" si="119"/>
        <v>0.15991830000000001</v>
      </c>
      <c r="AO3246">
        <v>0.15991830000000001</v>
      </c>
      <c r="AR3246" s="8">
        <v>0</v>
      </c>
      <c r="AS3246">
        <v>1.056489</v>
      </c>
    </row>
    <row r="3247" spans="1:45" x14ac:dyDescent="0.25">
      <c r="A3247">
        <v>558</v>
      </c>
      <c r="B3247">
        <v>1998</v>
      </c>
      <c r="C3247" s="8">
        <v>0</v>
      </c>
      <c r="D3247">
        <v>0.20438490000000001</v>
      </c>
      <c r="E3247">
        <v>0.45567970000000002</v>
      </c>
      <c r="F3247">
        <v>2.5000999999999999E-2</v>
      </c>
      <c r="G3247">
        <v>1.1357330000000001</v>
      </c>
      <c r="H3247">
        <v>0.2013683</v>
      </c>
      <c r="Q3247" s="10">
        <f t="shared" si="120"/>
        <v>6.6501857856342281E-3</v>
      </c>
      <c r="AI3247">
        <v>0.31418629999999997</v>
      </c>
      <c r="AJ3247">
        <f t="shared" si="119"/>
        <v>0.31418629999999997</v>
      </c>
      <c r="AO3247">
        <v>0.31418629999999997</v>
      </c>
      <c r="AR3247" s="8">
        <v>0</v>
      </c>
      <c r="AS3247">
        <v>1.84663</v>
      </c>
    </row>
    <row r="3248" spans="1:45" x14ac:dyDescent="0.25">
      <c r="A3248">
        <v>558</v>
      </c>
      <c r="B3248">
        <v>1999</v>
      </c>
      <c r="C3248" s="8">
        <v>0</v>
      </c>
      <c r="D3248">
        <v>0.15991830000000001</v>
      </c>
      <c r="E3248">
        <v>0.39845259999999999</v>
      </c>
      <c r="F3248">
        <v>3.4320299999999998E-2</v>
      </c>
      <c r="G3248">
        <v>1.565941</v>
      </c>
      <c r="H3248">
        <v>0.2533551</v>
      </c>
      <c r="Q3248" s="10">
        <f t="shared" si="120"/>
        <v>3.4375228803759641E-3</v>
      </c>
      <c r="AI3248">
        <v>0.27729799999999999</v>
      </c>
      <c r="AJ3248">
        <f t="shared" si="119"/>
        <v>0.27729799999999999</v>
      </c>
      <c r="AO3248">
        <v>0.27729799999999999</v>
      </c>
      <c r="AR3248" s="8">
        <v>0</v>
      </c>
      <c r="AS3248">
        <v>1.775755</v>
      </c>
    </row>
    <row r="3249" spans="1:45" x14ac:dyDescent="0.25">
      <c r="A3249">
        <v>559</v>
      </c>
      <c r="B3249">
        <v>1995</v>
      </c>
      <c r="C3249" s="8">
        <v>0</v>
      </c>
      <c r="D3249">
        <v>0.31418629999999997</v>
      </c>
      <c r="E3249">
        <v>0.39109319999999997</v>
      </c>
      <c r="F3249">
        <v>7.7669199999999994E-2</v>
      </c>
      <c r="G3249">
        <v>1.5514699999999999</v>
      </c>
      <c r="H3249">
        <v>0.53341970000000005</v>
      </c>
      <c r="Q3249" s="10">
        <f t="shared" si="120"/>
        <v>3.1883448085511011E-3</v>
      </c>
      <c r="AI3249">
        <v>0.2337881</v>
      </c>
      <c r="AJ3249">
        <f t="shared" si="119"/>
        <v>0.2337881</v>
      </c>
      <c r="AO3249">
        <v>0.2337881</v>
      </c>
      <c r="AR3249" s="8">
        <v>0</v>
      </c>
      <c r="AS3249">
        <v>1.1357330000000001</v>
      </c>
    </row>
    <row r="3250" spans="1:45" x14ac:dyDescent="0.25">
      <c r="A3250">
        <v>559</v>
      </c>
      <c r="B3250">
        <v>1996</v>
      </c>
      <c r="C3250" s="8">
        <v>0</v>
      </c>
      <c r="D3250">
        <v>0.27729799999999999</v>
      </c>
      <c r="E3250">
        <v>0.19755900000000001</v>
      </c>
      <c r="F3250">
        <v>6.6762299999999997E-2</v>
      </c>
      <c r="G3250">
        <v>1.3638779999999999</v>
      </c>
      <c r="H3250">
        <v>0.43068079999999997</v>
      </c>
      <c r="Q3250" s="10">
        <f t="shared" si="120"/>
        <v>5.729264021337695E-3</v>
      </c>
      <c r="AI3250">
        <v>3.9377299999999997E-2</v>
      </c>
      <c r="AJ3250">
        <f t="shared" si="119"/>
        <v>3.9377299999999997E-2</v>
      </c>
      <c r="AO3250">
        <v>3.9377299999999997E-2</v>
      </c>
      <c r="AR3250" s="8">
        <v>0</v>
      </c>
      <c r="AS3250">
        <v>1.565941</v>
      </c>
    </row>
    <row r="3251" spans="1:45" x14ac:dyDescent="0.25">
      <c r="A3251">
        <v>559</v>
      </c>
      <c r="B3251">
        <v>1997</v>
      </c>
      <c r="C3251" s="8">
        <v>0</v>
      </c>
      <c r="D3251">
        <v>0.2337881</v>
      </c>
      <c r="E3251">
        <v>0.20743130000000001</v>
      </c>
      <c r="F3251">
        <v>6.3237799999999997E-2</v>
      </c>
      <c r="G3251">
        <v>1.7906869999999999</v>
      </c>
      <c r="H3251">
        <v>0.45686389999999999</v>
      </c>
      <c r="Q3251" s="10">
        <f t="shared" si="120"/>
        <v>2.9454358638445078E-3</v>
      </c>
      <c r="AI3251">
        <v>9.4273200000000001E-2</v>
      </c>
      <c r="AJ3251">
        <f t="shared" si="119"/>
        <v>9.4273200000000001E-2</v>
      </c>
      <c r="AO3251">
        <v>9.4273200000000001E-2</v>
      </c>
      <c r="AR3251" s="8">
        <v>0</v>
      </c>
      <c r="AS3251">
        <v>1.5514699999999999</v>
      </c>
    </row>
    <row r="3252" spans="1:45" x14ac:dyDescent="0.25">
      <c r="A3252">
        <v>559</v>
      </c>
      <c r="B3252">
        <v>1998</v>
      </c>
      <c r="C3252" s="8">
        <v>0</v>
      </c>
      <c r="D3252">
        <v>3.9377299999999997E-2</v>
      </c>
      <c r="E3252">
        <v>0.1543274</v>
      </c>
      <c r="F3252">
        <v>3.5406600000000003E-2</v>
      </c>
      <c r="G3252">
        <v>1.459516</v>
      </c>
      <c r="H3252">
        <v>0.3781986</v>
      </c>
      <c r="Q3252" s="10">
        <f t="shared" si="120"/>
        <v>5.9035984230235445E-3</v>
      </c>
      <c r="AI3252">
        <v>0.26884789999999997</v>
      </c>
      <c r="AJ3252">
        <f t="shared" si="119"/>
        <v>0.26884789999999997</v>
      </c>
      <c r="AO3252">
        <v>0.26884789999999997</v>
      </c>
      <c r="AR3252" s="8">
        <v>0</v>
      </c>
      <c r="AS3252">
        <v>1.3638779999999999</v>
      </c>
    </row>
    <row r="3253" spans="1:45" x14ac:dyDescent="0.25">
      <c r="A3253">
        <v>559</v>
      </c>
      <c r="B3253">
        <v>1999</v>
      </c>
      <c r="C3253" s="8">
        <v>0</v>
      </c>
      <c r="D3253">
        <v>9.4273200000000001E-2</v>
      </c>
      <c r="E3253">
        <v>-0.11486440000000001</v>
      </c>
      <c r="F3253">
        <v>-3.5434500000000001E-2</v>
      </c>
      <c r="G3253">
        <v>0.23453470000000001</v>
      </c>
      <c r="H3253">
        <v>0.384517</v>
      </c>
      <c r="Q3253" s="10">
        <f t="shared" si="120"/>
        <v>0.10070531242779375</v>
      </c>
      <c r="AI3253">
        <v>0.27289269999999999</v>
      </c>
      <c r="AJ3253">
        <f t="shared" si="119"/>
        <v>0.27289269999999999</v>
      </c>
      <c r="AO3253">
        <v>0.27289269999999999</v>
      </c>
      <c r="AR3253" s="8">
        <v>0</v>
      </c>
      <c r="AS3253">
        <v>1.7906869999999999</v>
      </c>
    </row>
    <row r="3254" spans="1:45" x14ac:dyDescent="0.25">
      <c r="A3254">
        <v>559</v>
      </c>
      <c r="B3254">
        <v>2000</v>
      </c>
      <c r="C3254" s="8">
        <v>0</v>
      </c>
      <c r="D3254">
        <v>0.26884789999999997</v>
      </c>
      <c r="E3254">
        <v>-0.36336190000000002</v>
      </c>
      <c r="F3254">
        <v>1.0729799999999999E-2</v>
      </c>
      <c r="G3254">
        <v>0.23812729999999999</v>
      </c>
      <c r="H3254">
        <v>0.55784889999999998</v>
      </c>
      <c r="Q3254" s="10">
        <f t="shared" si="120"/>
        <v>0.1167753324849095</v>
      </c>
      <c r="AI3254">
        <v>0.30462590000000001</v>
      </c>
      <c r="AJ3254">
        <f t="shared" si="119"/>
        <v>0.30462590000000001</v>
      </c>
      <c r="AO3254">
        <v>0.30462590000000001</v>
      </c>
      <c r="AR3254" s="8">
        <v>0</v>
      </c>
      <c r="AS3254">
        <v>1.459516</v>
      </c>
    </row>
    <row r="3255" spans="1:45" x14ac:dyDescent="0.25">
      <c r="A3255">
        <v>559</v>
      </c>
      <c r="B3255">
        <v>2001</v>
      </c>
      <c r="C3255" s="8">
        <v>0</v>
      </c>
      <c r="D3255">
        <v>0.27289269999999999</v>
      </c>
      <c r="E3255">
        <v>-0.58428219999999997</v>
      </c>
      <c r="F3255">
        <v>2.4110900000000001E-2</v>
      </c>
      <c r="G3255">
        <v>0.29829250000000002</v>
      </c>
      <c r="H3255">
        <v>0.659389</v>
      </c>
      <c r="Q3255" s="10">
        <f t="shared" si="120"/>
        <v>0.13700191682051524</v>
      </c>
      <c r="AI3255">
        <v>0.33331270000000002</v>
      </c>
      <c r="AJ3255">
        <f t="shared" si="119"/>
        <v>0.33331270000000002</v>
      </c>
      <c r="AO3255">
        <v>0.33331270000000002</v>
      </c>
      <c r="AR3255" s="8">
        <v>0</v>
      </c>
      <c r="AS3255">
        <v>0.23453470000000001</v>
      </c>
    </row>
    <row r="3256" spans="1:45" x14ac:dyDescent="0.25">
      <c r="A3256">
        <v>559</v>
      </c>
      <c r="B3256">
        <v>2002</v>
      </c>
      <c r="C3256" s="8">
        <v>0</v>
      </c>
      <c r="D3256">
        <v>0.30462590000000001</v>
      </c>
      <c r="E3256">
        <v>-0.64956999999999998</v>
      </c>
      <c r="F3256">
        <v>6.5391000000000005E-2</v>
      </c>
      <c r="G3256">
        <v>0.2313499</v>
      </c>
      <c r="H3256">
        <v>0.71138500000000005</v>
      </c>
      <c r="Q3256" s="10">
        <f t="shared" si="120"/>
        <v>0.12745650578435264</v>
      </c>
      <c r="AI3256">
        <v>0.2659704</v>
      </c>
      <c r="AJ3256">
        <f t="shared" si="119"/>
        <v>0.2659704</v>
      </c>
      <c r="AO3256">
        <v>0.2659704</v>
      </c>
      <c r="AR3256" s="8">
        <v>0</v>
      </c>
      <c r="AS3256">
        <v>0.23812729999999999</v>
      </c>
    </row>
    <row r="3257" spans="1:45" x14ac:dyDescent="0.25">
      <c r="A3257">
        <v>559</v>
      </c>
      <c r="B3257">
        <v>2003</v>
      </c>
      <c r="C3257" s="8">
        <v>0</v>
      </c>
      <c r="D3257">
        <v>0.33331270000000002</v>
      </c>
      <c r="E3257">
        <v>-0.61359269999999999</v>
      </c>
      <c r="F3257">
        <v>6.2578999999999996E-2</v>
      </c>
      <c r="G3257">
        <v>0.48736350000000001</v>
      </c>
      <c r="H3257">
        <v>0.73475840000000003</v>
      </c>
      <c r="Q3257" s="10">
        <f t="shared" si="120"/>
        <v>8.8260239791033063E-2</v>
      </c>
      <c r="AI3257">
        <v>-4.2689600000000001E-2</v>
      </c>
      <c r="AJ3257">
        <f t="shared" si="119"/>
        <v>-4.2689600000000001E-2</v>
      </c>
      <c r="AO3257">
        <v>-4.2689600000000001E-2</v>
      </c>
      <c r="AR3257" s="8">
        <v>0</v>
      </c>
      <c r="AS3257">
        <v>0.29829250000000002</v>
      </c>
    </row>
    <row r="3258" spans="1:45" x14ac:dyDescent="0.25">
      <c r="A3258">
        <v>559</v>
      </c>
      <c r="B3258">
        <v>2004</v>
      </c>
      <c r="C3258" s="8">
        <v>0</v>
      </c>
      <c r="D3258">
        <v>0.2659704</v>
      </c>
      <c r="E3258">
        <v>-0.60572280000000001</v>
      </c>
      <c r="F3258">
        <v>4.3556900000000003E-2</v>
      </c>
      <c r="G3258">
        <v>0.3499408</v>
      </c>
      <c r="H3258">
        <v>0.75646080000000004</v>
      </c>
      <c r="Q3258" s="10">
        <f t="shared" si="120"/>
        <v>0.12027698925289242</v>
      </c>
      <c r="AI3258">
        <v>3.8528399999999997E-2</v>
      </c>
      <c r="AJ3258">
        <f t="shared" si="119"/>
        <v>3.8528399999999997E-2</v>
      </c>
      <c r="AO3258">
        <v>3.8528399999999997E-2</v>
      </c>
      <c r="AR3258" s="8">
        <v>0</v>
      </c>
      <c r="AS3258">
        <v>0.2313499</v>
      </c>
    </row>
    <row r="3259" spans="1:45" x14ac:dyDescent="0.25">
      <c r="A3259">
        <v>560</v>
      </c>
      <c r="B3259">
        <v>1996</v>
      </c>
      <c r="C3259" s="8">
        <v>0</v>
      </c>
      <c r="D3259">
        <v>-4.2689600000000001E-2</v>
      </c>
      <c r="E3259">
        <v>0.38331549999999998</v>
      </c>
      <c r="F3259">
        <v>3.6498999999999997E-2</v>
      </c>
      <c r="G3259">
        <v>0.87458729999999996</v>
      </c>
      <c r="H3259">
        <v>0.64123770000000002</v>
      </c>
      <c r="Q3259" s="10">
        <f t="shared" si="120"/>
        <v>1.2046970052127218E-2</v>
      </c>
      <c r="AI3259">
        <v>3.8617699999999998E-2</v>
      </c>
      <c r="AJ3259">
        <f t="shared" si="119"/>
        <v>3.8617699999999998E-2</v>
      </c>
      <c r="AO3259">
        <v>3.8617699999999998E-2</v>
      </c>
      <c r="AR3259" s="8">
        <v>0</v>
      </c>
      <c r="AS3259">
        <v>0.48736350000000001</v>
      </c>
    </row>
    <row r="3260" spans="1:45" x14ac:dyDescent="0.25">
      <c r="A3260">
        <v>561</v>
      </c>
      <c r="B3260">
        <v>1995</v>
      </c>
      <c r="C3260" s="8">
        <v>0</v>
      </c>
      <c r="D3260">
        <v>3.8528399999999997E-2</v>
      </c>
      <c r="E3260">
        <v>0.17715939999999999</v>
      </c>
      <c r="F3260">
        <v>6.8450200000000003E-2</v>
      </c>
      <c r="G3260">
        <v>3.9920100000000001</v>
      </c>
      <c r="H3260">
        <v>0.31434069999999997</v>
      </c>
      <c r="Q3260" s="10">
        <f t="shared" si="120"/>
        <v>7.4885030560885405E-5</v>
      </c>
      <c r="AI3260">
        <v>2.4091999999999999E-2</v>
      </c>
      <c r="AJ3260">
        <f t="shared" si="119"/>
        <v>2.4091999999999999E-2</v>
      </c>
      <c r="AO3260">
        <v>2.4091999999999999E-2</v>
      </c>
      <c r="AR3260" s="8">
        <v>0</v>
      </c>
      <c r="AS3260">
        <v>0.3499408</v>
      </c>
    </row>
    <row r="3261" spans="1:45" x14ac:dyDescent="0.25">
      <c r="A3261">
        <v>561</v>
      </c>
      <c r="B3261">
        <v>1996</v>
      </c>
      <c r="C3261" s="8">
        <v>0</v>
      </c>
      <c r="D3261">
        <v>3.8617699999999998E-2</v>
      </c>
      <c r="E3261">
        <v>0.1961136</v>
      </c>
      <c r="F3261">
        <v>7.9120599999999999E-2</v>
      </c>
      <c r="G3261">
        <v>3.2286109999999999</v>
      </c>
      <c r="H3261">
        <v>0.28507320000000003</v>
      </c>
      <c r="Q3261" s="10">
        <f t="shared" si="120"/>
        <v>2.2170369037494386E-4</v>
      </c>
      <c r="AI3261">
        <v>2.84698E-2</v>
      </c>
      <c r="AJ3261">
        <f t="shared" si="119"/>
        <v>2.84698E-2</v>
      </c>
      <c r="AO3261">
        <v>2.84698E-2</v>
      </c>
      <c r="AR3261" s="8">
        <v>0</v>
      </c>
      <c r="AS3261">
        <v>0.87458729999999996</v>
      </c>
    </row>
    <row r="3262" spans="1:45" x14ac:dyDescent="0.25">
      <c r="A3262">
        <v>561</v>
      </c>
      <c r="B3262">
        <v>1997</v>
      </c>
      <c r="C3262" s="8">
        <v>0</v>
      </c>
      <c r="D3262">
        <v>2.4091999999999999E-2</v>
      </c>
      <c r="E3262">
        <v>0.15894610000000001</v>
      </c>
      <c r="F3262">
        <v>5.0741700000000001E-2</v>
      </c>
      <c r="G3262">
        <v>2.651373</v>
      </c>
      <c r="H3262">
        <v>0.27475179999999999</v>
      </c>
      <c r="Q3262" s="10">
        <f t="shared" si="120"/>
        <v>7.2730805589618186E-4</v>
      </c>
      <c r="AI3262">
        <v>0.31346550000000001</v>
      </c>
      <c r="AJ3262">
        <f t="shared" si="119"/>
        <v>0.31346550000000001</v>
      </c>
      <c r="AO3262">
        <v>0.31346550000000001</v>
      </c>
      <c r="AR3262" s="8">
        <v>0</v>
      </c>
      <c r="AS3262">
        <v>3.9920100000000001</v>
      </c>
    </row>
    <row r="3263" spans="1:45" x14ac:dyDescent="0.25">
      <c r="A3263">
        <v>561</v>
      </c>
      <c r="B3263">
        <v>1998</v>
      </c>
      <c r="C3263" s="8">
        <v>0</v>
      </c>
      <c r="D3263">
        <v>2.84698E-2</v>
      </c>
      <c r="E3263">
        <v>0.12997649999999999</v>
      </c>
      <c r="F3263">
        <v>5.35478E-2</v>
      </c>
      <c r="G3263">
        <v>2.8894790000000001</v>
      </c>
      <c r="H3263">
        <v>0.23852499999999999</v>
      </c>
      <c r="Q3263" s="10">
        <f t="shared" si="120"/>
        <v>4.9729121926652959E-4</v>
      </c>
      <c r="AI3263">
        <v>0.26406550000000001</v>
      </c>
      <c r="AJ3263">
        <f t="shared" si="119"/>
        <v>0.26406550000000001</v>
      </c>
      <c r="AO3263">
        <v>0.26406550000000001</v>
      </c>
      <c r="AR3263" s="8">
        <v>0</v>
      </c>
      <c r="AS3263">
        <v>3.2286109999999999</v>
      </c>
    </row>
    <row r="3264" spans="1:45" x14ac:dyDescent="0.25">
      <c r="A3264">
        <v>562</v>
      </c>
      <c r="B3264">
        <v>1998</v>
      </c>
      <c r="C3264" s="8">
        <v>0</v>
      </c>
      <c r="D3264">
        <v>0.31346550000000001</v>
      </c>
      <c r="E3264">
        <v>0.53673769999999998</v>
      </c>
      <c r="F3264">
        <v>6.6702700000000004E-2</v>
      </c>
      <c r="G3264">
        <v>2.2328480000000002</v>
      </c>
      <c r="H3264">
        <v>0.28155639999999998</v>
      </c>
      <c r="Q3264" s="10">
        <f t="shared" si="120"/>
        <v>8.1514261414183194E-4</v>
      </c>
      <c r="AI3264">
        <v>0.2283763</v>
      </c>
      <c r="AJ3264">
        <f t="shared" si="119"/>
        <v>0.2283763</v>
      </c>
      <c r="AO3264">
        <v>0.2283763</v>
      </c>
      <c r="AR3264" s="8">
        <v>0</v>
      </c>
      <c r="AS3264">
        <v>2.651373</v>
      </c>
    </row>
    <row r="3265" spans="1:45" x14ac:dyDescent="0.25">
      <c r="A3265">
        <v>562</v>
      </c>
      <c r="B3265">
        <v>1999</v>
      </c>
      <c r="C3265" s="8">
        <v>0</v>
      </c>
      <c r="D3265">
        <v>0.26406550000000001</v>
      </c>
      <c r="E3265">
        <v>0.45145350000000001</v>
      </c>
      <c r="F3265">
        <v>6.3601900000000003E-2</v>
      </c>
      <c r="G3265">
        <v>3.1010689999999999</v>
      </c>
      <c r="H3265">
        <v>0.3251443</v>
      </c>
      <c r="Q3265" s="10">
        <f t="shared" si="120"/>
        <v>2.388169803009379E-4</v>
      </c>
      <c r="AI3265">
        <v>0.23017650000000001</v>
      </c>
      <c r="AJ3265">
        <f t="shared" si="119"/>
        <v>0.23017650000000001</v>
      </c>
      <c r="AO3265">
        <v>0.23017650000000001</v>
      </c>
      <c r="AR3265" s="8">
        <v>0</v>
      </c>
      <c r="AS3265">
        <v>2.8894790000000001</v>
      </c>
    </row>
    <row r="3266" spans="1:45" x14ac:dyDescent="0.25">
      <c r="A3266">
        <v>562</v>
      </c>
      <c r="B3266">
        <v>2001</v>
      </c>
      <c r="C3266" s="8">
        <v>0</v>
      </c>
      <c r="D3266">
        <v>0.2283763</v>
      </c>
      <c r="E3266">
        <v>0.55043920000000002</v>
      </c>
      <c r="F3266">
        <v>4.4510500000000001E-2</v>
      </c>
      <c r="G3266">
        <v>1.139138</v>
      </c>
      <c r="H3266">
        <v>0.27495190000000003</v>
      </c>
      <c r="Q3266" s="10">
        <f t="shared" si="120"/>
        <v>5.2192896027238129E-3</v>
      </c>
      <c r="AI3266">
        <v>0.25465850000000001</v>
      </c>
      <c r="AJ3266">
        <f t="shared" si="119"/>
        <v>0.25465850000000001</v>
      </c>
      <c r="AO3266">
        <v>0.25465850000000001</v>
      </c>
      <c r="AR3266" s="8">
        <v>0</v>
      </c>
      <c r="AS3266">
        <v>2.2328480000000002</v>
      </c>
    </row>
    <row r="3267" spans="1:45" x14ac:dyDescent="0.25">
      <c r="A3267">
        <v>562</v>
      </c>
      <c r="B3267">
        <v>2002</v>
      </c>
      <c r="C3267" s="8">
        <v>0</v>
      </c>
      <c r="D3267">
        <v>0.23017650000000001</v>
      </c>
      <c r="E3267">
        <v>0.52084079999999999</v>
      </c>
      <c r="F3267">
        <v>6.1465800000000001E-2</v>
      </c>
      <c r="G3267">
        <v>1.288835</v>
      </c>
      <c r="H3267">
        <v>0.2777965</v>
      </c>
      <c r="Q3267" s="10">
        <f t="shared" si="120"/>
        <v>3.7628892551636486E-3</v>
      </c>
      <c r="AI3267">
        <v>-4.4494699999999998E-2</v>
      </c>
      <c r="AJ3267">
        <f t="shared" si="119"/>
        <v>-4.4494699999999998E-2</v>
      </c>
      <c r="AO3267">
        <v>-4.4494699999999998E-2</v>
      </c>
      <c r="AR3267" s="8">
        <v>0</v>
      </c>
      <c r="AS3267">
        <v>3.1010689999999999</v>
      </c>
    </row>
    <row r="3268" spans="1:45" x14ac:dyDescent="0.25">
      <c r="A3268">
        <v>562</v>
      </c>
      <c r="B3268">
        <v>2003</v>
      </c>
      <c r="C3268" s="8">
        <v>0</v>
      </c>
      <c r="D3268">
        <v>0.25465850000000001</v>
      </c>
      <c r="E3268">
        <v>0.47440969999999999</v>
      </c>
      <c r="F3268">
        <v>6.2560599999999994E-2</v>
      </c>
      <c r="G3268">
        <v>2.0596519999999998</v>
      </c>
      <c r="H3268">
        <v>0.30907879999999999</v>
      </c>
      <c r="Q3268" s="10">
        <f t="shared" si="120"/>
        <v>1.2064308577062702E-3</v>
      </c>
      <c r="AI3268">
        <v>0.17017379999999999</v>
      </c>
      <c r="AJ3268">
        <f t="shared" si="119"/>
        <v>0.17017379999999999</v>
      </c>
      <c r="AO3268">
        <v>0.17017379999999999</v>
      </c>
      <c r="AR3268" s="8">
        <v>0</v>
      </c>
      <c r="AS3268">
        <v>1.139138</v>
      </c>
    </row>
    <row r="3269" spans="1:45" x14ac:dyDescent="0.25">
      <c r="A3269">
        <v>563</v>
      </c>
      <c r="B3269">
        <v>2004</v>
      </c>
      <c r="C3269" s="8">
        <v>0</v>
      </c>
      <c r="D3269">
        <v>-4.4494699999999998E-2</v>
      </c>
      <c r="E3269">
        <v>7.2319999999999997E-3</v>
      </c>
      <c r="F3269">
        <v>3.6708600000000001E-2</v>
      </c>
      <c r="G3269">
        <v>0.59708499999999998</v>
      </c>
      <c r="H3269">
        <v>0.15873680000000001</v>
      </c>
      <c r="Q3269" s="10">
        <f t="shared" si="120"/>
        <v>2.3678991988925261E-2</v>
      </c>
      <c r="AI3269">
        <v>0.16208310000000001</v>
      </c>
      <c r="AJ3269">
        <f t="shared" ref="AJ3269:AJ3332" si="121">MAX(MIN(AI3269,AM$5),AM$4)</f>
        <v>0.16208310000000001</v>
      </c>
      <c r="AO3269">
        <v>0.16208310000000001</v>
      </c>
      <c r="AR3269" s="8">
        <v>0</v>
      </c>
      <c r="AS3269">
        <v>1.288835</v>
      </c>
    </row>
    <row r="3270" spans="1:45" x14ac:dyDescent="0.25">
      <c r="A3270">
        <v>564</v>
      </c>
      <c r="B3270">
        <v>1995</v>
      </c>
      <c r="C3270" s="8">
        <v>0</v>
      </c>
      <c r="D3270">
        <v>0.17017379999999999</v>
      </c>
      <c r="E3270">
        <v>0.44479340000000001</v>
      </c>
      <c r="F3270">
        <v>5.1094199999999999E-2</v>
      </c>
      <c r="G3270">
        <v>2.067866</v>
      </c>
      <c r="H3270">
        <v>0.26270900000000003</v>
      </c>
      <c r="Q3270" s="10">
        <f t="shared" si="120"/>
        <v>1.2783131792296534E-3</v>
      </c>
      <c r="AI3270">
        <v>0.1607712</v>
      </c>
      <c r="AJ3270">
        <f t="shared" si="121"/>
        <v>0.1607712</v>
      </c>
      <c r="AO3270">
        <v>0.1607712</v>
      </c>
      <c r="AR3270" s="8">
        <v>0</v>
      </c>
      <c r="AS3270">
        <v>2.0596519999999998</v>
      </c>
    </row>
    <row r="3271" spans="1:45" x14ac:dyDescent="0.25">
      <c r="A3271">
        <v>564</v>
      </c>
      <c r="B3271">
        <v>1996</v>
      </c>
      <c r="C3271" s="8">
        <v>0</v>
      </c>
      <c r="D3271">
        <v>0.16208310000000001</v>
      </c>
      <c r="E3271">
        <v>0.51533569999999995</v>
      </c>
      <c r="F3271">
        <v>6.7718600000000004E-2</v>
      </c>
      <c r="G3271">
        <v>2.3771450000000001</v>
      </c>
      <c r="H3271">
        <v>0.2854949</v>
      </c>
      <c r="Q3271" s="10">
        <f t="shared" ref="Q3271:Q3334" si="122">1/(1+EXP(-(J$6+SUMPRODUCT(K$6:O$6,D3271:H3271))))</f>
        <v>6.2409643943349836E-4</v>
      </c>
      <c r="AI3271">
        <v>0.1371666</v>
      </c>
      <c r="AJ3271">
        <f t="shared" si="121"/>
        <v>0.1371666</v>
      </c>
      <c r="AO3271">
        <v>0.1371666</v>
      </c>
      <c r="AR3271" s="8">
        <v>0</v>
      </c>
      <c r="AS3271">
        <v>0.59708499999999998</v>
      </c>
    </row>
    <row r="3272" spans="1:45" x14ac:dyDescent="0.25">
      <c r="A3272">
        <v>564</v>
      </c>
      <c r="B3272">
        <v>1997</v>
      </c>
      <c r="C3272" s="8">
        <v>0</v>
      </c>
      <c r="D3272">
        <v>0.1607712</v>
      </c>
      <c r="E3272">
        <v>0.58333089999999999</v>
      </c>
      <c r="F3272">
        <v>5.2708199999999997E-2</v>
      </c>
      <c r="G3272">
        <v>2.8006509999999998</v>
      </c>
      <c r="H3272">
        <v>0.26811109999999999</v>
      </c>
      <c r="Q3272" s="10">
        <f t="shared" si="122"/>
        <v>3.2105013650683028E-4</v>
      </c>
      <c r="AI3272">
        <v>1.5741999999999999E-2</v>
      </c>
      <c r="AJ3272">
        <f t="shared" si="121"/>
        <v>1.5741999999999999E-2</v>
      </c>
      <c r="AO3272">
        <v>1.5741999999999999E-2</v>
      </c>
      <c r="AR3272" s="8">
        <v>0</v>
      </c>
      <c r="AS3272">
        <v>2.067866</v>
      </c>
    </row>
    <row r="3273" spans="1:45" x14ac:dyDescent="0.25">
      <c r="A3273">
        <v>564</v>
      </c>
      <c r="B3273">
        <v>1998</v>
      </c>
      <c r="C3273" s="8">
        <v>0</v>
      </c>
      <c r="D3273">
        <v>0.1371666</v>
      </c>
      <c r="E3273">
        <v>0.33974599999999999</v>
      </c>
      <c r="F3273">
        <v>5.5356500000000003E-2</v>
      </c>
      <c r="G3273">
        <v>2.4378069999999998</v>
      </c>
      <c r="H3273">
        <v>0.26834000000000002</v>
      </c>
      <c r="Q3273" s="10">
        <f t="shared" si="122"/>
        <v>7.9053305035024139E-4</v>
      </c>
      <c r="AI3273">
        <v>8.4708199999999997E-2</v>
      </c>
      <c r="AJ3273">
        <f t="shared" si="121"/>
        <v>8.4708199999999997E-2</v>
      </c>
      <c r="AO3273">
        <v>8.4708199999999997E-2</v>
      </c>
      <c r="AR3273" s="8">
        <v>0</v>
      </c>
      <c r="AS3273">
        <v>2.3771450000000001</v>
      </c>
    </row>
    <row r="3274" spans="1:45" x14ac:dyDescent="0.25">
      <c r="A3274">
        <v>564</v>
      </c>
      <c r="B3274">
        <v>1999</v>
      </c>
      <c r="C3274" s="8">
        <v>0</v>
      </c>
      <c r="D3274">
        <v>1.5741999999999999E-2</v>
      </c>
      <c r="E3274">
        <v>0.1302517</v>
      </c>
      <c r="F3274">
        <v>6.0623499999999997E-2</v>
      </c>
      <c r="G3274">
        <v>1.182086</v>
      </c>
      <c r="H3274">
        <v>0.17596290000000001</v>
      </c>
      <c r="Q3274" s="10">
        <f t="shared" si="122"/>
        <v>6.78663558795494E-3</v>
      </c>
      <c r="AI3274">
        <v>0.1065951</v>
      </c>
      <c r="AJ3274">
        <f t="shared" si="121"/>
        <v>0.1065951</v>
      </c>
      <c r="AO3274">
        <v>0.1065951</v>
      </c>
      <c r="AR3274" s="8">
        <v>0</v>
      </c>
      <c r="AS3274">
        <v>2.8006509999999998</v>
      </c>
    </row>
    <row r="3275" spans="1:45" x14ac:dyDescent="0.25">
      <c r="A3275">
        <v>564</v>
      </c>
      <c r="B3275">
        <v>2000</v>
      </c>
      <c r="C3275" s="8">
        <v>0</v>
      </c>
      <c r="D3275">
        <v>8.4708199999999997E-2</v>
      </c>
      <c r="E3275">
        <v>0.1567673</v>
      </c>
      <c r="F3275">
        <v>3.7345400000000001E-2</v>
      </c>
      <c r="G3275">
        <v>1.0677380000000001</v>
      </c>
      <c r="H3275">
        <v>0.1498516</v>
      </c>
      <c r="Q3275" s="10">
        <f t="shared" si="122"/>
        <v>9.5301428490620118E-3</v>
      </c>
      <c r="AI3275">
        <v>0.1161764</v>
      </c>
      <c r="AJ3275">
        <f t="shared" si="121"/>
        <v>0.1161764</v>
      </c>
      <c r="AO3275">
        <v>0.1161764</v>
      </c>
      <c r="AR3275" s="8">
        <v>0</v>
      </c>
      <c r="AS3275">
        <v>2.4378069999999998</v>
      </c>
    </row>
    <row r="3276" spans="1:45" x14ac:dyDescent="0.25">
      <c r="A3276">
        <v>564</v>
      </c>
      <c r="B3276">
        <v>2001</v>
      </c>
      <c r="C3276" s="8">
        <v>0</v>
      </c>
      <c r="D3276">
        <v>0.1065951</v>
      </c>
      <c r="E3276">
        <v>0.17856830000000001</v>
      </c>
      <c r="F3276">
        <v>5.0602000000000001E-2</v>
      </c>
      <c r="G3276">
        <v>1.202569</v>
      </c>
      <c r="H3276">
        <v>0.16015979999999999</v>
      </c>
      <c r="Q3276" s="10">
        <f t="shared" si="122"/>
        <v>6.8212558427665649E-3</v>
      </c>
      <c r="AI3276">
        <v>0.12129429999999999</v>
      </c>
      <c r="AJ3276">
        <f t="shared" si="121"/>
        <v>0.12129429999999999</v>
      </c>
      <c r="AO3276">
        <v>0.12129429999999999</v>
      </c>
      <c r="AR3276" s="8">
        <v>0</v>
      </c>
      <c r="AS3276">
        <v>1.182086</v>
      </c>
    </row>
    <row r="3277" spans="1:45" x14ac:dyDescent="0.25">
      <c r="A3277">
        <v>564</v>
      </c>
      <c r="B3277">
        <v>2002</v>
      </c>
      <c r="C3277" s="8">
        <v>0</v>
      </c>
      <c r="D3277">
        <v>0.1161764</v>
      </c>
      <c r="E3277">
        <v>0.1238682</v>
      </c>
      <c r="F3277">
        <v>3.5769099999999998E-2</v>
      </c>
      <c r="G3277">
        <v>1.108997</v>
      </c>
      <c r="H3277">
        <v>0.18519530000000001</v>
      </c>
      <c r="Q3277" s="10">
        <f t="shared" si="122"/>
        <v>9.8140134661451311E-3</v>
      </c>
      <c r="AI3277">
        <v>0.17928530000000001</v>
      </c>
      <c r="AJ3277">
        <f t="shared" si="121"/>
        <v>0.17928530000000001</v>
      </c>
      <c r="AO3277">
        <v>0.17928530000000001</v>
      </c>
      <c r="AR3277" s="8">
        <v>0</v>
      </c>
      <c r="AS3277">
        <v>1.0677380000000001</v>
      </c>
    </row>
    <row r="3278" spans="1:45" x14ac:dyDescent="0.25">
      <c r="A3278">
        <v>564</v>
      </c>
      <c r="B3278">
        <v>2003</v>
      </c>
      <c r="C3278" s="8">
        <v>0</v>
      </c>
      <c r="D3278">
        <v>0.12129429999999999</v>
      </c>
      <c r="E3278">
        <v>0.14681340000000001</v>
      </c>
      <c r="F3278">
        <v>5.0810300000000003E-2</v>
      </c>
      <c r="G3278">
        <v>1.5848770000000001</v>
      </c>
      <c r="H3278">
        <v>0.19504630000000001</v>
      </c>
      <c r="Q3278" s="10">
        <f t="shared" si="122"/>
        <v>3.9982444435245181E-3</v>
      </c>
      <c r="AI3278">
        <v>0.43758799999999998</v>
      </c>
      <c r="AJ3278">
        <f t="shared" si="121"/>
        <v>0.43758799999999998</v>
      </c>
      <c r="AO3278">
        <v>0.43758799999999998</v>
      </c>
      <c r="AR3278" s="8">
        <v>0</v>
      </c>
      <c r="AS3278">
        <v>1.202569</v>
      </c>
    </row>
    <row r="3279" spans="1:45" x14ac:dyDescent="0.25">
      <c r="A3279">
        <v>564</v>
      </c>
      <c r="B3279">
        <v>2004</v>
      </c>
      <c r="C3279" s="8">
        <v>0</v>
      </c>
      <c r="D3279">
        <v>0.17928530000000001</v>
      </c>
      <c r="E3279">
        <v>0.16201019999999999</v>
      </c>
      <c r="F3279">
        <v>6.1024000000000002E-2</v>
      </c>
      <c r="G3279">
        <v>1.5866309999999999</v>
      </c>
      <c r="H3279">
        <v>0.2014483</v>
      </c>
      <c r="Q3279" s="10">
        <f t="shared" si="122"/>
        <v>3.6971586268539276E-3</v>
      </c>
      <c r="AI3279">
        <v>0.38082510000000003</v>
      </c>
      <c r="AJ3279">
        <f t="shared" si="121"/>
        <v>0.38082510000000003</v>
      </c>
      <c r="AO3279">
        <v>0.38082510000000003</v>
      </c>
      <c r="AR3279" s="8">
        <v>0</v>
      </c>
      <c r="AS3279">
        <v>1.108997</v>
      </c>
    </row>
    <row r="3280" spans="1:45" x14ac:dyDescent="0.25">
      <c r="A3280">
        <v>565</v>
      </c>
      <c r="B3280">
        <v>1995</v>
      </c>
      <c r="C3280" s="8">
        <v>0</v>
      </c>
      <c r="D3280">
        <v>0.43758799999999998</v>
      </c>
      <c r="E3280">
        <v>9.7155500000000006E-2</v>
      </c>
      <c r="F3280">
        <v>3.6544E-2</v>
      </c>
      <c r="G3280">
        <v>0.34190389999999998</v>
      </c>
      <c r="H3280">
        <v>0.22189890000000001</v>
      </c>
      <c r="Q3280" s="10">
        <f t="shared" si="122"/>
        <v>3.9050470706275153E-2</v>
      </c>
      <c r="AI3280">
        <v>6.0112199999999998E-2</v>
      </c>
      <c r="AJ3280">
        <f t="shared" si="121"/>
        <v>6.0112199999999998E-2</v>
      </c>
      <c r="AO3280">
        <v>6.0112199999999998E-2</v>
      </c>
      <c r="AR3280" s="8">
        <v>0</v>
      </c>
      <c r="AS3280">
        <v>1.5848770000000001</v>
      </c>
    </row>
    <row r="3281" spans="1:45" x14ac:dyDescent="0.25">
      <c r="A3281">
        <v>565</v>
      </c>
      <c r="B3281">
        <v>1996</v>
      </c>
      <c r="C3281" s="8">
        <v>0</v>
      </c>
      <c r="D3281">
        <v>0.38082510000000003</v>
      </c>
      <c r="E3281">
        <v>0.1164351</v>
      </c>
      <c r="F3281">
        <v>4.0922E-2</v>
      </c>
      <c r="G3281">
        <v>0.65669599999999995</v>
      </c>
      <c r="H3281">
        <v>0.25455480000000003</v>
      </c>
      <c r="Q3281" s="10">
        <f t="shared" si="122"/>
        <v>2.250940789584643E-2</v>
      </c>
      <c r="AI3281">
        <v>0.27681660000000002</v>
      </c>
      <c r="AJ3281">
        <f t="shared" si="121"/>
        <v>0.27681660000000002</v>
      </c>
      <c r="AO3281">
        <v>0.27681660000000002</v>
      </c>
      <c r="AR3281" s="8">
        <v>0</v>
      </c>
      <c r="AS3281">
        <v>1.5866309999999999</v>
      </c>
    </row>
    <row r="3282" spans="1:45" x14ac:dyDescent="0.25">
      <c r="A3282">
        <v>566</v>
      </c>
      <c r="B3282">
        <v>1999</v>
      </c>
      <c r="C3282" s="8">
        <v>0</v>
      </c>
      <c r="D3282">
        <v>6.0112199999999998E-2</v>
      </c>
      <c r="E3282">
        <v>-1.11179E-2</v>
      </c>
      <c r="F3282">
        <v>5.8844800000000003E-2</v>
      </c>
      <c r="G3282">
        <v>0.40033099999999999</v>
      </c>
      <c r="H3282">
        <v>0.141543</v>
      </c>
      <c r="Q3282" s="10">
        <f t="shared" si="122"/>
        <v>2.8655057992816431E-2</v>
      </c>
      <c r="AI3282">
        <v>0.30452129999999999</v>
      </c>
      <c r="AJ3282">
        <f t="shared" si="121"/>
        <v>0.30452129999999999</v>
      </c>
      <c r="AO3282">
        <v>0.30452129999999999</v>
      </c>
      <c r="AR3282" s="8">
        <v>0</v>
      </c>
      <c r="AS3282">
        <v>0.34190389999999998</v>
      </c>
    </row>
    <row r="3283" spans="1:45" x14ac:dyDescent="0.25">
      <c r="A3283">
        <v>567</v>
      </c>
      <c r="B3283">
        <v>1995</v>
      </c>
      <c r="C3283" s="8">
        <v>0</v>
      </c>
      <c r="D3283">
        <v>0.27681660000000002</v>
      </c>
      <c r="E3283">
        <v>4.5541100000000001E-2</v>
      </c>
      <c r="F3283">
        <v>3.7419399999999998E-2</v>
      </c>
      <c r="G3283">
        <v>2.2082869999999999</v>
      </c>
      <c r="H3283">
        <v>0.19443679999999999</v>
      </c>
      <c r="Q3283" s="10">
        <f t="shared" si="122"/>
        <v>2.0396816239617219E-3</v>
      </c>
      <c r="AI3283">
        <v>9.5720600000000003E-2</v>
      </c>
      <c r="AJ3283">
        <f t="shared" si="121"/>
        <v>9.5720600000000003E-2</v>
      </c>
      <c r="AO3283">
        <v>9.5720600000000003E-2</v>
      </c>
      <c r="AR3283" s="8">
        <v>0</v>
      </c>
      <c r="AS3283">
        <v>0.65669599999999995</v>
      </c>
    </row>
    <row r="3284" spans="1:45" x14ac:dyDescent="0.25">
      <c r="A3284">
        <v>567</v>
      </c>
      <c r="B3284">
        <v>1996</v>
      </c>
      <c r="C3284" s="8">
        <v>0</v>
      </c>
      <c r="D3284">
        <v>0.30452129999999999</v>
      </c>
      <c r="E3284">
        <v>0.13020599999999999</v>
      </c>
      <c r="F3284">
        <v>5.7123599999999997E-2</v>
      </c>
      <c r="G3284">
        <v>4.840408</v>
      </c>
      <c r="H3284">
        <v>0.21191489999999999</v>
      </c>
      <c r="Q3284" s="10">
        <f t="shared" si="122"/>
        <v>2.3798601417090094E-5</v>
      </c>
      <c r="AI3284">
        <v>0.14700930000000001</v>
      </c>
      <c r="AJ3284">
        <f t="shared" si="121"/>
        <v>0.14700930000000001</v>
      </c>
      <c r="AO3284">
        <v>0.14700930000000001</v>
      </c>
      <c r="AR3284" s="8">
        <v>0</v>
      </c>
      <c r="AS3284">
        <v>0.40033099999999999</v>
      </c>
    </row>
    <row r="3285" spans="1:45" x14ac:dyDescent="0.25">
      <c r="A3285">
        <v>568</v>
      </c>
      <c r="B3285">
        <v>1996</v>
      </c>
      <c r="C3285" s="8">
        <v>0</v>
      </c>
      <c r="D3285">
        <v>9.5720600000000003E-2</v>
      </c>
      <c r="E3285">
        <v>0.58299319999999999</v>
      </c>
      <c r="F3285">
        <v>4.2210400000000002E-2</v>
      </c>
      <c r="G3285">
        <v>3.3010160000000002</v>
      </c>
      <c r="H3285">
        <v>0.33145259999999999</v>
      </c>
      <c r="Q3285" s="10">
        <f t="shared" si="122"/>
        <v>1.5935609240069962E-4</v>
      </c>
      <c r="AI3285">
        <v>0.421099</v>
      </c>
      <c r="AJ3285">
        <f t="shared" si="121"/>
        <v>0.421099</v>
      </c>
      <c r="AO3285">
        <v>0.421099</v>
      </c>
      <c r="AR3285" s="8">
        <v>0</v>
      </c>
      <c r="AS3285">
        <v>2.2082869999999999</v>
      </c>
    </row>
    <row r="3286" spans="1:45" x14ac:dyDescent="0.25">
      <c r="A3286">
        <v>568</v>
      </c>
      <c r="B3286">
        <v>1997</v>
      </c>
      <c r="C3286" s="8">
        <v>0</v>
      </c>
      <c r="D3286">
        <v>0.14700930000000001</v>
      </c>
      <c r="E3286">
        <v>0.64490270000000005</v>
      </c>
      <c r="F3286">
        <v>5.0572800000000001E-2</v>
      </c>
      <c r="G3286">
        <v>4.3058969999999999</v>
      </c>
      <c r="H3286">
        <v>0.33235819999999999</v>
      </c>
      <c r="Q3286" s="10">
        <f t="shared" si="122"/>
        <v>2.8072935233126848E-5</v>
      </c>
      <c r="AI3286">
        <v>0.42035280000000003</v>
      </c>
      <c r="AJ3286">
        <f t="shared" si="121"/>
        <v>0.42035280000000003</v>
      </c>
      <c r="AO3286">
        <v>0.42035280000000003</v>
      </c>
      <c r="AR3286" s="8">
        <v>0</v>
      </c>
      <c r="AS3286">
        <v>4.840408</v>
      </c>
    </row>
    <row r="3287" spans="1:45" x14ac:dyDescent="0.25">
      <c r="A3287">
        <v>569</v>
      </c>
      <c r="B3287">
        <v>2002</v>
      </c>
      <c r="C3287" s="8">
        <v>0</v>
      </c>
      <c r="D3287">
        <v>0.421099</v>
      </c>
      <c r="E3287">
        <v>0.70766059999999997</v>
      </c>
      <c r="F3287">
        <v>6.2501899999999999E-2</v>
      </c>
      <c r="G3287">
        <v>1.1132740000000001</v>
      </c>
      <c r="H3287">
        <v>0.3613903</v>
      </c>
      <c r="Q3287" s="10">
        <f t="shared" si="122"/>
        <v>4.2863211564203091E-3</v>
      </c>
      <c r="AI3287">
        <v>0.39725640000000001</v>
      </c>
      <c r="AJ3287">
        <f t="shared" si="121"/>
        <v>0.39725640000000001</v>
      </c>
      <c r="AO3287">
        <v>0.39725640000000001</v>
      </c>
      <c r="AR3287" s="8">
        <v>0</v>
      </c>
      <c r="AS3287">
        <v>3.3010160000000002</v>
      </c>
    </row>
    <row r="3288" spans="1:45" x14ac:dyDescent="0.25">
      <c r="A3288">
        <v>569</v>
      </c>
      <c r="B3288">
        <v>2003</v>
      </c>
      <c r="C3288" s="8">
        <v>0</v>
      </c>
      <c r="D3288">
        <v>0.42035280000000003</v>
      </c>
      <c r="E3288">
        <v>0.69391780000000003</v>
      </c>
      <c r="F3288">
        <v>5.0381099999999998E-2</v>
      </c>
      <c r="G3288">
        <v>1.1401520000000001</v>
      </c>
      <c r="H3288">
        <v>0.33034930000000001</v>
      </c>
      <c r="Q3288" s="10">
        <f t="shared" si="122"/>
        <v>4.5255866647255739E-3</v>
      </c>
      <c r="AI3288">
        <v>-1.0982799999999999E-2</v>
      </c>
      <c r="AJ3288">
        <f t="shared" si="121"/>
        <v>-1.0982799999999999E-2</v>
      </c>
      <c r="AO3288">
        <v>-1.0982799999999999E-2</v>
      </c>
      <c r="AR3288" s="8">
        <v>0</v>
      </c>
      <c r="AS3288">
        <v>4.3058969999999999</v>
      </c>
    </row>
    <row r="3289" spans="1:45" x14ac:dyDescent="0.25">
      <c r="A3289">
        <v>569</v>
      </c>
      <c r="B3289">
        <v>2004</v>
      </c>
      <c r="C3289" s="8">
        <v>0</v>
      </c>
      <c r="D3289">
        <v>0.39725640000000001</v>
      </c>
      <c r="E3289">
        <v>0.61065709999999995</v>
      </c>
      <c r="F3289">
        <v>4.73494E-2</v>
      </c>
      <c r="G3289">
        <v>0.94761629999999997</v>
      </c>
      <c r="H3289">
        <v>0.29372589999999998</v>
      </c>
      <c r="Q3289" s="10">
        <f t="shared" si="122"/>
        <v>6.8706500550561366E-3</v>
      </c>
      <c r="AI3289">
        <v>3.7365200000000001E-2</v>
      </c>
      <c r="AJ3289">
        <f t="shared" si="121"/>
        <v>3.7365200000000001E-2</v>
      </c>
      <c r="AO3289">
        <v>3.7365200000000001E-2</v>
      </c>
      <c r="AR3289" s="8">
        <v>0</v>
      </c>
      <c r="AS3289">
        <v>1.1132740000000001</v>
      </c>
    </row>
    <row r="3290" spans="1:45" x14ac:dyDescent="0.25">
      <c r="A3290">
        <v>570</v>
      </c>
      <c r="B3290">
        <v>1995</v>
      </c>
      <c r="C3290" s="8">
        <v>0</v>
      </c>
      <c r="D3290">
        <v>-1.0982799999999999E-2</v>
      </c>
      <c r="E3290">
        <v>0.13872309999999999</v>
      </c>
      <c r="F3290">
        <v>5.4686199999999997E-2</v>
      </c>
      <c r="G3290">
        <v>0.4570459</v>
      </c>
      <c r="H3290">
        <v>0.26478459999999998</v>
      </c>
      <c r="Q3290" s="10">
        <f t="shared" si="122"/>
        <v>2.2945396671961112E-2</v>
      </c>
      <c r="AI3290">
        <v>2.0781999999999998E-2</v>
      </c>
      <c r="AJ3290">
        <f t="shared" si="121"/>
        <v>2.0781999999999998E-2</v>
      </c>
      <c r="AO3290">
        <v>2.0781999999999998E-2</v>
      </c>
      <c r="AR3290" s="8">
        <v>0</v>
      </c>
      <c r="AS3290">
        <v>1.1401520000000001</v>
      </c>
    </row>
    <row r="3291" spans="1:45" x14ac:dyDescent="0.25">
      <c r="A3291">
        <v>570</v>
      </c>
      <c r="B3291">
        <v>1996</v>
      </c>
      <c r="C3291" s="8">
        <v>0</v>
      </c>
      <c r="D3291">
        <v>3.7365200000000001E-2</v>
      </c>
      <c r="E3291">
        <v>0.1571765</v>
      </c>
      <c r="F3291">
        <v>4.8821099999999999E-2</v>
      </c>
      <c r="G3291">
        <v>0.49944</v>
      </c>
      <c r="H3291">
        <v>0.24495529999999999</v>
      </c>
      <c r="Q3291" s="10">
        <f t="shared" si="122"/>
        <v>2.2071399327124482E-2</v>
      </c>
      <c r="AI3291">
        <v>6.3069999999999999E-4</v>
      </c>
      <c r="AJ3291">
        <f t="shared" si="121"/>
        <v>6.3069999999999999E-4</v>
      </c>
      <c r="AO3291">
        <v>6.3069999999999999E-4</v>
      </c>
      <c r="AR3291" s="8">
        <v>0</v>
      </c>
      <c r="AS3291">
        <v>0.94761629999999997</v>
      </c>
    </row>
    <row r="3292" spans="1:45" x14ac:dyDescent="0.25">
      <c r="A3292">
        <v>570</v>
      </c>
      <c r="B3292">
        <v>1997</v>
      </c>
      <c r="C3292" s="8">
        <v>0</v>
      </c>
      <c r="D3292">
        <v>2.0781999999999998E-2</v>
      </c>
      <c r="E3292">
        <v>0.1550328</v>
      </c>
      <c r="F3292">
        <v>6.0365799999999997E-2</v>
      </c>
      <c r="G3292">
        <v>0.56603570000000003</v>
      </c>
      <c r="H3292">
        <v>0.25750509999999999</v>
      </c>
      <c r="Q3292" s="10">
        <f t="shared" si="122"/>
        <v>1.8242237947840325E-2</v>
      </c>
      <c r="AI3292">
        <v>-4.9302E-3</v>
      </c>
      <c r="AJ3292">
        <f t="shared" si="121"/>
        <v>-4.9302E-3</v>
      </c>
      <c r="AO3292">
        <v>-4.9302E-3</v>
      </c>
      <c r="AR3292" s="8">
        <v>0</v>
      </c>
      <c r="AS3292">
        <v>0.4570459</v>
      </c>
    </row>
    <row r="3293" spans="1:45" x14ac:dyDescent="0.25">
      <c r="A3293">
        <v>570</v>
      </c>
      <c r="B3293">
        <v>1998</v>
      </c>
      <c r="C3293" s="8">
        <v>0</v>
      </c>
      <c r="D3293">
        <v>6.3069999999999999E-4</v>
      </c>
      <c r="E3293">
        <v>0.10505970000000001</v>
      </c>
      <c r="F3293">
        <v>4.3004500000000001E-2</v>
      </c>
      <c r="G3293">
        <v>0.41893520000000001</v>
      </c>
      <c r="H3293">
        <v>0.24637210000000001</v>
      </c>
      <c r="Q3293" s="10">
        <f t="shared" si="122"/>
        <v>2.7789870945200773E-2</v>
      </c>
      <c r="AI3293">
        <v>-4.2013200000000001E-2</v>
      </c>
      <c r="AJ3293">
        <f t="shared" si="121"/>
        <v>-4.2013200000000001E-2</v>
      </c>
      <c r="AO3293">
        <v>-4.2013200000000001E-2</v>
      </c>
      <c r="AR3293" s="8">
        <v>0</v>
      </c>
      <c r="AS3293">
        <v>0.49944</v>
      </c>
    </row>
    <row r="3294" spans="1:45" x14ac:dyDescent="0.25">
      <c r="A3294">
        <v>570</v>
      </c>
      <c r="B3294">
        <v>1999</v>
      </c>
      <c r="C3294" s="8">
        <v>0</v>
      </c>
      <c r="D3294">
        <v>-4.9302E-3</v>
      </c>
      <c r="E3294">
        <v>0.15361929999999999</v>
      </c>
      <c r="F3294">
        <v>4.7790699999999998E-2</v>
      </c>
      <c r="G3294">
        <v>0.35647289999999998</v>
      </c>
      <c r="H3294">
        <v>0.24917539999999999</v>
      </c>
      <c r="Q3294" s="10">
        <f t="shared" si="122"/>
        <v>2.7523125840418567E-2</v>
      </c>
      <c r="AI3294">
        <v>1.4702700000000001E-2</v>
      </c>
      <c r="AJ3294">
        <f t="shared" si="121"/>
        <v>1.4702700000000001E-2</v>
      </c>
      <c r="AO3294">
        <v>1.4702700000000001E-2</v>
      </c>
      <c r="AR3294" s="8">
        <v>0</v>
      </c>
      <c r="AS3294">
        <v>0.56603570000000003</v>
      </c>
    </row>
    <row r="3295" spans="1:45" x14ac:dyDescent="0.25">
      <c r="A3295">
        <v>570</v>
      </c>
      <c r="B3295">
        <v>2000</v>
      </c>
      <c r="C3295" s="8">
        <v>0</v>
      </c>
      <c r="D3295">
        <v>-4.2013200000000001E-2</v>
      </c>
      <c r="E3295">
        <v>0.14478530000000001</v>
      </c>
      <c r="F3295">
        <v>5.3272300000000002E-2</v>
      </c>
      <c r="G3295">
        <v>0.26251970000000002</v>
      </c>
      <c r="H3295">
        <v>0.28115220000000002</v>
      </c>
      <c r="Q3295" s="10">
        <f t="shared" si="122"/>
        <v>3.1018865922248218E-2</v>
      </c>
      <c r="AI3295">
        <v>6.2980300000000003E-2</v>
      </c>
      <c r="AJ3295">
        <f t="shared" si="121"/>
        <v>6.2980300000000003E-2</v>
      </c>
      <c r="AO3295">
        <v>6.2980300000000003E-2</v>
      </c>
      <c r="AR3295" s="8">
        <v>0</v>
      </c>
      <c r="AS3295">
        <v>0.41893520000000001</v>
      </c>
    </row>
    <row r="3296" spans="1:45" x14ac:dyDescent="0.25">
      <c r="A3296">
        <v>570</v>
      </c>
      <c r="B3296">
        <v>2001</v>
      </c>
      <c r="C3296" s="8">
        <v>0</v>
      </c>
      <c r="D3296">
        <v>1.4702700000000001E-2</v>
      </c>
      <c r="E3296">
        <v>0.15818889999999999</v>
      </c>
      <c r="F3296">
        <v>3.7019400000000001E-2</v>
      </c>
      <c r="G3296">
        <v>0.3965591</v>
      </c>
      <c r="H3296">
        <v>0.27953430000000001</v>
      </c>
      <c r="Q3296" s="10">
        <f t="shared" si="122"/>
        <v>2.8686154074443606E-2</v>
      </c>
      <c r="AI3296">
        <v>4.0706899999999997E-2</v>
      </c>
      <c r="AJ3296">
        <f t="shared" si="121"/>
        <v>4.0706899999999997E-2</v>
      </c>
      <c r="AO3296">
        <v>4.0706899999999997E-2</v>
      </c>
      <c r="AR3296" s="8">
        <v>0</v>
      </c>
      <c r="AS3296">
        <v>0.35647289999999998</v>
      </c>
    </row>
    <row r="3297" spans="1:45" x14ac:dyDescent="0.25">
      <c r="A3297">
        <v>570</v>
      </c>
      <c r="B3297">
        <v>2002</v>
      </c>
      <c r="C3297" s="8">
        <v>0</v>
      </c>
      <c r="D3297">
        <v>6.2980300000000003E-2</v>
      </c>
      <c r="E3297">
        <v>0.1605598</v>
      </c>
      <c r="F3297">
        <v>3.3264700000000001E-2</v>
      </c>
      <c r="G3297">
        <v>0.41592790000000002</v>
      </c>
      <c r="H3297">
        <v>0.2765455</v>
      </c>
      <c r="Q3297" s="10">
        <f t="shared" si="122"/>
        <v>2.9075279936219927E-2</v>
      </c>
      <c r="AI3297">
        <v>6.3150999999999997E-3</v>
      </c>
      <c r="AJ3297">
        <f t="shared" si="121"/>
        <v>6.3150999999999997E-3</v>
      </c>
      <c r="AO3297">
        <v>6.3150999999999997E-3</v>
      </c>
      <c r="AR3297" s="8">
        <v>0</v>
      </c>
      <c r="AS3297">
        <v>0.26251970000000002</v>
      </c>
    </row>
    <row r="3298" spans="1:45" x14ac:dyDescent="0.25">
      <c r="A3298">
        <v>570</v>
      </c>
      <c r="B3298">
        <v>2003</v>
      </c>
      <c r="C3298" s="8">
        <v>0</v>
      </c>
      <c r="D3298">
        <v>4.0706899999999997E-2</v>
      </c>
      <c r="E3298">
        <v>0.18351229999999999</v>
      </c>
      <c r="F3298">
        <v>5.2087899999999999E-2</v>
      </c>
      <c r="G3298">
        <v>0.59982999999999997</v>
      </c>
      <c r="H3298">
        <v>0.26269809999999999</v>
      </c>
      <c r="Q3298" s="10">
        <f t="shared" si="122"/>
        <v>1.7930151024007676E-2</v>
      </c>
      <c r="AI3298">
        <v>0.16497970000000001</v>
      </c>
      <c r="AJ3298">
        <f t="shared" si="121"/>
        <v>0.16497970000000001</v>
      </c>
      <c r="AO3298">
        <v>0.16497970000000001</v>
      </c>
      <c r="AR3298" s="8">
        <v>0</v>
      </c>
      <c r="AS3298">
        <v>0.3965591</v>
      </c>
    </row>
    <row r="3299" spans="1:45" x14ac:dyDescent="0.25">
      <c r="A3299">
        <v>570</v>
      </c>
      <c r="B3299">
        <v>2004</v>
      </c>
      <c r="C3299" s="8">
        <v>0</v>
      </c>
      <c r="D3299">
        <v>6.3150999999999997E-3</v>
      </c>
      <c r="E3299">
        <v>0.17364789999999999</v>
      </c>
      <c r="F3299">
        <v>4.68055E-2</v>
      </c>
      <c r="G3299">
        <v>0.77019919999999997</v>
      </c>
      <c r="H3299">
        <v>0.26266460000000003</v>
      </c>
      <c r="Q3299" s="10">
        <f t="shared" si="122"/>
        <v>1.4310422715690056E-2</v>
      </c>
      <c r="AI3299">
        <v>9.4015899999999999E-2</v>
      </c>
      <c r="AJ3299">
        <f t="shared" si="121"/>
        <v>9.4015899999999999E-2</v>
      </c>
      <c r="AO3299">
        <v>9.4015899999999999E-2</v>
      </c>
      <c r="AR3299" s="8">
        <v>0</v>
      </c>
      <c r="AS3299">
        <v>0.41592790000000002</v>
      </c>
    </row>
    <row r="3300" spans="1:45" x14ac:dyDescent="0.25">
      <c r="A3300">
        <v>571</v>
      </c>
      <c r="B3300">
        <v>1995</v>
      </c>
      <c r="C3300" s="8">
        <v>0</v>
      </c>
      <c r="D3300">
        <v>0.16497970000000001</v>
      </c>
      <c r="E3300">
        <v>0.19675819999999999</v>
      </c>
      <c r="F3300">
        <v>1.6463499999999999E-2</v>
      </c>
      <c r="G3300">
        <v>0.56054040000000005</v>
      </c>
      <c r="H3300">
        <v>0.81455759999999999</v>
      </c>
      <c r="Q3300" s="10">
        <f t="shared" si="122"/>
        <v>3.621592093574777E-2</v>
      </c>
      <c r="AI3300">
        <v>0.31355709999999998</v>
      </c>
      <c r="AJ3300">
        <f t="shared" si="121"/>
        <v>0.31355709999999998</v>
      </c>
      <c r="AO3300">
        <v>0.31355709999999998</v>
      </c>
      <c r="AR3300" s="8">
        <v>0</v>
      </c>
      <c r="AS3300">
        <v>0.59982999999999997</v>
      </c>
    </row>
    <row r="3301" spans="1:45" x14ac:dyDescent="0.25">
      <c r="A3301">
        <v>571</v>
      </c>
      <c r="B3301">
        <v>1997</v>
      </c>
      <c r="C3301" s="8">
        <v>0</v>
      </c>
      <c r="D3301">
        <v>9.4015899999999999E-2</v>
      </c>
      <c r="E3301">
        <v>7.8600500000000004E-2</v>
      </c>
      <c r="F3301">
        <v>5.9579399999999998E-2</v>
      </c>
      <c r="G3301">
        <v>0.78018719999999997</v>
      </c>
      <c r="H3301">
        <v>0.72832509999999995</v>
      </c>
      <c r="Q3301" s="10">
        <f t="shared" si="122"/>
        <v>2.0088272815890179E-2</v>
      </c>
      <c r="AI3301">
        <v>0.45925939999999998</v>
      </c>
      <c r="AJ3301">
        <f t="shared" si="121"/>
        <v>0.45925939999999998</v>
      </c>
      <c r="AO3301">
        <v>0.45925939999999998</v>
      </c>
      <c r="AR3301" s="8">
        <v>0</v>
      </c>
      <c r="AS3301">
        <v>0.77019919999999997</v>
      </c>
    </row>
    <row r="3302" spans="1:45" x14ac:dyDescent="0.25">
      <c r="A3302">
        <v>572</v>
      </c>
      <c r="B3302">
        <v>1995</v>
      </c>
      <c r="C3302" s="8">
        <v>0</v>
      </c>
      <c r="D3302">
        <v>0.31355709999999998</v>
      </c>
      <c r="E3302">
        <v>0.254884</v>
      </c>
      <c r="F3302">
        <v>6.7696400000000004E-2</v>
      </c>
      <c r="G3302">
        <v>1.1359790000000001</v>
      </c>
      <c r="H3302">
        <v>0.89715590000000001</v>
      </c>
      <c r="Q3302" s="10">
        <f t="shared" si="122"/>
        <v>1.0151225637366826E-2</v>
      </c>
      <c r="AI3302">
        <v>0.44169000000000003</v>
      </c>
      <c r="AJ3302">
        <f t="shared" si="121"/>
        <v>0.44169000000000003</v>
      </c>
      <c r="AO3302">
        <v>0.44169000000000003</v>
      </c>
      <c r="AR3302" s="8">
        <v>0</v>
      </c>
      <c r="AS3302">
        <v>0.56054040000000005</v>
      </c>
    </row>
    <row r="3303" spans="1:45" x14ac:dyDescent="0.25">
      <c r="A3303">
        <v>572</v>
      </c>
      <c r="B3303">
        <v>1996</v>
      </c>
      <c r="C3303" s="8">
        <v>0</v>
      </c>
      <c r="D3303">
        <v>0.45925939999999998</v>
      </c>
      <c r="E3303">
        <v>0.26697769999999998</v>
      </c>
      <c r="F3303">
        <v>6.4249100000000003E-2</v>
      </c>
      <c r="G3303">
        <v>1.5143580000000001</v>
      </c>
      <c r="H3303">
        <v>1.0842689999999999</v>
      </c>
      <c r="Q3303" s="10">
        <f t="shared" si="122"/>
        <v>6.7154015784289135E-3</v>
      </c>
      <c r="AI3303">
        <v>0.41567809999999999</v>
      </c>
      <c r="AJ3303">
        <f t="shared" si="121"/>
        <v>0.41567809999999999</v>
      </c>
      <c r="AO3303">
        <v>0.41567809999999999</v>
      </c>
      <c r="AR3303" s="8">
        <v>0</v>
      </c>
      <c r="AS3303">
        <v>0.78018719999999997</v>
      </c>
    </row>
    <row r="3304" spans="1:45" x14ac:dyDescent="0.25">
      <c r="A3304">
        <v>572</v>
      </c>
      <c r="B3304">
        <v>1997</v>
      </c>
      <c r="C3304" s="8">
        <v>0</v>
      </c>
      <c r="D3304">
        <v>0.44169000000000003</v>
      </c>
      <c r="E3304">
        <v>0.25839630000000002</v>
      </c>
      <c r="F3304">
        <v>6.0454300000000002E-2</v>
      </c>
      <c r="G3304">
        <v>1.5099100000000001</v>
      </c>
      <c r="H3304">
        <v>0.84916809999999998</v>
      </c>
      <c r="Q3304" s="10">
        <f t="shared" si="122"/>
        <v>6.0617864803164763E-3</v>
      </c>
      <c r="AI3304">
        <v>0.41058990000000001</v>
      </c>
      <c r="AJ3304">
        <f t="shared" si="121"/>
        <v>0.41058990000000001</v>
      </c>
      <c r="AO3304">
        <v>0.41058990000000001</v>
      </c>
      <c r="AR3304" s="8">
        <v>0</v>
      </c>
      <c r="AS3304">
        <v>1.1359790000000001</v>
      </c>
    </row>
    <row r="3305" spans="1:45" x14ac:dyDescent="0.25">
      <c r="A3305">
        <v>572</v>
      </c>
      <c r="B3305">
        <v>1998</v>
      </c>
      <c r="C3305" s="8">
        <v>0</v>
      </c>
      <c r="D3305">
        <v>0.41567809999999999</v>
      </c>
      <c r="E3305">
        <v>0.3090328</v>
      </c>
      <c r="F3305">
        <v>6.4380300000000001E-2</v>
      </c>
      <c r="G3305">
        <v>1.9206540000000001</v>
      </c>
      <c r="H3305">
        <v>0.8541569</v>
      </c>
      <c r="Q3305" s="10">
        <f t="shared" si="122"/>
        <v>2.8235068875771168E-3</v>
      </c>
      <c r="AI3305">
        <v>0.39802510000000002</v>
      </c>
      <c r="AJ3305">
        <f t="shared" si="121"/>
        <v>0.39802510000000002</v>
      </c>
      <c r="AO3305">
        <v>0.39802510000000002</v>
      </c>
      <c r="AR3305" s="8">
        <v>0</v>
      </c>
      <c r="AS3305">
        <v>1.5143580000000001</v>
      </c>
    </row>
    <row r="3306" spans="1:45" x14ac:dyDescent="0.25">
      <c r="A3306">
        <v>572</v>
      </c>
      <c r="B3306">
        <v>1999</v>
      </c>
      <c r="C3306" s="8">
        <v>0</v>
      </c>
      <c r="D3306">
        <v>0.41058990000000001</v>
      </c>
      <c r="E3306">
        <v>0.34401340000000002</v>
      </c>
      <c r="F3306">
        <v>4.827E-2</v>
      </c>
      <c r="G3306">
        <v>2.9759980000000001</v>
      </c>
      <c r="H3306">
        <v>0.82448949999999999</v>
      </c>
      <c r="Q3306" s="10">
        <f t="shared" si="122"/>
        <v>5.5764652243027078E-4</v>
      </c>
      <c r="AI3306">
        <v>0.4157555</v>
      </c>
      <c r="AJ3306">
        <f t="shared" si="121"/>
        <v>0.4157555</v>
      </c>
      <c r="AO3306">
        <v>0.4157555</v>
      </c>
      <c r="AR3306" s="8">
        <v>0</v>
      </c>
      <c r="AS3306">
        <v>1.5099100000000001</v>
      </c>
    </row>
    <row r="3307" spans="1:45" x14ac:dyDescent="0.25">
      <c r="A3307">
        <v>572</v>
      </c>
      <c r="B3307">
        <v>2000</v>
      </c>
      <c r="C3307" s="8">
        <v>0</v>
      </c>
      <c r="D3307">
        <v>0.39802510000000002</v>
      </c>
      <c r="E3307">
        <v>0.29308279999999998</v>
      </c>
      <c r="F3307">
        <v>5.8991300000000003E-2</v>
      </c>
      <c r="G3307">
        <v>2.8877570000000001</v>
      </c>
      <c r="H3307">
        <v>0.72456010000000004</v>
      </c>
      <c r="Q3307" s="10">
        <f t="shared" si="122"/>
        <v>5.9316275638565772E-4</v>
      </c>
      <c r="AI3307">
        <v>0.41863359999999999</v>
      </c>
      <c r="AJ3307">
        <f t="shared" si="121"/>
        <v>0.41863359999999999</v>
      </c>
      <c r="AO3307">
        <v>0.41863359999999999</v>
      </c>
      <c r="AR3307" s="8">
        <v>0</v>
      </c>
      <c r="AS3307">
        <v>1.9206540000000001</v>
      </c>
    </row>
    <row r="3308" spans="1:45" x14ac:dyDescent="0.25">
      <c r="A3308">
        <v>573</v>
      </c>
      <c r="B3308">
        <v>1995</v>
      </c>
      <c r="C3308" s="8">
        <v>0</v>
      </c>
      <c r="D3308">
        <v>0.4157555</v>
      </c>
      <c r="E3308">
        <v>-0.22630320000000001</v>
      </c>
      <c r="F3308">
        <v>6.9212200000000001E-2</v>
      </c>
      <c r="G3308">
        <v>1.66205</v>
      </c>
      <c r="H3308">
        <v>0.22935320000000001</v>
      </c>
      <c r="Q3308" s="10">
        <f t="shared" si="122"/>
        <v>6.0461380519347355E-3</v>
      </c>
      <c r="AI3308">
        <v>0.42748269999999999</v>
      </c>
      <c r="AJ3308">
        <f t="shared" si="121"/>
        <v>0.42748269999999999</v>
      </c>
      <c r="AO3308">
        <v>0.42748269999999999</v>
      </c>
      <c r="AR3308" s="8">
        <v>0</v>
      </c>
      <c r="AS3308">
        <v>2.9759980000000001</v>
      </c>
    </row>
    <row r="3309" spans="1:45" x14ac:dyDescent="0.25">
      <c r="A3309">
        <v>573</v>
      </c>
      <c r="B3309">
        <v>1996</v>
      </c>
      <c r="C3309" s="8">
        <v>0</v>
      </c>
      <c r="D3309">
        <v>0.41863359999999999</v>
      </c>
      <c r="E3309">
        <v>-3.9449199999999997E-2</v>
      </c>
      <c r="F3309">
        <v>6.5135999999999999E-2</v>
      </c>
      <c r="G3309">
        <v>1.4658659999999999</v>
      </c>
      <c r="H3309">
        <v>0.23782120000000001</v>
      </c>
      <c r="Q3309" s="10">
        <f t="shared" si="122"/>
        <v>6.5463698162914431E-3</v>
      </c>
      <c r="AI3309">
        <v>0.20192969999999999</v>
      </c>
      <c r="AJ3309">
        <f t="shared" si="121"/>
        <v>0.20192969999999999</v>
      </c>
      <c r="AO3309">
        <v>0.20192969999999999</v>
      </c>
      <c r="AR3309" s="8">
        <v>0</v>
      </c>
      <c r="AS3309">
        <v>2.8877570000000001</v>
      </c>
    </row>
    <row r="3310" spans="1:45" x14ac:dyDescent="0.25">
      <c r="A3310">
        <v>573</v>
      </c>
      <c r="B3310">
        <v>1997</v>
      </c>
      <c r="C3310" s="8">
        <v>0</v>
      </c>
      <c r="D3310">
        <v>0.42748269999999999</v>
      </c>
      <c r="E3310">
        <v>5.3894200000000003E-2</v>
      </c>
      <c r="F3310">
        <v>6.2193499999999999E-2</v>
      </c>
      <c r="G3310">
        <v>3.3731460000000002</v>
      </c>
      <c r="H3310">
        <v>0.1990912</v>
      </c>
      <c r="Q3310" s="10">
        <f t="shared" si="122"/>
        <v>2.7616720629198096E-4</v>
      </c>
      <c r="AI3310">
        <v>0.32722810000000002</v>
      </c>
      <c r="AJ3310">
        <f t="shared" si="121"/>
        <v>0.32722810000000002</v>
      </c>
      <c r="AO3310">
        <v>0.32722810000000002</v>
      </c>
      <c r="AR3310" s="8">
        <v>0</v>
      </c>
      <c r="AS3310">
        <v>1.66205</v>
      </c>
    </row>
    <row r="3311" spans="1:45" x14ac:dyDescent="0.25">
      <c r="A3311">
        <v>573</v>
      </c>
      <c r="B3311">
        <v>1998</v>
      </c>
      <c r="C3311" s="8">
        <v>0</v>
      </c>
      <c r="D3311">
        <v>0.20192969999999999</v>
      </c>
      <c r="E3311">
        <v>-0.2255617</v>
      </c>
      <c r="F3311">
        <v>6.2211500000000003E-2</v>
      </c>
      <c r="G3311">
        <v>2.2670409999999999</v>
      </c>
      <c r="H3311">
        <v>0.19880970000000001</v>
      </c>
      <c r="Q3311" s="10">
        <f t="shared" si="122"/>
        <v>2.1958299606124288E-3</v>
      </c>
      <c r="AI3311">
        <v>0.315803</v>
      </c>
      <c r="AJ3311">
        <f t="shared" si="121"/>
        <v>0.315803</v>
      </c>
      <c r="AO3311">
        <v>0.315803</v>
      </c>
      <c r="AR3311" s="8">
        <v>0</v>
      </c>
      <c r="AS3311">
        <v>1.4658659999999999</v>
      </c>
    </row>
    <row r="3312" spans="1:45" x14ac:dyDescent="0.25">
      <c r="A3312">
        <v>573</v>
      </c>
      <c r="B3312">
        <v>1999</v>
      </c>
      <c r="C3312" s="8">
        <v>0</v>
      </c>
      <c r="D3312">
        <v>0.32722810000000002</v>
      </c>
      <c r="E3312">
        <v>-0.158221</v>
      </c>
      <c r="F3312">
        <v>7.9754800000000001E-2</v>
      </c>
      <c r="G3312">
        <v>2.5444300000000002</v>
      </c>
      <c r="H3312">
        <v>0.1640173</v>
      </c>
      <c r="Q3312" s="10">
        <f t="shared" si="122"/>
        <v>1.1476096768434486E-3</v>
      </c>
      <c r="AI3312">
        <v>0.39786120000000003</v>
      </c>
      <c r="AJ3312">
        <f t="shared" si="121"/>
        <v>0.39786120000000003</v>
      </c>
      <c r="AO3312">
        <v>0.39786120000000003</v>
      </c>
      <c r="AR3312" s="8">
        <v>0</v>
      </c>
      <c r="AS3312">
        <v>3.3731460000000002</v>
      </c>
    </row>
    <row r="3313" spans="1:45" x14ac:dyDescent="0.25">
      <c r="A3313">
        <v>573</v>
      </c>
      <c r="B3313">
        <v>2000</v>
      </c>
      <c r="C3313" s="8">
        <v>0</v>
      </c>
      <c r="D3313">
        <v>0.315803</v>
      </c>
      <c r="E3313">
        <v>-0.1151406</v>
      </c>
      <c r="F3313">
        <v>3.4833900000000001E-2</v>
      </c>
      <c r="G3313">
        <v>3.4175170000000001</v>
      </c>
      <c r="H3313">
        <v>0.1725285</v>
      </c>
      <c r="Q3313" s="10">
        <f t="shared" si="122"/>
        <v>3.8455199411731523E-4</v>
      </c>
      <c r="AI3313">
        <v>0.31034319999999999</v>
      </c>
      <c r="AJ3313">
        <f t="shared" si="121"/>
        <v>0.31034319999999999</v>
      </c>
      <c r="AO3313">
        <v>0.31034319999999999</v>
      </c>
      <c r="AR3313" s="8">
        <v>0</v>
      </c>
      <c r="AS3313">
        <v>2.2670409999999999</v>
      </c>
    </row>
    <row r="3314" spans="1:45" x14ac:dyDescent="0.25">
      <c r="A3314">
        <v>573</v>
      </c>
      <c r="B3314">
        <v>2001</v>
      </c>
      <c r="C3314" s="8">
        <v>0</v>
      </c>
      <c r="D3314">
        <v>0.39786120000000003</v>
      </c>
      <c r="E3314">
        <v>-9.2899999999999996E-2</v>
      </c>
      <c r="F3314">
        <v>6.7002199999999998E-2</v>
      </c>
      <c r="G3314">
        <v>2.9165930000000002</v>
      </c>
      <c r="H3314">
        <v>0.1374882</v>
      </c>
      <c r="Q3314" s="10">
        <f t="shared" si="122"/>
        <v>6.4724219550693976E-4</v>
      </c>
      <c r="AI3314">
        <v>0.52467319999999995</v>
      </c>
      <c r="AJ3314">
        <f t="shared" si="121"/>
        <v>0.52051970800000003</v>
      </c>
      <c r="AO3314">
        <v>0.52051970800000003</v>
      </c>
      <c r="AR3314" s="8">
        <v>0</v>
      </c>
      <c r="AS3314">
        <v>2.5444300000000002</v>
      </c>
    </row>
    <row r="3315" spans="1:45" x14ac:dyDescent="0.25">
      <c r="A3315">
        <v>573</v>
      </c>
      <c r="B3315">
        <v>2002</v>
      </c>
      <c r="C3315" s="8">
        <v>0</v>
      </c>
      <c r="D3315">
        <v>0.31034319999999999</v>
      </c>
      <c r="E3315">
        <v>-0.1885677</v>
      </c>
      <c r="F3315">
        <v>4.21635E-2</v>
      </c>
      <c r="G3315">
        <v>1.1817230000000001</v>
      </c>
      <c r="H3315">
        <v>0.15378269999999999</v>
      </c>
      <c r="Q3315" s="10">
        <f t="shared" si="122"/>
        <v>1.3845624978116968E-2</v>
      </c>
      <c r="AI3315">
        <v>0.41349429999999998</v>
      </c>
      <c r="AJ3315">
        <f t="shared" si="121"/>
        <v>0.41349429999999998</v>
      </c>
      <c r="AO3315">
        <v>0.41349429999999998</v>
      </c>
      <c r="AR3315" s="8">
        <v>0</v>
      </c>
      <c r="AS3315">
        <v>3.4175170000000001</v>
      </c>
    </row>
    <row r="3316" spans="1:45" x14ac:dyDescent="0.25">
      <c r="A3316">
        <v>573</v>
      </c>
      <c r="B3316">
        <v>2003</v>
      </c>
      <c r="C3316" s="8">
        <v>0</v>
      </c>
      <c r="D3316">
        <v>0.52467319999999995</v>
      </c>
      <c r="E3316">
        <v>-0.1628378</v>
      </c>
      <c r="F3316">
        <v>2.8163400000000002E-2</v>
      </c>
      <c r="G3316">
        <v>1.5547740000000001</v>
      </c>
      <c r="H3316">
        <v>0.10408530000000001</v>
      </c>
      <c r="Q3316" s="10">
        <f t="shared" si="122"/>
        <v>8.7688583913904244E-3</v>
      </c>
      <c r="AI3316">
        <v>0.40356979999999998</v>
      </c>
      <c r="AJ3316">
        <f t="shared" si="121"/>
        <v>0.40356979999999998</v>
      </c>
      <c r="AO3316">
        <v>0.40356979999999998</v>
      </c>
      <c r="AR3316" s="8">
        <v>0</v>
      </c>
      <c r="AS3316">
        <v>2.9165930000000002</v>
      </c>
    </row>
    <row r="3317" spans="1:45" x14ac:dyDescent="0.25">
      <c r="A3317">
        <v>573</v>
      </c>
      <c r="B3317">
        <v>2004</v>
      </c>
      <c r="C3317" s="8">
        <v>0</v>
      </c>
      <c r="D3317">
        <v>0.41349429999999998</v>
      </c>
      <c r="E3317">
        <v>-0.33296829999999999</v>
      </c>
      <c r="F3317">
        <v>4.0139000000000001E-2</v>
      </c>
      <c r="G3317">
        <v>2.1563400000000001</v>
      </c>
      <c r="H3317">
        <v>0.14899599999999999</v>
      </c>
      <c r="Q3317" s="10">
        <f t="shared" si="122"/>
        <v>3.860643518282551E-3</v>
      </c>
      <c r="AI3317">
        <v>0.34856470000000001</v>
      </c>
      <c r="AJ3317">
        <f t="shared" si="121"/>
        <v>0.34856470000000001</v>
      </c>
      <c r="AO3317">
        <v>0.34856470000000001</v>
      </c>
      <c r="AR3317" s="8">
        <v>0</v>
      </c>
      <c r="AS3317">
        <v>1.1817230000000001</v>
      </c>
    </row>
    <row r="3318" spans="1:45" x14ac:dyDescent="0.25">
      <c r="A3318">
        <v>574</v>
      </c>
      <c r="B3318">
        <v>1996</v>
      </c>
      <c r="C3318" s="8">
        <v>0</v>
      </c>
      <c r="D3318">
        <v>0.40356979999999998</v>
      </c>
      <c r="E3318">
        <v>0.1845977</v>
      </c>
      <c r="F3318">
        <v>3.9898099999999999E-2</v>
      </c>
      <c r="G3318">
        <v>1.290689</v>
      </c>
      <c r="H3318">
        <v>0.66067229999999999</v>
      </c>
      <c r="Q3318" s="10">
        <f t="shared" si="122"/>
        <v>9.8420761917452637E-3</v>
      </c>
      <c r="AI3318">
        <v>0.2681905</v>
      </c>
      <c r="AJ3318">
        <f t="shared" si="121"/>
        <v>0.2681905</v>
      </c>
      <c r="AO3318">
        <v>0.2681905</v>
      </c>
      <c r="AR3318" s="8">
        <v>0</v>
      </c>
      <c r="AS3318">
        <v>1.5547740000000001</v>
      </c>
    </row>
    <row r="3319" spans="1:45" x14ac:dyDescent="0.25">
      <c r="A3319">
        <v>574</v>
      </c>
      <c r="B3319">
        <v>1997</v>
      </c>
      <c r="C3319" s="8">
        <v>0</v>
      </c>
      <c r="D3319">
        <v>0.34856470000000001</v>
      </c>
      <c r="E3319">
        <v>0.26955099999999999</v>
      </c>
      <c r="F3319">
        <v>4.52288E-2</v>
      </c>
      <c r="G3319">
        <v>1.9739899999999999</v>
      </c>
      <c r="H3319">
        <v>0.76908699999999997</v>
      </c>
      <c r="Q3319" s="10">
        <f t="shared" si="122"/>
        <v>2.9533022097925632E-3</v>
      </c>
      <c r="AI3319">
        <v>0.30982910000000002</v>
      </c>
      <c r="AJ3319">
        <f t="shared" si="121"/>
        <v>0.30982910000000002</v>
      </c>
      <c r="AO3319">
        <v>0.30982910000000002</v>
      </c>
      <c r="AR3319" s="8">
        <v>0</v>
      </c>
      <c r="AS3319">
        <v>2.1563400000000001</v>
      </c>
    </row>
    <row r="3320" spans="1:45" x14ac:dyDescent="0.25">
      <c r="A3320">
        <v>574</v>
      </c>
      <c r="B3320">
        <v>1998</v>
      </c>
      <c r="C3320" s="8">
        <v>0</v>
      </c>
      <c r="D3320">
        <v>0.2681905</v>
      </c>
      <c r="E3320">
        <v>0.31496489999999999</v>
      </c>
      <c r="F3320">
        <v>2.23906E-2</v>
      </c>
      <c r="G3320">
        <v>1.239671</v>
      </c>
      <c r="H3320">
        <v>0.61087420000000003</v>
      </c>
      <c r="Q3320" s="10">
        <f t="shared" si="122"/>
        <v>9.3186964123250018E-3</v>
      </c>
      <c r="AI3320">
        <v>0.28378150000000002</v>
      </c>
      <c r="AJ3320">
        <f t="shared" si="121"/>
        <v>0.28378150000000002</v>
      </c>
      <c r="AO3320">
        <v>0.28378150000000002</v>
      </c>
      <c r="AR3320" s="8">
        <v>0</v>
      </c>
      <c r="AS3320">
        <v>1.290689</v>
      </c>
    </row>
    <row r="3321" spans="1:45" x14ac:dyDescent="0.25">
      <c r="A3321">
        <v>575</v>
      </c>
      <c r="B3321">
        <v>1996</v>
      </c>
      <c r="C3321" s="8">
        <v>0</v>
      </c>
      <c r="D3321">
        <v>0.30982910000000002</v>
      </c>
      <c r="E3321">
        <v>1.9061600000000001E-2</v>
      </c>
      <c r="F3321">
        <v>3.7319900000000003E-2</v>
      </c>
      <c r="G3321">
        <v>2.4847389999999998</v>
      </c>
      <c r="H3321">
        <v>0.43126759999999997</v>
      </c>
      <c r="Q3321" s="10">
        <f t="shared" si="122"/>
        <v>1.603878592726044E-3</v>
      </c>
      <c r="AI3321">
        <v>4.1666300000000003E-2</v>
      </c>
      <c r="AJ3321">
        <f t="shared" si="121"/>
        <v>4.1666300000000003E-2</v>
      </c>
      <c r="AO3321">
        <v>4.1666300000000003E-2</v>
      </c>
      <c r="AR3321" s="8">
        <v>0</v>
      </c>
      <c r="AS3321">
        <v>1.9739899999999999</v>
      </c>
    </row>
    <row r="3322" spans="1:45" x14ac:dyDescent="0.25">
      <c r="A3322">
        <v>575</v>
      </c>
      <c r="B3322">
        <v>1997</v>
      </c>
      <c r="C3322" s="8">
        <v>0</v>
      </c>
      <c r="D3322">
        <v>0.28378150000000002</v>
      </c>
      <c r="E3322">
        <v>9.6310000000000005E-4</v>
      </c>
      <c r="F3322">
        <v>3.9500599999999997E-2</v>
      </c>
      <c r="G3322">
        <v>1.04704</v>
      </c>
      <c r="H3322">
        <v>0.4090568</v>
      </c>
      <c r="Q3322" s="10">
        <f t="shared" si="122"/>
        <v>1.5393406167018332E-2</v>
      </c>
      <c r="AI3322">
        <v>0.11969059999999999</v>
      </c>
      <c r="AJ3322">
        <f t="shared" si="121"/>
        <v>0.11969059999999999</v>
      </c>
      <c r="AO3322">
        <v>0.11969059999999999</v>
      </c>
      <c r="AR3322" s="8">
        <v>0</v>
      </c>
      <c r="AS3322">
        <v>1.239671</v>
      </c>
    </row>
    <row r="3323" spans="1:45" x14ac:dyDescent="0.25">
      <c r="A3323">
        <v>575</v>
      </c>
      <c r="B3323">
        <v>1998</v>
      </c>
      <c r="C3323" s="8">
        <v>0</v>
      </c>
      <c r="D3323">
        <v>4.1666300000000003E-2</v>
      </c>
      <c r="E3323">
        <v>-2.0238699999999998E-2</v>
      </c>
      <c r="F3323">
        <v>2.3908100000000002E-2</v>
      </c>
      <c r="G3323">
        <v>0.62447459999999999</v>
      </c>
      <c r="H3323">
        <v>0.21339060000000001</v>
      </c>
      <c r="Q3323" s="10">
        <f t="shared" si="122"/>
        <v>2.7897030905449486E-2</v>
      </c>
      <c r="AI3323">
        <v>0.1055856</v>
      </c>
      <c r="AJ3323">
        <f t="shared" si="121"/>
        <v>0.1055856</v>
      </c>
      <c r="AO3323">
        <v>0.1055856</v>
      </c>
      <c r="AR3323" s="8">
        <v>0</v>
      </c>
      <c r="AS3323">
        <v>2.4847389999999998</v>
      </c>
    </row>
    <row r="3324" spans="1:45" x14ac:dyDescent="0.25">
      <c r="A3324">
        <v>575</v>
      </c>
      <c r="B3324">
        <v>1999</v>
      </c>
      <c r="C3324" s="8">
        <v>0</v>
      </c>
      <c r="D3324">
        <v>0.11969059999999999</v>
      </c>
      <c r="E3324">
        <v>3.3086600000000001E-2</v>
      </c>
      <c r="F3324">
        <v>3.99669E-2</v>
      </c>
      <c r="G3324">
        <v>0.56373620000000002</v>
      </c>
      <c r="H3324">
        <v>0.25138290000000002</v>
      </c>
      <c r="Q3324" s="10">
        <f t="shared" si="122"/>
        <v>2.6486847023053421E-2</v>
      </c>
      <c r="AI3324">
        <v>-4.36251E-2</v>
      </c>
      <c r="AJ3324">
        <f t="shared" si="121"/>
        <v>-4.36251E-2</v>
      </c>
      <c r="AO3324">
        <v>-4.36251E-2</v>
      </c>
      <c r="AR3324" s="8">
        <v>0</v>
      </c>
      <c r="AS3324">
        <v>1.04704</v>
      </c>
    </row>
    <row r="3325" spans="1:45" x14ac:dyDescent="0.25">
      <c r="A3325">
        <v>575</v>
      </c>
      <c r="B3325">
        <v>2000</v>
      </c>
      <c r="C3325" s="8">
        <v>0</v>
      </c>
      <c r="D3325">
        <v>0.1055856</v>
      </c>
      <c r="E3325">
        <v>-5.7558400000000003E-2</v>
      </c>
      <c r="F3325">
        <v>-1.77007E-2</v>
      </c>
      <c r="G3325">
        <v>0.49079610000000001</v>
      </c>
      <c r="H3325">
        <v>0.35145189999999998</v>
      </c>
      <c r="Q3325" s="10">
        <f t="shared" si="122"/>
        <v>5.5264717912996052E-2</v>
      </c>
      <c r="AI3325">
        <v>-4.1002499999999997E-2</v>
      </c>
      <c r="AJ3325">
        <f t="shared" si="121"/>
        <v>-4.1002499999999997E-2</v>
      </c>
      <c r="AO3325">
        <v>-4.1002499999999997E-2</v>
      </c>
      <c r="AR3325" s="8">
        <v>0</v>
      </c>
      <c r="AS3325">
        <v>0.62447459999999999</v>
      </c>
    </row>
    <row r="3326" spans="1:45" x14ac:dyDescent="0.25">
      <c r="A3326">
        <v>576</v>
      </c>
      <c r="B3326">
        <v>1995</v>
      </c>
      <c r="C3326" s="8">
        <v>0</v>
      </c>
      <c r="D3326">
        <v>-4.36251E-2</v>
      </c>
      <c r="E3326">
        <v>4.60594E-2</v>
      </c>
      <c r="F3326">
        <v>7.1730199999999994E-2</v>
      </c>
      <c r="G3326">
        <v>1.275272</v>
      </c>
      <c r="H3326">
        <v>1.0237369999999999</v>
      </c>
      <c r="Q3326" s="10">
        <f t="shared" si="122"/>
        <v>9.9504734827941844E-3</v>
      </c>
      <c r="AI3326">
        <v>-3.1295900000000001E-2</v>
      </c>
      <c r="AJ3326">
        <f t="shared" si="121"/>
        <v>-3.1295900000000001E-2</v>
      </c>
      <c r="AO3326">
        <v>-3.1295900000000001E-2</v>
      </c>
      <c r="AR3326" s="8">
        <v>0</v>
      </c>
      <c r="AS3326">
        <v>0.56373620000000002</v>
      </c>
    </row>
    <row r="3327" spans="1:45" x14ac:dyDescent="0.25">
      <c r="A3327">
        <v>576</v>
      </c>
      <c r="B3327">
        <v>1996</v>
      </c>
      <c r="C3327" s="8">
        <v>0</v>
      </c>
      <c r="D3327">
        <v>-4.1002499999999997E-2</v>
      </c>
      <c r="E3327">
        <v>0.1261563</v>
      </c>
      <c r="F3327">
        <v>7.4153999999999998E-2</v>
      </c>
      <c r="G3327">
        <v>2.1992240000000001</v>
      </c>
      <c r="H3327">
        <v>1.010149</v>
      </c>
      <c r="Q3327" s="10">
        <f t="shared" si="122"/>
        <v>1.9937862526859715E-3</v>
      </c>
      <c r="AI3327">
        <v>-2.07672E-2</v>
      </c>
      <c r="AJ3327">
        <f t="shared" si="121"/>
        <v>-2.07672E-2</v>
      </c>
      <c r="AO3327">
        <v>-2.07672E-2</v>
      </c>
      <c r="AR3327" s="8">
        <v>0</v>
      </c>
      <c r="AS3327">
        <v>0.49079610000000001</v>
      </c>
    </row>
    <row r="3328" spans="1:45" x14ac:dyDescent="0.25">
      <c r="A3328">
        <v>576</v>
      </c>
      <c r="B3328">
        <v>1997</v>
      </c>
      <c r="C3328" s="8">
        <v>0</v>
      </c>
      <c r="D3328">
        <v>-3.1295900000000001E-2</v>
      </c>
      <c r="E3328">
        <v>0.1523333</v>
      </c>
      <c r="F3328">
        <v>7.7388100000000001E-2</v>
      </c>
      <c r="G3328">
        <v>2.395753</v>
      </c>
      <c r="H3328">
        <v>0.95045089999999999</v>
      </c>
      <c r="Q3328" s="10">
        <f t="shared" si="122"/>
        <v>1.3239418024150209E-3</v>
      </c>
      <c r="AI3328">
        <v>-8.4241999999999997E-3</v>
      </c>
      <c r="AJ3328">
        <f t="shared" si="121"/>
        <v>-8.4241999999999997E-3</v>
      </c>
      <c r="AO3328">
        <v>-8.4241999999999997E-3</v>
      </c>
      <c r="AR3328" s="8">
        <v>0</v>
      </c>
      <c r="AS3328">
        <v>1.275272</v>
      </c>
    </row>
    <row r="3329" spans="1:45" x14ac:dyDescent="0.25">
      <c r="A3329">
        <v>576</v>
      </c>
      <c r="B3329">
        <v>1998</v>
      </c>
      <c r="C3329" s="8">
        <v>0</v>
      </c>
      <c r="D3329">
        <v>-2.07672E-2</v>
      </c>
      <c r="E3329">
        <v>0.1970749</v>
      </c>
      <c r="F3329">
        <v>6.9544999999999996E-2</v>
      </c>
      <c r="G3329">
        <v>3.592714</v>
      </c>
      <c r="H3329">
        <v>0.7324271</v>
      </c>
      <c r="Q3329" s="10">
        <f t="shared" si="122"/>
        <v>1.7225614400944345E-4</v>
      </c>
      <c r="AI3329">
        <v>2.8186999999999999E-3</v>
      </c>
      <c r="AJ3329">
        <f t="shared" si="121"/>
        <v>2.8186999999999999E-3</v>
      </c>
      <c r="AO3329">
        <v>2.8186999999999999E-3</v>
      </c>
      <c r="AR3329" s="8">
        <v>0</v>
      </c>
      <c r="AS3329">
        <v>2.1992240000000001</v>
      </c>
    </row>
    <row r="3330" spans="1:45" x14ac:dyDescent="0.25">
      <c r="A3330">
        <v>576</v>
      </c>
      <c r="B3330">
        <v>1999</v>
      </c>
      <c r="C3330" s="8">
        <v>0</v>
      </c>
      <c r="D3330">
        <v>-8.4241999999999997E-3</v>
      </c>
      <c r="E3330">
        <v>0.21652460000000001</v>
      </c>
      <c r="F3330">
        <v>6.8449599999999999E-2</v>
      </c>
      <c r="G3330">
        <v>1.7089240000000001</v>
      </c>
      <c r="H3330">
        <v>0.69350210000000001</v>
      </c>
      <c r="Q3330" s="10">
        <f t="shared" si="122"/>
        <v>3.3252330832954781E-3</v>
      </c>
      <c r="AI3330">
        <v>1.1727E-3</v>
      </c>
      <c r="AJ3330">
        <f t="shared" si="121"/>
        <v>1.1727E-3</v>
      </c>
      <c r="AO3330">
        <v>1.1727E-3</v>
      </c>
      <c r="AR3330" s="8">
        <v>0</v>
      </c>
      <c r="AS3330">
        <v>2.395753</v>
      </c>
    </row>
    <row r="3331" spans="1:45" x14ac:dyDescent="0.25">
      <c r="A3331">
        <v>576</v>
      </c>
      <c r="B3331">
        <v>2000</v>
      </c>
      <c r="C3331" s="8">
        <v>0</v>
      </c>
      <c r="D3331">
        <v>2.8186999999999999E-3</v>
      </c>
      <c r="E3331">
        <v>0.27161259999999998</v>
      </c>
      <c r="F3331">
        <v>6.2901399999999996E-2</v>
      </c>
      <c r="G3331">
        <v>2.9861879999999998</v>
      </c>
      <c r="H3331">
        <v>0.65525069999999996</v>
      </c>
      <c r="Q3331" s="10">
        <f t="shared" si="122"/>
        <v>4.1240584157373851E-4</v>
      </c>
      <c r="AI3331">
        <v>4.2164899999999998E-2</v>
      </c>
      <c r="AJ3331">
        <f t="shared" si="121"/>
        <v>4.2164899999999998E-2</v>
      </c>
      <c r="AO3331">
        <v>4.2164899999999998E-2</v>
      </c>
      <c r="AR3331" s="8">
        <v>0</v>
      </c>
      <c r="AS3331">
        <v>3.592714</v>
      </c>
    </row>
    <row r="3332" spans="1:45" x14ac:dyDescent="0.25">
      <c r="A3332">
        <v>576</v>
      </c>
      <c r="B3332">
        <v>2001</v>
      </c>
      <c r="C3332" s="8">
        <v>0</v>
      </c>
      <c r="D3332">
        <v>1.1727E-3</v>
      </c>
      <c r="E3332">
        <v>0.32480710000000002</v>
      </c>
      <c r="F3332">
        <v>8.5510900000000001E-2</v>
      </c>
      <c r="G3332">
        <v>1.837561</v>
      </c>
      <c r="H3332">
        <v>0.64700199999999997</v>
      </c>
      <c r="Q3332" s="10">
        <f t="shared" si="122"/>
        <v>1.9721843047453688E-3</v>
      </c>
      <c r="AI3332">
        <v>3.6643799999999997E-2</v>
      </c>
      <c r="AJ3332">
        <f t="shared" si="121"/>
        <v>3.6643799999999997E-2</v>
      </c>
      <c r="AO3332">
        <v>3.6643799999999997E-2</v>
      </c>
      <c r="AR3332" s="8">
        <v>0</v>
      </c>
      <c r="AS3332">
        <v>1.7089240000000001</v>
      </c>
    </row>
    <row r="3333" spans="1:45" x14ac:dyDescent="0.25">
      <c r="A3333">
        <v>576</v>
      </c>
      <c r="B3333">
        <v>2002</v>
      </c>
      <c r="C3333" s="8">
        <v>0</v>
      </c>
      <c r="D3333">
        <v>4.2164899999999998E-2</v>
      </c>
      <c r="E3333">
        <v>0.28019110000000003</v>
      </c>
      <c r="F3333">
        <v>6.3340400000000005E-2</v>
      </c>
      <c r="G3333">
        <v>0.85877780000000004</v>
      </c>
      <c r="H3333">
        <v>0.64628430000000003</v>
      </c>
      <c r="Q3333" s="10">
        <f t="shared" si="122"/>
        <v>1.2031788791739854E-2</v>
      </c>
      <c r="AI3333">
        <v>2.2890199999999999E-2</v>
      </c>
      <c r="AJ3333">
        <f t="shared" ref="AJ3333:AJ3396" si="123">MAX(MIN(AI3333,AM$5),AM$4)</f>
        <v>2.2890199999999999E-2</v>
      </c>
      <c r="AO3333">
        <v>2.2890199999999999E-2</v>
      </c>
      <c r="AR3333" s="8">
        <v>0</v>
      </c>
      <c r="AS3333">
        <v>2.9861879999999998</v>
      </c>
    </row>
    <row r="3334" spans="1:45" x14ac:dyDescent="0.25">
      <c r="A3334">
        <v>576</v>
      </c>
      <c r="B3334">
        <v>2003</v>
      </c>
      <c r="C3334" s="8">
        <v>0</v>
      </c>
      <c r="D3334">
        <v>3.6643799999999997E-2</v>
      </c>
      <c r="E3334">
        <v>0.31076930000000003</v>
      </c>
      <c r="F3334">
        <v>5.5252299999999997E-2</v>
      </c>
      <c r="G3334">
        <v>0.87754259999999995</v>
      </c>
      <c r="H3334">
        <v>0.77682569999999995</v>
      </c>
      <c r="Q3334" s="10">
        <f t="shared" si="122"/>
        <v>1.2879507584786266E-2</v>
      </c>
      <c r="AI3334">
        <v>0.41947109999999999</v>
      </c>
      <c r="AJ3334">
        <f t="shared" si="123"/>
        <v>0.41947109999999999</v>
      </c>
      <c r="AO3334">
        <v>0.41947109999999999</v>
      </c>
      <c r="AR3334" s="8">
        <v>0</v>
      </c>
      <c r="AS3334">
        <v>1.837561</v>
      </c>
    </row>
    <row r="3335" spans="1:45" x14ac:dyDescent="0.25">
      <c r="A3335">
        <v>576</v>
      </c>
      <c r="B3335">
        <v>2004</v>
      </c>
      <c r="C3335" s="8">
        <v>0</v>
      </c>
      <c r="D3335">
        <v>2.2890199999999999E-2</v>
      </c>
      <c r="E3335">
        <v>0.33059300000000003</v>
      </c>
      <c r="F3335">
        <v>4.8475200000000003E-2</v>
      </c>
      <c r="G3335">
        <v>0.82898749999999999</v>
      </c>
      <c r="H3335">
        <v>0.7664204</v>
      </c>
      <c r="Q3335" s="10">
        <f t="shared" ref="Q3335:Q3398" si="124">1/(1+EXP(-(J$6+SUMPRODUCT(K$6:O$6,D3335:H3335))))</f>
        <v>1.4083900390647884E-2</v>
      </c>
      <c r="AI3335">
        <v>0.42684450000000002</v>
      </c>
      <c r="AJ3335">
        <f t="shared" si="123"/>
        <v>0.42684450000000002</v>
      </c>
      <c r="AO3335">
        <v>0.42684450000000002</v>
      </c>
      <c r="AR3335" s="8">
        <v>0</v>
      </c>
      <c r="AS3335">
        <v>0.85877780000000004</v>
      </c>
    </row>
    <row r="3336" spans="1:45" x14ac:dyDescent="0.25">
      <c r="A3336">
        <v>577</v>
      </c>
      <c r="B3336">
        <v>1995</v>
      </c>
      <c r="C3336" s="8">
        <v>1</v>
      </c>
      <c r="D3336">
        <v>0.41947109999999999</v>
      </c>
      <c r="E3336">
        <v>-0.15654470000000001</v>
      </c>
      <c r="F3336">
        <v>3.0897500000000001E-2</v>
      </c>
      <c r="G3336">
        <v>0.35354479999999999</v>
      </c>
      <c r="H3336">
        <v>0.53427619999999998</v>
      </c>
      <c r="Q3336" s="10">
        <f t="shared" si="124"/>
        <v>6.7768313043177764E-2</v>
      </c>
      <c r="AI3336">
        <v>0.58372590000000002</v>
      </c>
      <c r="AJ3336">
        <f t="shared" si="123"/>
        <v>0.52051970800000003</v>
      </c>
      <c r="AO3336">
        <v>0.52051970800000003</v>
      </c>
      <c r="AR3336" s="8">
        <v>0</v>
      </c>
      <c r="AS3336">
        <v>0.87754259999999995</v>
      </c>
    </row>
    <row r="3337" spans="1:45" x14ac:dyDescent="0.25">
      <c r="A3337">
        <v>578</v>
      </c>
      <c r="B3337">
        <v>1995</v>
      </c>
      <c r="C3337" s="8">
        <v>0</v>
      </c>
      <c r="D3337">
        <v>0.42684450000000002</v>
      </c>
      <c r="E3337">
        <v>0.1798478</v>
      </c>
      <c r="F3337">
        <v>5.9582999999999997E-3</v>
      </c>
      <c r="G3337">
        <v>0.1890068</v>
      </c>
      <c r="H3337">
        <v>0.3104691</v>
      </c>
      <c r="Q3337" s="10">
        <f t="shared" si="124"/>
        <v>5.8164591661227949E-2</v>
      </c>
      <c r="AI3337">
        <v>9.4093499999999997E-2</v>
      </c>
      <c r="AJ3337">
        <f t="shared" si="123"/>
        <v>9.4093499999999997E-2</v>
      </c>
      <c r="AO3337">
        <v>9.4093499999999997E-2</v>
      </c>
      <c r="AR3337" s="8">
        <v>0</v>
      </c>
      <c r="AS3337">
        <v>0.82898749999999999</v>
      </c>
    </row>
    <row r="3338" spans="1:45" x14ac:dyDescent="0.25">
      <c r="A3338">
        <v>578</v>
      </c>
      <c r="B3338">
        <v>1996</v>
      </c>
      <c r="C3338" s="8">
        <v>0</v>
      </c>
      <c r="D3338">
        <v>0.58372590000000002</v>
      </c>
      <c r="E3338">
        <v>0.12425949999999999</v>
      </c>
      <c r="F3338">
        <v>6.6033999999999997E-3</v>
      </c>
      <c r="G3338">
        <v>0.37617040000000002</v>
      </c>
      <c r="H3338">
        <v>0.43979040000000003</v>
      </c>
      <c r="Q3338" s="10">
        <f t="shared" si="124"/>
        <v>5.4064509561871484E-2</v>
      </c>
      <c r="AI3338">
        <v>1.45684E-2</v>
      </c>
      <c r="AJ3338">
        <f t="shared" si="123"/>
        <v>1.45684E-2</v>
      </c>
      <c r="AO3338">
        <v>1.45684E-2</v>
      </c>
      <c r="AR3338" s="8">
        <v>1</v>
      </c>
      <c r="AS3338">
        <v>0.35354479999999999</v>
      </c>
    </row>
    <row r="3339" spans="1:45" x14ac:dyDescent="0.25">
      <c r="A3339">
        <v>579</v>
      </c>
      <c r="B3339">
        <v>1995</v>
      </c>
      <c r="C3339" s="8">
        <v>0</v>
      </c>
      <c r="D3339">
        <v>9.4093499999999997E-2</v>
      </c>
      <c r="E3339">
        <v>-0.1273533</v>
      </c>
      <c r="F3339">
        <v>3.0569599999999999E-2</v>
      </c>
      <c r="G3339">
        <v>1.6337269999999999</v>
      </c>
      <c r="H3339">
        <v>0.1480892</v>
      </c>
      <c r="Q3339" s="10">
        <f t="shared" si="124"/>
        <v>6.2087828957711113E-3</v>
      </c>
      <c r="AI3339">
        <v>-1.2167E-3</v>
      </c>
      <c r="AJ3339">
        <f t="shared" si="123"/>
        <v>-1.2167E-3</v>
      </c>
      <c r="AO3339">
        <v>-1.2167E-3</v>
      </c>
      <c r="AR3339" s="8">
        <v>0</v>
      </c>
      <c r="AS3339">
        <v>0.1890068</v>
      </c>
    </row>
    <row r="3340" spans="1:45" x14ac:dyDescent="0.25">
      <c r="A3340">
        <v>579</v>
      </c>
      <c r="B3340">
        <v>1996</v>
      </c>
      <c r="C3340" s="8">
        <v>0</v>
      </c>
      <c r="D3340">
        <v>1.45684E-2</v>
      </c>
      <c r="E3340">
        <v>-0.1186166</v>
      </c>
      <c r="F3340">
        <v>3.5596000000000003E-2</v>
      </c>
      <c r="G3340">
        <v>2.225444</v>
      </c>
      <c r="H3340">
        <v>0.17568110000000001</v>
      </c>
      <c r="Q3340" s="10">
        <f t="shared" si="124"/>
        <v>2.266421081796908E-3</v>
      </c>
      <c r="AI3340">
        <v>2.4848000000000001E-3</v>
      </c>
      <c r="AJ3340">
        <f t="shared" si="123"/>
        <v>2.4848000000000001E-3</v>
      </c>
      <c r="AO3340">
        <v>2.4848000000000001E-3</v>
      </c>
      <c r="AR3340" s="8">
        <v>0</v>
      </c>
      <c r="AS3340">
        <v>0.37617040000000002</v>
      </c>
    </row>
    <row r="3341" spans="1:45" x14ac:dyDescent="0.25">
      <c r="A3341">
        <v>579</v>
      </c>
      <c r="B3341">
        <v>1997</v>
      </c>
      <c r="C3341" s="8">
        <v>0</v>
      </c>
      <c r="D3341">
        <v>-1.2167E-3</v>
      </c>
      <c r="E3341">
        <v>-0.32425349999999997</v>
      </c>
      <c r="F3341">
        <v>4.0749899999999999E-2</v>
      </c>
      <c r="G3341">
        <v>3.5023230000000001</v>
      </c>
      <c r="H3341">
        <v>0.14784630000000001</v>
      </c>
      <c r="Q3341" s="10">
        <f t="shared" si="124"/>
        <v>3.7503038646402131E-4</v>
      </c>
      <c r="AI3341">
        <v>-5.9642999999999996E-3</v>
      </c>
      <c r="AJ3341">
        <f t="shared" si="123"/>
        <v>-5.9642999999999996E-3</v>
      </c>
      <c r="AO3341">
        <v>-5.9642999999999996E-3</v>
      </c>
      <c r="AR3341" s="8">
        <v>0</v>
      </c>
      <c r="AS3341">
        <v>1.6337269999999999</v>
      </c>
    </row>
    <row r="3342" spans="1:45" x14ac:dyDescent="0.25">
      <c r="A3342">
        <v>579</v>
      </c>
      <c r="B3342">
        <v>1998</v>
      </c>
      <c r="C3342" s="8">
        <v>0</v>
      </c>
      <c r="D3342">
        <v>2.4848000000000001E-3</v>
      </c>
      <c r="E3342">
        <v>-0.41607129999999998</v>
      </c>
      <c r="F3342">
        <v>-0.11181480000000001</v>
      </c>
      <c r="G3342">
        <v>1.473644</v>
      </c>
      <c r="H3342">
        <v>0.1049915</v>
      </c>
      <c r="Q3342" s="10">
        <f t="shared" si="124"/>
        <v>3.4677126491801498E-2</v>
      </c>
      <c r="AI3342">
        <v>-6.04436E-2</v>
      </c>
      <c r="AJ3342">
        <f t="shared" si="123"/>
        <v>-6.04436E-2</v>
      </c>
      <c r="AO3342">
        <v>-6.04436E-2</v>
      </c>
      <c r="AR3342" s="8">
        <v>0</v>
      </c>
      <c r="AS3342">
        <v>2.225444</v>
      </c>
    </row>
    <row r="3343" spans="1:45" x14ac:dyDescent="0.25">
      <c r="A3343">
        <v>579</v>
      </c>
      <c r="B3343">
        <v>1999</v>
      </c>
      <c r="C3343" s="8">
        <v>0</v>
      </c>
      <c r="D3343">
        <v>-5.9642999999999996E-3</v>
      </c>
      <c r="E3343">
        <v>-0.2392301</v>
      </c>
      <c r="F3343">
        <v>4.54332E-2</v>
      </c>
      <c r="G3343">
        <v>1.354033</v>
      </c>
      <c r="H3343">
        <v>9.8438700000000004E-2</v>
      </c>
      <c r="Q3343" s="10">
        <f t="shared" si="124"/>
        <v>9.3934949123326249E-3</v>
      </c>
      <c r="AI3343">
        <v>-3.56589E-2</v>
      </c>
      <c r="AJ3343">
        <f t="shared" si="123"/>
        <v>-3.56589E-2</v>
      </c>
      <c r="AO3343">
        <v>-3.56589E-2</v>
      </c>
      <c r="AR3343" s="8">
        <v>0</v>
      </c>
      <c r="AS3343">
        <v>3.5023230000000001</v>
      </c>
    </row>
    <row r="3344" spans="1:45" x14ac:dyDescent="0.25">
      <c r="A3344">
        <v>580</v>
      </c>
      <c r="B3344">
        <v>1999</v>
      </c>
      <c r="C3344" s="8">
        <v>0</v>
      </c>
      <c r="D3344">
        <v>-6.04436E-2</v>
      </c>
      <c r="E3344">
        <v>0.13814969999999999</v>
      </c>
      <c r="F3344">
        <v>6.7840499999999998E-2</v>
      </c>
      <c r="G3344">
        <v>2.249339</v>
      </c>
      <c r="H3344">
        <v>0.52713719999999997</v>
      </c>
      <c r="Q3344" s="10">
        <f t="shared" si="124"/>
        <v>1.3999577084471641E-3</v>
      </c>
      <c r="AI3344">
        <v>3.1663700000000003E-2</v>
      </c>
      <c r="AJ3344">
        <f t="shared" si="123"/>
        <v>3.1663700000000003E-2</v>
      </c>
      <c r="AO3344">
        <v>3.1663700000000003E-2</v>
      </c>
      <c r="AR3344" s="8">
        <v>0</v>
      </c>
      <c r="AS3344">
        <v>1.473644</v>
      </c>
    </row>
    <row r="3345" spans="1:45" x14ac:dyDescent="0.25">
      <c r="A3345">
        <v>580</v>
      </c>
      <c r="B3345">
        <v>2000</v>
      </c>
      <c r="C3345" s="8">
        <v>0</v>
      </c>
      <c r="D3345">
        <v>-3.56589E-2</v>
      </c>
      <c r="E3345">
        <v>0.1494086</v>
      </c>
      <c r="F3345">
        <v>6.5200800000000003E-2</v>
      </c>
      <c r="G3345">
        <v>1.634822</v>
      </c>
      <c r="H3345">
        <v>0.41511759999999998</v>
      </c>
      <c r="Q3345" s="10">
        <f t="shared" si="124"/>
        <v>3.5225990619982823E-3</v>
      </c>
      <c r="AI3345">
        <v>8.6642999999999998E-3</v>
      </c>
      <c r="AJ3345">
        <f t="shared" si="123"/>
        <v>8.6642999999999998E-3</v>
      </c>
      <c r="AO3345">
        <v>8.6642999999999998E-3</v>
      </c>
      <c r="AR3345" s="8">
        <v>0</v>
      </c>
      <c r="AS3345">
        <v>1.354033</v>
      </c>
    </row>
    <row r="3346" spans="1:45" x14ac:dyDescent="0.25">
      <c r="A3346">
        <v>580</v>
      </c>
      <c r="B3346">
        <v>2001</v>
      </c>
      <c r="C3346" s="8">
        <v>0</v>
      </c>
      <c r="D3346">
        <v>3.1663700000000003E-2</v>
      </c>
      <c r="E3346">
        <v>0.1432177</v>
      </c>
      <c r="F3346">
        <v>6.3390600000000005E-2</v>
      </c>
      <c r="G3346">
        <v>1.773741</v>
      </c>
      <c r="H3346">
        <v>0.41311569999999997</v>
      </c>
      <c r="Q3346" s="10">
        <f t="shared" si="124"/>
        <v>2.9698521885621592E-3</v>
      </c>
      <c r="AI3346">
        <v>7.7670500000000003E-2</v>
      </c>
      <c r="AJ3346">
        <f t="shared" si="123"/>
        <v>7.7670500000000003E-2</v>
      </c>
      <c r="AO3346">
        <v>7.7670500000000003E-2</v>
      </c>
      <c r="AR3346" s="8">
        <v>0</v>
      </c>
      <c r="AS3346">
        <v>2.249339</v>
      </c>
    </row>
    <row r="3347" spans="1:45" x14ac:dyDescent="0.25">
      <c r="A3347">
        <v>580</v>
      </c>
      <c r="B3347">
        <v>2002</v>
      </c>
      <c r="C3347" s="8">
        <v>0</v>
      </c>
      <c r="D3347">
        <v>8.6642999999999998E-3</v>
      </c>
      <c r="E3347">
        <v>0.14865220000000001</v>
      </c>
      <c r="F3347">
        <v>6.7582100000000006E-2</v>
      </c>
      <c r="G3347">
        <v>1.3858790000000001</v>
      </c>
      <c r="H3347">
        <v>0.3547034</v>
      </c>
      <c r="Q3347" s="10">
        <f t="shared" si="124"/>
        <v>5.0398104619534829E-3</v>
      </c>
      <c r="AI3347">
        <v>4.6979600000000003E-2</v>
      </c>
      <c r="AJ3347">
        <f t="shared" si="123"/>
        <v>4.6979600000000003E-2</v>
      </c>
      <c r="AO3347">
        <v>4.6979600000000003E-2</v>
      </c>
      <c r="AR3347" s="8">
        <v>0</v>
      </c>
      <c r="AS3347">
        <v>1.634822</v>
      </c>
    </row>
    <row r="3348" spans="1:45" x14ac:dyDescent="0.25">
      <c r="A3348">
        <v>580</v>
      </c>
      <c r="B3348">
        <v>2003</v>
      </c>
      <c r="C3348" s="8">
        <v>0</v>
      </c>
      <c r="D3348">
        <v>7.7670500000000003E-2</v>
      </c>
      <c r="E3348">
        <v>0.16484799999999999</v>
      </c>
      <c r="F3348">
        <v>6.9551299999999996E-2</v>
      </c>
      <c r="G3348">
        <v>1.177187</v>
      </c>
      <c r="H3348">
        <v>0.33594170000000001</v>
      </c>
      <c r="Q3348" s="10">
        <f t="shared" si="124"/>
        <v>6.8604652195925781E-3</v>
      </c>
      <c r="AI3348">
        <v>1.5344699999999999E-2</v>
      </c>
      <c r="AJ3348">
        <f t="shared" si="123"/>
        <v>1.5344699999999999E-2</v>
      </c>
      <c r="AO3348">
        <v>1.5344699999999999E-2</v>
      </c>
      <c r="AR3348" s="8">
        <v>0</v>
      </c>
      <c r="AS3348">
        <v>1.773741</v>
      </c>
    </row>
    <row r="3349" spans="1:45" x14ac:dyDescent="0.25">
      <c r="A3349">
        <v>580</v>
      </c>
      <c r="B3349">
        <v>2004</v>
      </c>
      <c r="C3349" s="8">
        <v>0</v>
      </c>
      <c r="D3349">
        <v>4.6979600000000003E-2</v>
      </c>
      <c r="E3349">
        <v>0.2383777</v>
      </c>
      <c r="F3349">
        <v>6.9153099999999995E-2</v>
      </c>
      <c r="G3349">
        <v>1.5547260000000001</v>
      </c>
      <c r="H3349">
        <v>0.38791779999999998</v>
      </c>
      <c r="Q3349" s="10">
        <f t="shared" si="124"/>
        <v>3.4670579435994845E-3</v>
      </c>
      <c r="AI3349">
        <v>9.7035999999999997E-3</v>
      </c>
      <c r="AJ3349">
        <f t="shared" si="123"/>
        <v>9.7035999999999997E-3</v>
      </c>
      <c r="AO3349">
        <v>9.7035999999999997E-3</v>
      </c>
      <c r="AR3349" s="8">
        <v>0</v>
      </c>
      <c r="AS3349">
        <v>1.3858790000000001</v>
      </c>
    </row>
    <row r="3350" spans="1:45" x14ac:dyDescent="0.25">
      <c r="A3350">
        <v>581</v>
      </c>
      <c r="B3350">
        <v>1995</v>
      </c>
      <c r="C3350" s="8">
        <v>0</v>
      </c>
      <c r="D3350">
        <v>1.5344699999999999E-2</v>
      </c>
      <c r="E3350">
        <v>0.1500127</v>
      </c>
      <c r="F3350">
        <v>3.9074699999999997E-2</v>
      </c>
      <c r="G3350">
        <v>1.0607880000000001</v>
      </c>
      <c r="H3350">
        <v>9.8844699999999994E-2</v>
      </c>
      <c r="Q3350" s="10">
        <f t="shared" si="124"/>
        <v>9.0400487600896997E-3</v>
      </c>
      <c r="AI3350">
        <v>3.7045099999999997E-2</v>
      </c>
      <c r="AJ3350">
        <f t="shared" si="123"/>
        <v>3.7045099999999997E-2</v>
      </c>
      <c r="AO3350">
        <v>3.7045099999999997E-2</v>
      </c>
      <c r="AR3350" s="8">
        <v>0</v>
      </c>
      <c r="AS3350">
        <v>1.177187</v>
      </c>
    </row>
    <row r="3351" spans="1:45" x14ac:dyDescent="0.25">
      <c r="A3351">
        <v>581</v>
      </c>
      <c r="B3351">
        <v>1996</v>
      </c>
      <c r="C3351" s="8">
        <v>0</v>
      </c>
      <c r="D3351">
        <v>9.7035999999999997E-3</v>
      </c>
      <c r="E3351">
        <v>0.1396763</v>
      </c>
      <c r="F3351">
        <v>4.4254099999999998E-2</v>
      </c>
      <c r="G3351">
        <v>0.9709333</v>
      </c>
      <c r="H3351">
        <v>0.12414409999999999</v>
      </c>
      <c r="Q3351" s="10">
        <f t="shared" si="124"/>
        <v>1.0283501846620854E-2</v>
      </c>
      <c r="AI3351">
        <v>-2.7376000000000002E-3</v>
      </c>
      <c r="AJ3351">
        <f t="shared" si="123"/>
        <v>-2.7376000000000002E-3</v>
      </c>
      <c r="AO3351">
        <v>-2.7376000000000002E-3</v>
      </c>
      <c r="AR3351" s="8">
        <v>0</v>
      </c>
      <c r="AS3351">
        <v>1.5547260000000001</v>
      </c>
    </row>
    <row r="3352" spans="1:45" x14ac:dyDescent="0.25">
      <c r="A3352">
        <v>581</v>
      </c>
      <c r="B3352">
        <v>1997</v>
      </c>
      <c r="C3352" s="8">
        <v>0</v>
      </c>
      <c r="D3352">
        <v>3.7045099999999997E-2</v>
      </c>
      <c r="E3352">
        <v>0.15194440000000001</v>
      </c>
      <c r="F3352">
        <v>3.9661299999999997E-2</v>
      </c>
      <c r="G3352">
        <v>1.069917</v>
      </c>
      <c r="H3352">
        <v>0.1205807</v>
      </c>
      <c r="Q3352" s="10">
        <f t="shared" si="124"/>
        <v>9.0437570664886127E-3</v>
      </c>
      <c r="AI3352">
        <v>-2.4103800000000002E-2</v>
      </c>
      <c r="AJ3352">
        <f t="shared" si="123"/>
        <v>-2.4103800000000002E-2</v>
      </c>
      <c r="AO3352">
        <v>-2.4103800000000002E-2</v>
      </c>
      <c r="AR3352" s="8">
        <v>0</v>
      </c>
      <c r="AS3352">
        <v>1.0607880000000001</v>
      </c>
    </row>
    <row r="3353" spans="1:45" x14ac:dyDescent="0.25">
      <c r="A3353">
        <v>581</v>
      </c>
      <c r="B3353">
        <v>1998</v>
      </c>
      <c r="C3353" s="8">
        <v>0</v>
      </c>
      <c r="D3353">
        <v>-2.7376000000000002E-3</v>
      </c>
      <c r="E3353">
        <v>0.1562779</v>
      </c>
      <c r="F3353">
        <v>4.5935400000000001E-2</v>
      </c>
      <c r="G3353">
        <v>1.0076270000000001</v>
      </c>
      <c r="H3353">
        <v>8.5986400000000004E-2</v>
      </c>
      <c r="Q3353" s="10">
        <f t="shared" si="124"/>
        <v>9.0873493518520958E-3</v>
      </c>
      <c r="AI3353">
        <v>8.7642399999999995E-2</v>
      </c>
      <c r="AJ3353">
        <f t="shared" si="123"/>
        <v>8.7642399999999995E-2</v>
      </c>
      <c r="AO3353">
        <v>8.7642399999999995E-2</v>
      </c>
      <c r="AR3353" s="8">
        <v>0</v>
      </c>
      <c r="AS3353">
        <v>0.9709333</v>
      </c>
    </row>
    <row r="3354" spans="1:45" x14ac:dyDescent="0.25">
      <c r="A3354">
        <v>581</v>
      </c>
      <c r="B3354">
        <v>1999</v>
      </c>
      <c r="C3354" s="8">
        <v>0</v>
      </c>
      <c r="D3354">
        <v>-2.4103800000000002E-2</v>
      </c>
      <c r="E3354">
        <v>0.2164488</v>
      </c>
      <c r="F3354">
        <v>5.3505999999999998E-2</v>
      </c>
      <c r="G3354">
        <v>0.76170959999999999</v>
      </c>
      <c r="H3354">
        <v>0.12010949999999999</v>
      </c>
      <c r="Q3354" s="10">
        <f t="shared" si="124"/>
        <v>1.1709164198080669E-2</v>
      </c>
      <c r="AI3354">
        <v>3.6879299999999997E-2</v>
      </c>
      <c r="AJ3354">
        <f t="shared" si="123"/>
        <v>3.6879299999999997E-2</v>
      </c>
      <c r="AO3354">
        <v>3.6879299999999997E-2</v>
      </c>
      <c r="AR3354" s="8">
        <v>0</v>
      </c>
      <c r="AS3354">
        <v>1.069917</v>
      </c>
    </row>
    <row r="3355" spans="1:45" x14ac:dyDescent="0.25">
      <c r="A3355">
        <v>581</v>
      </c>
      <c r="B3355">
        <v>2000</v>
      </c>
      <c r="C3355" s="8">
        <v>0</v>
      </c>
      <c r="D3355">
        <v>8.7642399999999995E-2</v>
      </c>
      <c r="E3355">
        <v>0.16253719999999999</v>
      </c>
      <c r="F3355">
        <v>3.4013300000000003E-2</v>
      </c>
      <c r="G3355">
        <v>0.61923030000000001</v>
      </c>
      <c r="H3355">
        <v>0.1792492</v>
      </c>
      <c r="Q3355" s="10">
        <f t="shared" si="124"/>
        <v>2.0010550964056757E-2</v>
      </c>
      <c r="AI3355">
        <v>1.5280500000000001E-2</v>
      </c>
      <c r="AJ3355">
        <f t="shared" si="123"/>
        <v>1.5280500000000001E-2</v>
      </c>
      <c r="AO3355">
        <v>1.5280500000000001E-2</v>
      </c>
      <c r="AR3355" s="8">
        <v>0</v>
      </c>
      <c r="AS3355">
        <v>1.0076270000000001</v>
      </c>
    </row>
    <row r="3356" spans="1:45" x14ac:dyDescent="0.25">
      <c r="A3356">
        <v>581</v>
      </c>
      <c r="B3356">
        <v>2001</v>
      </c>
      <c r="C3356" s="8">
        <v>0</v>
      </c>
      <c r="D3356">
        <v>3.6879299999999997E-2</v>
      </c>
      <c r="E3356">
        <v>0.182171</v>
      </c>
      <c r="F3356">
        <v>4.4829899999999999E-2</v>
      </c>
      <c r="G3356">
        <v>0.5600366</v>
      </c>
      <c r="H3356">
        <v>0.13382269999999999</v>
      </c>
      <c r="Q3356" s="10">
        <f t="shared" si="124"/>
        <v>1.8684318083388045E-2</v>
      </c>
      <c r="AI3356">
        <v>2.1036699999999998E-2</v>
      </c>
      <c r="AJ3356">
        <f t="shared" si="123"/>
        <v>2.1036699999999998E-2</v>
      </c>
      <c r="AO3356">
        <v>2.1036699999999998E-2</v>
      </c>
      <c r="AR3356" s="8">
        <v>0</v>
      </c>
      <c r="AS3356">
        <v>0.76170959999999999</v>
      </c>
    </row>
    <row r="3357" spans="1:45" x14ac:dyDescent="0.25">
      <c r="A3357">
        <v>581</v>
      </c>
      <c r="B3357">
        <v>2002</v>
      </c>
      <c r="C3357" s="8">
        <v>0</v>
      </c>
      <c r="D3357">
        <v>1.5280500000000001E-2</v>
      </c>
      <c r="E3357">
        <v>0.1585162</v>
      </c>
      <c r="F3357">
        <v>5.5251500000000002E-2</v>
      </c>
      <c r="G3357">
        <v>0.62564019999999998</v>
      </c>
      <c r="H3357">
        <v>0.1386135</v>
      </c>
      <c r="Q3357" s="10">
        <f t="shared" si="124"/>
        <v>1.5973762288618427E-2</v>
      </c>
      <c r="AI3357">
        <v>1.7641400000000002E-2</v>
      </c>
      <c r="AJ3357">
        <f t="shared" si="123"/>
        <v>1.7641400000000002E-2</v>
      </c>
      <c r="AO3357">
        <v>1.7641400000000002E-2</v>
      </c>
      <c r="AR3357" s="8">
        <v>0</v>
      </c>
      <c r="AS3357">
        <v>0.61923030000000001</v>
      </c>
    </row>
    <row r="3358" spans="1:45" x14ac:dyDescent="0.25">
      <c r="A3358">
        <v>581</v>
      </c>
      <c r="B3358">
        <v>2003</v>
      </c>
      <c r="C3358" s="8">
        <v>0</v>
      </c>
      <c r="D3358">
        <v>2.1036699999999998E-2</v>
      </c>
      <c r="E3358">
        <v>0.16035469999999999</v>
      </c>
      <c r="F3358">
        <v>5.1674600000000001E-2</v>
      </c>
      <c r="G3358">
        <v>0.65922239999999999</v>
      </c>
      <c r="H3358">
        <v>0.13266049999999999</v>
      </c>
      <c r="Q3358" s="10">
        <f t="shared" si="124"/>
        <v>1.5526072843608149E-2</v>
      </c>
      <c r="AI3358">
        <v>0.19576560000000001</v>
      </c>
      <c r="AJ3358">
        <f t="shared" si="123"/>
        <v>0.19576560000000001</v>
      </c>
      <c r="AO3358">
        <v>0.19576560000000001</v>
      </c>
      <c r="AR3358" s="8">
        <v>0</v>
      </c>
      <c r="AS3358">
        <v>0.5600366</v>
      </c>
    </row>
    <row r="3359" spans="1:45" x14ac:dyDescent="0.25">
      <c r="A3359">
        <v>581</v>
      </c>
      <c r="B3359">
        <v>2004</v>
      </c>
      <c r="C3359" s="8">
        <v>0</v>
      </c>
      <c r="D3359">
        <v>1.7641400000000002E-2</v>
      </c>
      <c r="E3359">
        <v>0.1582876</v>
      </c>
      <c r="F3359">
        <v>3.06062E-2</v>
      </c>
      <c r="G3359">
        <v>0.70615859999999997</v>
      </c>
      <c r="H3359">
        <v>0.1596108</v>
      </c>
      <c r="Q3359" s="10">
        <f t="shared" si="124"/>
        <v>1.7334734388623981E-2</v>
      </c>
      <c r="AI3359">
        <v>0.20030439999999999</v>
      </c>
      <c r="AJ3359">
        <f t="shared" si="123"/>
        <v>0.20030439999999999</v>
      </c>
      <c r="AO3359">
        <v>0.20030439999999999</v>
      </c>
      <c r="AR3359" s="8">
        <v>0</v>
      </c>
      <c r="AS3359">
        <v>0.62564019999999998</v>
      </c>
    </row>
    <row r="3360" spans="1:45" x14ac:dyDescent="0.25">
      <c r="A3360">
        <v>582</v>
      </c>
      <c r="B3360">
        <v>1995</v>
      </c>
      <c r="C3360" s="8">
        <v>0</v>
      </c>
      <c r="D3360">
        <v>0.19576560000000001</v>
      </c>
      <c r="E3360">
        <v>0.1160272</v>
      </c>
      <c r="F3360">
        <v>7.3962899999999998E-2</v>
      </c>
      <c r="G3360">
        <v>2.5559500000000002</v>
      </c>
      <c r="H3360">
        <v>0.25520900000000002</v>
      </c>
      <c r="Q3360" s="10">
        <f t="shared" si="124"/>
        <v>7.9396201027637648E-4</v>
      </c>
      <c r="AI3360">
        <v>0.17897879999999999</v>
      </c>
      <c r="AJ3360">
        <f t="shared" si="123"/>
        <v>0.17897879999999999</v>
      </c>
      <c r="AO3360">
        <v>0.17897879999999999</v>
      </c>
      <c r="AR3360" s="8">
        <v>0</v>
      </c>
      <c r="AS3360">
        <v>0.65922239999999999</v>
      </c>
    </row>
    <row r="3361" spans="1:45" x14ac:dyDescent="0.25">
      <c r="A3361">
        <v>582</v>
      </c>
      <c r="B3361">
        <v>1996</v>
      </c>
      <c r="C3361" s="8">
        <v>0</v>
      </c>
      <c r="D3361">
        <v>0.20030439999999999</v>
      </c>
      <c r="E3361">
        <v>0.18116489999999999</v>
      </c>
      <c r="F3361">
        <v>7.2105799999999998E-2</v>
      </c>
      <c r="G3361">
        <v>3.293304</v>
      </c>
      <c r="H3361">
        <v>0.24298130000000001</v>
      </c>
      <c r="Q3361" s="10">
        <f t="shared" si="124"/>
        <v>2.2520434320758942E-4</v>
      </c>
      <c r="AI3361">
        <v>-6.6325400000000007E-2</v>
      </c>
      <c r="AJ3361">
        <f t="shared" si="123"/>
        <v>-6.6325400000000007E-2</v>
      </c>
      <c r="AO3361">
        <v>-6.6325400000000007E-2</v>
      </c>
      <c r="AR3361" s="8">
        <v>0</v>
      </c>
      <c r="AS3361">
        <v>0.70615859999999997</v>
      </c>
    </row>
    <row r="3362" spans="1:45" x14ac:dyDescent="0.25">
      <c r="A3362">
        <v>582</v>
      </c>
      <c r="B3362">
        <v>1997</v>
      </c>
      <c r="C3362" s="8">
        <v>0</v>
      </c>
      <c r="D3362">
        <v>0.17897879999999999</v>
      </c>
      <c r="E3362">
        <v>0.23445830000000001</v>
      </c>
      <c r="F3362">
        <v>7.09616E-2</v>
      </c>
      <c r="G3362">
        <v>3.8550339999999998</v>
      </c>
      <c r="H3362">
        <v>0.23511960000000001</v>
      </c>
      <c r="Q3362" s="10">
        <f t="shared" si="124"/>
        <v>8.4769221424988318E-5</v>
      </c>
      <c r="AI3362">
        <v>-1.60392E-2</v>
      </c>
      <c r="AJ3362">
        <f t="shared" si="123"/>
        <v>-1.60392E-2</v>
      </c>
      <c r="AO3362">
        <v>-1.60392E-2</v>
      </c>
      <c r="AR3362" s="8">
        <v>0</v>
      </c>
      <c r="AS3362">
        <v>2.5559500000000002</v>
      </c>
    </row>
    <row r="3363" spans="1:45" x14ac:dyDescent="0.25">
      <c r="A3363">
        <v>583</v>
      </c>
      <c r="B3363">
        <v>1995</v>
      </c>
      <c r="C3363" s="8">
        <v>0</v>
      </c>
      <c r="D3363">
        <v>-6.6325400000000007E-2</v>
      </c>
      <c r="E3363">
        <v>0.93291349999999995</v>
      </c>
      <c r="F3363">
        <v>9.2381699999999997E-2</v>
      </c>
      <c r="G3363">
        <v>6.5930809999999997</v>
      </c>
      <c r="H3363">
        <v>0.3079114</v>
      </c>
      <c r="Q3363" s="10">
        <f t="shared" si="124"/>
        <v>3.1137110259102077E-7</v>
      </c>
      <c r="AI3363">
        <v>3.1858600000000001E-2</v>
      </c>
      <c r="AJ3363">
        <f t="shared" si="123"/>
        <v>3.1858600000000001E-2</v>
      </c>
      <c r="AO3363">
        <v>3.1858600000000001E-2</v>
      </c>
      <c r="AR3363" s="8">
        <v>0</v>
      </c>
      <c r="AS3363">
        <v>3.293304</v>
      </c>
    </row>
    <row r="3364" spans="1:45" x14ac:dyDescent="0.25">
      <c r="A3364">
        <v>583</v>
      </c>
      <c r="B3364">
        <v>1996</v>
      </c>
      <c r="C3364" s="8">
        <v>0</v>
      </c>
      <c r="D3364">
        <v>-1.60392E-2</v>
      </c>
      <c r="E3364">
        <v>0.93895729999999999</v>
      </c>
      <c r="F3364">
        <v>9.4502000000000003E-2</v>
      </c>
      <c r="G3364">
        <v>7.1240360000000003</v>
      </c>
      <c r="H3364">
        <v>0.29318680000000003</v>
      </c>
      <c r="Q3364" s="10">
        <f t="shared" si="124"/>
        <v>1.3173914215164656E-7</v>
      </c>
      <c r="AI3364">
        <v>0.15683710000000001</v>
      </c>
      <c r="AJ3364">
        <f t="shared" si="123"/>
        <v>0.15683710000000001</v>
      </c>
      <c r="AO3364">
        <v>0.15683710000000001</v>
      </c>
      <c r="AR3364" s="8">
        <v>0</v>
      </c>
      <c r="AS3364">
        <v>3.8550339999999998</v>
      </c>
    </row>
    <row r="3365" spans="1:45" x14ac:dyDescent="0.25">
      <c r="A3365">
        <v>583</v>
      </c>
      <c r="B3365">
        <v>1997</v>
      </c>
      <c r="C3365" s="8">
        <v>0</v>
      </c>
      <c r="D3365">
        <v>3.1858600000000001E-2</v>
      </c>
      <c r="E3365">
        <v>0.8557572</v>
      </c>
      <c r="F3365">
        <v>0.1045452</v>
      </c>
      <c r="G3365">
        <v>12.373989999999999</v>
      </c>
      <c r="H3365">
        <v>0.29277310000000001</v>
      </c>
      <c r="Q3365" s="10">
        <f t="shared" si="124"/>
        <v>3.254141499876239E-11</v>
      </c>
      <c r="AI3365">
        <v>0.20617820000000001</v>
      </c>
      <c r="AJ3365">
        <f t="shared" si="123"/>
        <v>0.20617820000000001</v>
      </c>
      <c r="AO3365">
        <v>0.20617820000000001</v>
      </c>
      <c r="AR3365" s="8">
        <v>0</v>
      </c>
      <c r="AS3365">
        <v>6.5930809999999997</v>
      </c>
    </row>
    <row r="3366" spans="1:45" x14ac:dyDescent="0.25">
      <c r="A3366">
        <v>583</v>
      </c>
      <c r="B3366">
        <v>1998</v>
      </c>
      <c r="C3366" s="8">
        <v>0</v>
      </c>
      <c r="D3366">
        <v>0.15683710000000001</v>
      </c>
      <c r="E3366">
        <v>0.86939</v>
      </c>
      <c r="F3366">
        <v>9.3288599999999999E-2</v>
      </c>
      <c r="G3366">
        <v>21.19228</v>
      </c>
      <c r="H3366">
        <v>0.29647859999999998</v>
      </c>
      <c r="Q3366" s="10">
        <f t="shared" si="124"/>
        <v>2.9065585148590034E-17</v>
      </c>
      <c r="AI3366">
        <v>0.2179219</v>
      </c>
      <c r="AJ3366">
        <f t="shared" si="123"/>
        <v>0.2179219</v>
      </c>
      <c r="AO3366">
        <v>0.2179219</v>
      </c>
      <c r="AR3366" s="8">
        <v>0</v>
      </c>
      <c r="AS3366">
        <v>7.1240360000000003</v>
      </c>
    </row>
    <row r="3367" spans="1:45" x14ac:dyDescent="0.25">
      <c r="A3367">
        <v>583</v>
      </c>
      <c r="B3367">
        <v>1999</v>
      </c>
      <c r="C3367" s="8">
        <v>0</v>
      </c>
      <c r="D3367">
        <v>0.20617820000000001</v>
      </c>
      <c r="E3367">
        <v>0.89207049999999999</v>
      </c>
      <c r="F3367">
        <v>9.2951199999999998E-2</v>
      </c>
      <c r="G3367">
        <v>14.81564</v>
      </c>
      <c r="H3367">
        <v>0.27888400000000002</v>
      </c>
      <c r="Q3367" s="10">
        <f t="shared" si="124"/>
        <v>7.3718584295298678E-13</v>
      </c>
      <c r="AI3367">
        <v>0.24173320000000001</v>
      </c>
      <c r="AJ3367">
        <f t="shared" si="123"/>
        <v>0.24173320000000001</v>
      </c>
      <c r="AO3367">
        <v>0.24173320000000001</v>
      </c>
      <c r="AR3367" s="8">
        <v>0</v>
      </c>
      <c r="AS3367">
        <v>12.373989999999999</v>
      </c>
    </row>
    <row r="3368" spans="1:45" x14ac:dyDescent="0.25">
      <c r="A3368">
        <v>583</v>
      </c>
      <c r="B3368">
        <v>2000</v>
      </c>
      <c r="C3368" s="8">
        <v>0</v>
      </c>
      <c r="D3368">
        <v>0.2179219</v>
      </c>
      <c r="E3368">
        <v>0.92123189999999999</v>
      </c>
      <c r="F3368">
        <v>0.113082</v>
      </c>
      <c r="G3368">
        <v>17.748380000000001</v>
      </c>
      <c r="H3368">
        <v>0.24481520000000001</v>
      </c>
      <c r="Q3368" s="10">
        <f t="shared" si="124"/>
        <v>5.5265689144821952E-15</v>
      </c>
      <c r="AI3368">
        <v>0.29852780000000001</v>
      </c>
      <c r="AJ3368">
        <f t="shared" si="123"/>
        <v>0.29852780000000001</v>
      </c>
      <c r="AO3368">
        <v>0.29852780000000001</v>
      </c>
      <c r="AR3368" s="8">
        <v>0</v>
      </c>
      <c r="AS3368">
        <v>21.19228</v>
      </c>
    </row>
    <row r="3369" spans="1:45" x14ac:dyDescent="0.25">
      <c r="A3369">
        <v>583</v>
      </c>
      <c r="B3369">
        <v>2001</v>
      </c>
      <c r="C3369" s="8">
        <v>0</v>
      </c>
      <c r="D3369">
        <v>0.24173320000000001</v>
      </c>
      <c r="E3369">
        <v>0.88917259999999998</v>
      </c>
      <c r="F3369">
        <v>8.4196999999999994E-2</v>
      </c>
      <c r="G3369">
        <v>10.41367</v>
      </c>
      <c r="H3369">
        <v>0.23681360000000001</v>
      </c>
      <c r="Q3369" s="10">
        <f t="shared" si="124"/>
        <v>8.7387688162358581E-10</v>
      </c>
      <c r="AI3369">
        <v>0.3404761</v>
      </c>
      <c r="AJ3369">
        <f t="shared" si="123"/>
        <v>0.3404761</v>
      </c>
      <c r="AO3369">
        <v>0.3404761</v>
      </c>
      <c r="AR3369" s="8">
        <v>0</v>
      </c>
      <c r="AS3369">
        <v>14.81564</v>
      </c>
    </row>
    <row r="3370" spans="1:45" x14ac:dyDescent="0.25">
      <c r="A3370">
        <v>583</v>
      </c>
      <c r="B3370">
        <v>2002</v>
      </c>
      <c r="C3370" s="8">
        <v>0</v>
      </c>
      <c r="D3370">
        <v>0.29852780000000001</v>
      </c>
      <c r="E3370">
        <v>0.82960929999999999</v>
      </c>
      <c r="F3370">
        <v>6.8214800000000006E-2</v>
      </c>
      <c r="G3370">
        <v>5.4592109999999998</v>
      </c>
      <c r="H3370">
        <v>0.19775209999999999</v>
      </c>
      <c r="Q3370" s="10">
        <f t="shared" si="124"/>
        <v>2.9054845326638618E-6</v>
      </c>
      <c r="AI3370">
        <v>0.32905970000000001</v>
      </c>
      <c r="AJ3370">
        <f t="shared" si="123"/>
        <v>0.32905970000000001</v>
      </c>
      <c r="AO3370">
        <v>0.32905970000000001</v>
      </c>
      <c r="AR3370" s="8">
        <v>0</v>
      </c>
      <c r="AS3370">
        <v>17.748380000000001</v>
      </c>
    </row>
    <row r="3371" spans="1:45" x14ac:dyDescent="0.25">
      <c r="A3371">
        <v>583</v>
      </c>
      <c r="B3371">
        <v>2003</v>
      </c>
      <c r="C3371" s="8">
        <v>0</v>
      </c>
      <c r="D3371">
        <v>0.3404761</v>
      </c>
      <c r="E3371">
        <v>0.71352959999999999</v>
      </c>
      <c r="F3371">
        <v>3.7469799999999998E-2</v>
      </c>
      <c r="G3371">
        <v>3.323858</v>
      </c>
      <c r="H3371">
        <v>0.15817200000000001</v>
      </c>
      <c r="Q3371" s="10">
        <f t="shared" si="124"/>
        <v>1.3122663910702871E-4</v>
      </c>
      <c r="AI3371">
        <v>0.28414859999999997</v>
      </c>
      <c r="AJ3371">
        <f t="shared" si="123"/>
        <v>0.28414859999999997</v>
      </c>
      <c r="AO3371">
        <v>0.28414859999999997</v>
      </c>
      <c r="AR3371" s="8">
        <v>0</v>
      </c>
      <c r="AS3371">
        <v>10.41367</v>
      </c>
    </row>
    <row r="3372" spans="1:45" x14ac:dyDescent="0.25">
      <c r="A3372">
        <v>583</v>
      </c>
      <c r="B3372">
        <v>2004</v>
      </c>
      <c r="C3372" s="8">
        <v>0</v>
      </c>
      <c r="D3372">
        <v>0.32905970000000001</v>
      </c>
      <c r="E3372">
        <v>0.62737719999999997</v>
      </c>
      <c r="F3372">
        <v>1.7831699999999999E-2</v>
      </c>
      <c r="G3372">
        <v>3.7182919999999999</v>
      </c>
      <c r="H3372">
        <v>0.1836324</v>
      </c>
      <c r="Q3372" s="10">
        <f t="shared" si="124"/>
        <v>9.3859283773619251E-5</v>
      </c>
      <c r="AI3372">
        <v>0.3091641</v>
      </c>
      <c r="AJ3372">
        <f t="shared" si="123"/>
        <v>0.3091641</v>
      </c>
      <c r="AO3372">
        <v>0.3091641</v>
      </c>
      <c r="AR3372" s="8">
        <v>0</v>
      </c>
      <c r="AS3372">
        <v>5.4592109999999998</v>
      </c>
    </row>
    <row r="3373" spans="1:45" x14ac:dyDescent="0.25">
      <c r="A3373">
        <v>584</v>
      </c>
      <c r="B3373">
        <v>1995</v>
      </c>
      <c r="C3373" s="8">
        <v>0</v>
      </c>
      <c r="D3373">
        <v>0.28414859999999997</v>
      </c>
      <c r="E3373">
        <v>0.22620129999999999</v>
      </c>
      <c r="F3373">
        <v>6.9597999999999993E-2</v>
      </c>
      <c r="G3373">
        <v>2.602392</v>
      </c>
      <c r="H3373">
        <v>0.45804489999999998</v>
      </c>
      <c r="Q3373" s="10">
        <f t="shared" si="124"/>
        <v>7.6517258842976124E-4</v>
      </c>
      <c r="AI3373">
        <v>0.29052050000000001</v>
      </c>
      <c r="AJ3373">
        <f t="shared" si="123"/>
        <v>0.29052050000000001</v>
      </c>
      <c r="AO3373">
        <v>0.29052050000000001</v>
      </c>
      <c r="AR3373" s="8">
        <v>0</v>
      </c>
      <c r="AS3373">
        <v>3.323858</v>
      </c>
    </row>
    <row r="3374" spans="1:45" x14ac:dyDescent="0.25">
      <c r="A3374">
        <v>584</v>
      </c>
      <c r="B3374">
        <v>1996</v>
      </c>
      <c r="C3374" s="8">
        <v>0</v>
      </c>
      <c r="D3374">
        <v>0.3091641</v>
      </c>
      <c r="E3374">
        <v>0.19779169999999999</v>
      </c>
      <c r="F3374">
        <v>3.2172199999999998E-2</v>
      </c>
      <c r="G3374">
        <v>1.023331</v>
      </c>
      <c r="H3374">
        <v>0.3496089</v>
      </c>
      <c r="Q3374" s="10">
        <f t="shared" si="124"/>
        <v>1.2438827245503613E-2</v>
      </c>
      <c r="AI3374">
        <v>0.29918479999999997</v>
      </c>
      <c r="AJ3374">
        <f t="shared" si="123"/>
        <v>0.29918479999999997</v>
      </c>
      <c r="AO3374">
        <v>0.29918479999999997</v>
      </c>
      <c r="AR3374" s="8">
        <v>0</v>
      </c>
      <c r="AS3374">
        <v>3.7182919999999999</v>
      </c>
    </row>
    <row r="3375" spans="1:45" x14ac:dyDescent="0.25">
      <c r="A3375">
        <v>584</v>
      </c>
      <c r="B3375">
        <v>1997</v>
      </c>
      <c r="C3375" s="8">
        <v>0</v>
      </c>
      <c r="D3375">
        <v>0.29052050000000001</v>
      </c>
      <c r="E3375">
        <v>0.2274591</v>
      </c>
      <c r="F3375">
        <v>7.3396199999999995E-2</v>
      </c>
      <c r="G3375">
        <v>1.4141570000000001</v>
      </c>
      <c r="H3375">
        <v>0.40716639999999998</v>
      </c>
      <c r="Q3375" s="10">
        <f t="shared" si="124"/>
        <v>4.7626351752197774E-3</v>
      </c>
      <c r="AI3375">
        <v>0.28564460000000003</v>
      </c>
      <c r="AJ3375">
        <f t="shared" si="123"/>
        <v>0.28564460000000003</v>
      </c>
      <c r="AO3375">
        <v>0.28564460000000003</v>
      </c>
      <c r="AR3375" s="8">
        <v>0</v>
      </c>
      <c r="AS3375">
        <v>2.602392</v>
      </c>
    </row>
    <row r="3376" spans="1:45" x14ac:dyDescent="0.25">
      <c r="A3376">
        <v>584</v>
      </c>
      <c r="B3376">
        <v>1998</v>
      </c>
      <c r="C3376" s="8">
        <v>0</v>
      </c>
      <c r="D3376">
        <v>0.29918479999999997</v>
      </c>
      <c r="E3376">
        <v>0.25568930000000001</v>
      </c>
      <c r="F3376">
        <v>8.5171300000000005E-2</v>
      </c>
      <c r="G3376">
        <v>1.627807</v>
      </c>
      <c r="H3376">
        <v>0.43781710000000001</v>
      </c>
      <c r="Q3376" s="10">
        <f t="shared" si="124"/>
        <v>3.0325833077053796E-3</v>
      </c>
      <c r="AI3376">
        <v>0.28921649999999999</v>
      </c>
      <c r="AJ3376">
        <f t="shared" si="123"/>
        <v>0.28921649999999999</v>
      </c>
      <c r="AO3376">
        <v>0.28921649999999999</v>
      </c>
      <c r="AR3376" s="8">
        <v>0</v>
      </c>
      <c r="AS3376">
        <v>1.023331</v>
      </c>
    </row>
    <row r="3377" spans="1:45" x14ac:dyDescent="0.25">
      <c r="A3377">
        <v>584</v>
      </c>
      <c r="B3377">
        <v>1999</v>
      </c>
      <c r="C3377" s="8">
        <v>0</v>
      </c>
      <c r="D3377">
        <v>0.28564460000000003</v>
      </c>
      <c r="E3377">
        <v>0.25599319999999998</v>
      </c>
      <c r="F3377">
        <v>7.7493099999999995E-2</v>
      </c>
      <c r="G3377">
        <v>1.5830139999999999</v>
      </c>
      <c r="H3377">
        <v>0.43592439999999999</v>
      </c>
      <c r="Q3377" s="10">
        <f t="shared" si="124"/>
        <v>3.4369470766833781E-3</v>
      </c>
      <c r="AI3377">
        <v>0.32508199999999998</v>
      </c>
      <c r="AJ3377">
        <f t="shared" si="123"/>
        <v>0.32508199999999998</v>
      </c>
      <c r="AO3377">
        <v>0.32508199999999998</v>
      </c>
      <c r="AR3377" s="8">
        <v>0</v>
      </c>
      <c r="AS3377">
        <v>1.4141570000000001</v>
      </c>
    </row>
    <row r="3378" spans="1:45" x14ac:dyDescent="0.25">
      <c r="A3378">
        <v>584</v>
      </c>
      <c r="B3378">
        <v>2000</v>
      </c>
      <c r="C3378" s="8">
        <v>0</v>
      </c>
      <c r="D3378">
        <v>0.28921649999999999</v>
      </c>
      <c r="E3378">
        <v>0.1987506</v>
      </c>
      <c r="F3378">
        <v>8.2819599999999993E-2</v>
      </c>
      <c r="G3378">
        <v>1.3529169999999999</v>
      </c>
      <c r="H3378">
        <v>0.34755770000000002</v>
      </c>
      <c r="Q3378" s="10">
        <f t="shared" si="124"/>
        <v>4.8897851303943626E-3</v>
      </c>
      <c r="AI3378">
        <v>0.25920300000000002</v>
      </c>
      <c r="AJ3378">
        <f t="shared" si="123"/>
        <v>0.25920300000000002</v>
      </c>
      <c r="AO3378">
        <v>0.25920300000000002</v>
      </c>
      <c r="AR3378" s="8">
        <v>0</v>
      </c>
      <c r="AS3378">
        <v>1.627807</v>
      </c>
    </row>
    <row r="3379" spans="1:45" x14ac:dyDescent="0.25">
      <c r="A3379">
        <v>584</v>
      </c>
      <c r="B3379">
        <v>2001</v>
      </c>
      <c r="C3379" s="8">
        <v>0</v>
      </c>
      <c r="D3379">
        <v>0.32508199999999998</v>
      </c>
      <c r="E3379">
        <v>0.2474508</v>
      </c>
      <c r="F3379">
        <v>8.8138900000000006E-2</v>
      </c>
      <c r="G3379">
        <v>1.9573149999999999</v>
      </c>
      <c r="H3379">
        <v>0.3640352</v>
      </c>
      <c r="Q3379" s="10">
        <f t="shared" si="124"/>
        <v>1.7140908673782902E-3</v>
      </c>
      <c r="AI3379">
        <v>0.30799530000000003</v>
      </c>
      <c r="AJ3379">
        <f t="shared" si="123"/>
        <v>0.30799530000000003</v>
      </c>
      <c r="AO3379">
        <v>0.30799530000000003</v>
      </c>
      <c r="AR3379" s="8">
        <v>0</v>
      </c>
      <c r="AS3379">
        <v>1.5830139999999999</v>
      </c>
    </row>
    <row r="3380" spans="1:45" x14ac:dyDescent="0.25">
      <c r="A3380">
        <v>584</v>
      </c>
      <c r="B3380">
        <v>2002</v>
      </c>
      <c r="C3380" s="8">
        <v>0</v>
      </c>
      <c r="D3380">
        <v>0.25920300000000002</v>
      </c>
      <c r="E3380">
        <v>0.25443080000000001</v>
      </c>
      <c r="F3380">
        <v>7.1182599999999999E-2</v>
      </c>
      <c r="G3380">
        <v>1.1669959999999999</v>
      </c>
      <c r="H3380">
        <v>0.3387656</v>
      </c>
      <c r="Q3380" s="10">
        <f t="shared" si="124"/>
        <v>6.5274914503877252E-3</v>
      </c>
      <c r="AI3380">
        <v>0.2153534</v>
      </c>
      <c r="AJ3380">
        <f t="shared" si="123"/>
        <v>0.2153534</v>
      </c>
      <c r="AO3380">
        <v>0.2153534</v>
      </c>
      <c r="AR3380" s="8">
        <v>0</v>
      </c>
      <c r="AS3380">
        <v>1.3529169999999999</v>
      </c>
    </row>
    <row r="3381" spans="1:45" x14ac:dyDescent="0.25">
      <c r="A3381">
        <v>584</v>
      </c>
      <c r="B3381">
        <v>2003</v>
      </c>
      <c r="C3381" s="8">
        <v>0</v>
      </c>
      <c r="D3381">
        <v>0.30799530000000003</v>
      </c>
      <c r="E3381">
        <v>0.3019056</v>
      </c>
      <c r="F3381">
        <v>5.17151E-2</v>
      </c>
      <c r="G3381">
        <v>1.2248779999999999</v>
      </c>
      <c r="H3381">
        <v>0.3622264</v>
      </c>
      <c r="Q3381" s="10">
        <f t="shared" si="124"/>
        <v>6.719673489359171E-3</v>
      </c>
      <c r="AI3381">
        <v>0.20965790000000001</v>
      </c>
      <c r="AJ3381">
        <f t="shared" si="123"/>
        <v>0.20965790000000001</v>
      </c>
      <c r="AO3381">
        <v>0.20965790000000001</v>
      </c>
      <c r="AR3381" s="8">
        <v>0</v>
      </c>
      <c r="AS3381">
        <v>1.9573149999999999</v>
      </c>
    </row>
    <row r="3382" spans="1:45" x14ac:dyDescent="0.25">
      <c r="A3382">
        <v>585</v>
      </c>
      <c r="B3382">
        <v>1995</v>
      </c>
      <c r="C3382" s="8">
        <v>0</v>
      </c>
      <c r="D3382">
        <v>0.2153534</v>
      </c>
      <c r="E3382">
        <v>0.34901280000000001</v>
      </c>
      <c r="F3382">
        <v>0.1155482</v>
      </c>
      <c r="G3382">
        <v>1.552216</v>
      </c>
      <c r="H3382">
        <v>0.32311479999999998</v>
      </c>
      <c r="Q3382" s="10">
        <f t="shared" si="124"/>
        <v>2.1091782939802791E-3</v>
      </c>
      <c r="AI3382">
        <v>0.33537050000000002</v>
      </c>
      <c r="AJ3382">
        <f t="shared" si="123"/>
        <v>0.33537050000000002</v>
      </c>
      <c r="AO3382">
        <v>0.33537050000000002</v>
      </c>
      <c r="AR3382" s="8">
        <v>0</v>
      </c>
      <c r="AS3382">
        <v>1.1669959999999999</v>
      </c>
    </row>
    <row r="3383" spans="1:45" x14ac:dyDescent="0.25">
      <c r="A3383">
        <v>585</v>
      </c>
      <c r="B3383">
        <v>1996</v>
      </c>
      <c r="C3383" s="8">
        <v>0</v>
      </c>
      <c r="D3383">
        <v>0.20965790000000001</v>
      </c>
      <c r="E3383">
        <v>0.33074409999999999</v>
      </c>
      <c r="F3383">
        <v>0.1273687</v>
      </c>
      <c r="G3383">
        <v>0.81711060000000002</v>
      </c>
      <c r="H3383">
        <v>0.35714980000000002</v>
      </c>
      <c r="Q3383" s="10">
        <f t="shared" si="124"/>
        <v>6.4503891860199945E-3</v>
      </c>
      <c r="AI3383">
        <v>0.26650459999999998</v>
      </c>
      <c r="AJ3383">
        <f t="shared" si="123"/>
        <v>0.26650459999999998</v>
      </c>
      <c r="AO3383">
        <v>0.26650459999999998</v>
      </c>
      <c r="AR3383" s="8">
        <v>0</v>
      </c>
      <c r="AS3383">
        <v>1.2248779999999999</v>
      </c>
    </row>
    <row r="3384" spans="1:45" x14ac:dyDescent="0.25">
      <c r="A3384">
        <v>585</v>
      </c>
      <c r="B3384">
        <v>1997</v>
      </c>
      <c r="C3384" s="8">
        <v>0</v>
      </c>
      <c r="D3384">
        <v>0.33537050000000002</v>
      </c>
      <c r="E3384">
        <v>0.4685105</v>
      </c>
      <c r="F3384">
        <v>7.88885E-2</v>
      </c>
      <c r="G3384">
        <v>2.0769069999999998</v>
      </c>
      <c r="H3384">
        <v>0.33363870000000001</v>
      </c>
      <c r="Q3384" s="10">
        <f t="shared" si="124"/>
        <v>1.0908106694014106E-3</v>
      </c>
      <c r="AI3384">
        <v>-3.7901499999999998E-2</v>
      </c>
      <c r="AJ3384">
        <f t="shared" si="123"/>
        <v>-3.7901499999999998E-2</v>
      </c>
      <c r="AO3384">
        <v>-3.7901499999999998E-2</v>
      </c>
      <c r="AR3384" s="8">
        <v>0</v>
      </c>
      <c r="AS3384">
        <v>1.552216</v>
      </c>
    </row>
    <row r="3385" spans="1:45" x14ac:dyDescent="0.25">
      <c r="A3385">
        <v>585</v>
      </c>
      <c r="B3385">
        <v>1998</v>
      </c>
      <c r="C3385" s="8">
        <v>0</v>
      </c>
      <c r="D3385">
        <v>0.26650459999999998</v>
      </c>
      <c r="E3385">
        <v>0.4136532</v>
      </c>
      <c r="F3385">
        <v>4.1357400000000002E-2</v>
      </c>
      <c r="G3385">
        <v>1.0888720000000001</v>
      </c>
      <c r="H3385">
        <v>0.3011315</v>
      </c>
      <c r="Q3385" s="10">
        <f t="shared" si="124"/>
        <v>7.2900962859774703E-3</v>
      </c>
      <c r="AI3385">
        <v>0.48960229999999999</v>
      </c>
      <c r="AJ3385">
        <f t="shared" si="123"/>
        <v>0.48960229999999999</v>
      </c>
      <c r="AO3385">
        <v>0.48960229999999999</v>
      </c>
      <c r="AR3385" s="8">
        <v>0</v>
      </c>
      <c r="AS3385">
        <v>0.81711060000000002</v>
      </c>
    </row>
    <row r="3386" spans="1:45" x14ac:dyDescent="0.25">
      <c r="A3386">
        <v>586</v>
      </c>
      <c r="B3386">
        <v>2004</v>
      </c>
      <c r="C3386" s="8">
        <v>0</v>
      </c>
      <c r="D3386">
        <v>-3.7901499999999998E-2</v>
      </c>
      <c r="E3386">
        <v>0.29685349999999999</v>
      </c>
      <c r="F3386">
        <v>2.77851E-2</v>
      </c>
      <c r="G3386">
        <v>0.41161370000000003</v>
      </c>
      <c r="H3386">
        <v>0.1991531</v>
      </c>
      <c r="Q3386" s="10">
        <f t="shared" si="124"/>
        <v>2.3076484897195403E-2</v>
      </c>
      <c r="AI3386">
        <v>0.38848339999999998</v>
      </c>
      <c r="AJ3386">
        <f t="shared" si="123"/>
        <v>0.38848339999999998</v>
      </c>
      <c r="AO3386">
        <v>0.38848339999999998</v>
      </c>
      <c r="AR3386" s="8">
        <v>0</v>
      </c>
      <c r="AS3386">
        <v>2.0769069999999998</v>
      </c>
    </row>
    <row r="3387" spans="1:45" x14ac:dyDescent="0.25">
      <c r="A3387">
        <v>587</v>
      </c>
      <c r="B3387">
        <v>1995</v>
      </c>
      <c r="C3387" s="8">
        <v>0</v>
      </c>
      <c r="D3387">
        <v>0.48960229999999999</v>
      </c>
      <c r="E3387">
        <v>0.37949929999999998</v>
      </c>
      <c r="F3387">
        <v>8.0890199999999995E-2</v>
      </c>
      <c r="G3387">
        <v>1.596867</v>
      </c>
      <c r="H3387">
        <v>0.65100880000000005</v>
      </c>
      <c r="Q3387" s="10">
        <f t="shared" si="124"/>
        <v>3.3994114527708987E-3</v>
      </c>
      <c r="AI3387">
        <v>0.43275780000000003</v>
      </c>
      <c r="AJ3387">
        <f t="shared" si="123"/>
        <v>0.43275780000000003</v>
      </c>
      <c r="AO3387">
        <v>0.43275780000000003</v>
      </c>
      <c r="AR3387" s="8">
        <v>0</v>
      </c>
      <c r="AS3387">
        <v>1.0888720000000001</v>
      </c>
    </row>
    <row r="3388" spans="1:45" x14ac:dyDescent="0.25">
      <c r="A3388">
        <v>587</v>
      </c>
      <c r="B3388">
        <v>1996</v>
      </c>
      <c r="C3388" s="8">
        <v>0</v>
      </c>
      <c r="D3388">
        <v>0.38848339999999998</v>
      </c>
      <c r="E3388">
        <v>0.2967265</v>
      </c>
      <c r="F3388">
        <v>5.8426400000000003E-2</v>
      </c>
      <c r="G3388">
        <v>1.763671</v>
      </c>
      <c r="H3388">
        <v>0.4118579</v>
      </c>
      <c r="Q3388" s="10">
        <f t="shared" si="124"/>
        <v>2.9101598341746949E-3</v>
      </c>
      <c r="AI3388">
        <v>0.42588100000000001</v>
      </c>
      <c r="AJ3388">
        <f t="shared" si="123"/>
        <v>0.42588100000000001</v>
      </c>
      <c r="AO3388">
        <v>0.42588100000000001</v>
      </c>
      <c r="AR3388" s="8">
        <v>0</v>
      </c>
      <c r="AS3388">
        <v>0.41161370000000003</v>
      </c>
    </row>
    <row r="3389" spans="1:45" x14ac:dyDescent="0.25">
      <c r="A3389">
        <v>587</v>
      </c>
      <c r="B3389">
        <v>1997</v>
      </c>
      <c r="C3389" s="8">
        <v>0</v>
      </c>
      <c r="D3389">
        <v>0.43275780000000003</v>
      </c>
      <c r="E3389">
        <v>0.31948579999999999</v>
      </c>
      <c r="F3389">
        <v>6.5560400000000005E-2</v>
      </c>
      <c r="G3389">
        <v>2.68275</v>
      </c>
      <c r="H3389">
        <v>0.314581</v>
      </c>
      <c r="Q3389" s="10">
        <f t="shared" si="124"/>
        <v>5.9084425166205663E-4</v>
      </c>
      <c r="AI3389">
        <v>0.27130749999999998</v>
      </c>
      <c r="AJ3389">
        <f t="shared" si="123"/>
        <v>0.27130749999999998</v>
      </c>
      <c r="AO3389">
        <v>0.27130749999999998</v>
      </c>
      <c r="AR3389" s="8">
        <v>0</v>
      </c>
      <c r="AS3389">
        <v>1.596867</v>
      </c>
    </row>
    <row r="3390" spans="1:45" x14ac:dyDescent="0.25">
      <c r="A3390">
        <v>587</v>
      </c>
      <c r="B3390">
        <v>1998</v>
      </c>
      <c r="C3390" s="8">
        <v>0</v>
      </c>
      <c r="D3390">
        <v>0.42588100000000001</v>
      </c>
      <c r="E3390">
        <v>0.2643993</v>
      </c>
      <c r="F3390">
        <v>2.1570200000000001E-2</v>
      </c>
      <c r="G3390">
        <v>2.1791100000000001</v>
      </c>
      <c r="H3390">
        <v>0.31501299999999999</v>
      </c>
      <c r="Q3390" s="10">
        <f t="shared" si="124"/>
        <v>2.0225448248185492E-3</v>
      </c>
      <c r="AI3390">
        <v>0.15260309999999999</v>
      </c>
      <c r="AJ3390">
        <f t="shared" si="123"/>
        <v>0.15260309999999999</v>
      </c>
      <c r="AO3390">
        <v>0.15260309999999999</v>
      </c>
      <c r="AR3390" s="8">
        <v>0</v>
      </c>
      <c r="AS3390">
        <v>1.763671</v>
      </c>
    </row>
    <row r="3391" spans="1:45" x14ac:dyDescent="0.25">
      <c r="A3391">
        <v>587</v>
      </c>
      <c r="B3391">
        <v>1999</v>
      </c>
      <c r="C3391" s="8">
        <v>0</v>
      </c>
      <c r="D3391">
        <v>0.27130749999999998</v>
      </c>
      <c r="E3391">
        <v>0.3585603</v>
      </c>
      <c r="F3391">
        <v>3.1047100000000001E-2</v>
      </c>
      <c r="G3391">
        <v>1.6775359999999999</v>
      </c>
      <c r="H3391">
        <v>0.25750489999999998</v>
      </c>
      <c r="Q3391" s="10">
        <f t="shared" si="124"/>
        <v>3.2870235999795435E-3</v>
      </c>
      <c r="AI3391">
        <v>0.1967168</v>
      </c>
      <c r="AJ3391">
        <f t="shared" si="123"/>
        <v>0.1967168</v>
      </c>
      <c r="AO3391">
        <v>0.1967168</v>
      </c>
      <c r="AR3391" s="8">
        <v>0</v>
      </c>
      <c r="AS3391">
        <v>2.68275</v>
      </c>
    </row>
    <row r="3392" spans="1:45" x14ac:dyDescent="0.25">
      <c r="A3392">
        <v>588</v>
      </c>
      <c r="B3392">
        <v>1995</v>
      </c>
      <c r="C3392" s="8">
        <v>0</v>
      </c>
      <c r="D3392">
        <v>0.15260309999999999</v>
      </c>
      <c r="E3392">
        <v>0.43364960000000002</v>
      </c>
      <c r="F3392">
        <v>4.0712600000000002E-2</v>
      </c>
      <c r="G3392">
        <v>1.1573599999999999</v>
      </c>
      <c r="H3392">
        <v>0.18858369999999999</v>
      </c>
      <c r="Q3392" s="10">
        <f t="shared" si="124"/>
        <v>5.6866588573003017E-3</v>
      </c>
      <c r="AI3392">
        <v>0.1438238</v>
      </c>
      <c r="AJ3392">
        <f t="shared" si="123"/>
        <v>0.1438238</v>
      </c>
      <c r="AO3392">
        <v>0.1438238</v>
      </c>
      <c r="AR3392" s="8">
        <v>0</v>
      </c>
      <c r="AS3392">
        <v>2.1791100000000001</v>
      </c>
    </row>
    <row r="3393" spans="1:45" x14ac:dyDescent="0.25">
      <c r="A3393">
        <v>588</v>
      </c>
      <c r="B3393">
        <v>1997</v>
      </c>
      <c r="C3393" s="8">
        <v>0</v>
      </c>
      <c r="D3393">
        <v>0.1967168</v>
      </c>
      <c r="E3393">
        <v>0.4454361</v>
      </c>
      <c r="F3393">
        <v>2.3474200000000001E-2</v>
      </c>
      <c r="G3393">
        <v>1.3120270000000001</v>
      </c>
      <c r="H3393">
        <v>6.9245500000000001E-2</v>
      </c>
      <c r="Q3393" s="10">
        <f t="shared" si="124"/>
        <v>4.7477345278794467E-3</v>
      </c>
      <c r="AI3393">
        <v>5.0816E-2</v>
      </c>
      <c r="AJ3393">
        <f t="shared" si="123"/>
        <v>5.0816E-2</v>
      </c>
      <c r="AO3393">
        <v>5.0816E-2</v>
      </c>
      <c r="AR3393" s="8">
        <v>0</v>
      </c>
      <c r="AS3393">
        <v>1.6775359999999999</v>
      </c>
    </row>
    <row r="3394" spans="1:45" x14ac:dyDescent="0.25">
      <c r="A3394">
        <v>588</v>
      </c>
      <c r="B3394">
        <v>1998</v>
      </c>
      <c r="C3394" s="8">
        <v>0</v>
      </c>
      <c r="D3394">
        <v>0.1438238</v>
      </c>
      <c r="E3394">
        <v>0.39838020000000002</v>
      </c>
      <c r="F3394">
        <v>2.4634099999999999E-2</v>
      </c>
      <c r="G3394">
        <v>1.136652</v>
      </c>
      <c r="H3394">
        <v>0.1194043</v>
      </c>
      <c r="Q3394" s="10">
        <f t="shared" si="124"/>
        <v>6.7091980345734626E-3</v>
      </c>
      <c r="AI3394">
        <v>6.1120099999999997E-2</v>
      </c>
      <c r="AJ3394">
        <f t="shared" si="123"/>
        <v>6.1120099999999997E-2</v>
      </c>
      <c r="AO3394">
        <v>6.1120099999999997E-2</v>
      </c>
      <c r="AR3394" s="8">
        <v>0</v>
      </c>
      <c r="AS3394">
        <v>1.1573599999999999</v>
      </c>
    </row>
    <row r="3395" spans="1:45" x14ac:dyDescent="0.25">
      <c r="A3395">
        <v>588</v>
      </c>
      <c r="B3395">
        <v>1999</v>
      </c>
      <c r="C3395" s="8">
        <v>0</v>
      </c>
      <c r="D3395">
        <v>5.0816E-2</v>
      </c>
      <c r="E3395">
        <v>0.26072810000000002</v>
      </c>
      <c r="F3395">
        <v>3.5834299999999999E-2</v>
      </c>
      <c r="G3395">
        <v>1.0098199999999999</v>
      </c>
      <c r="H3395">
        <v>0.1195581</v>
      </c>
      <c r="Q3395" s="10">
        <f t="shared" si="124"/>
        <v>8.8074230481894316E-3</v>
      </c>
      <c r="AI3395">
        <v>4.75533E-2</v>
      </c>
      <c r="AJ3395">
        <f t="shared" si="123"/>
        <v>4.75533E-2</v>
      </c>
      <c r="AO3395">
        <v>4.75533E-2</v>
      </c>
      <c r="AR3395" s="8">
        <v>0</v>
      </c>
      <c r="AS3395">
        <v>1.3120270000000001</v>
      </c>
    </row>
    <row r="3396" spans="1:45" x14ac:dyDescent="0.25">
      <c r="A3396">
        <v>588</v>
      </c>
      <c r="B3396">
        <v>2000</v>
      </c>
      <c r="C3396" s="8">
        <v>0</v>
      </c>
      <c r="D3396">
        <v>6.1120099999999997E-2</v>
      </c>
      <c r="E3396">
        <v>0.25539040000000002</v>
      </c>
      <c r="F3396">
        <v>3.25721E-2</v>
      </c>
      <c r="G3396">
        <v>1.2200610000000001</v>
      </c>
      <c r="H3396">
        <v>0.13151119999999999</v>
      </c>
      <c r="Q3396" s="10">
        <f t="shared" si="124"/>
        <v>6.6081623135936145E-3</v>
      </c>
      <c r="AI3396">
        <v>2.8281799999999999E-2</v>
      </c>
      <c r="AJ3396">
        <f t="shared" si="123"/>
        <v>2.8281799999999999E-2</v>
      </c>
      <c r="AO3396">
        <v>2.8281799999999999E-2</v>
      </c>
      <c r="AR3396" s="8">
        <v>0</v>
      </c>
      <c r="AS3396">
        <v>1.136652</v>
      </c>
    </row>
    <row r="3397" spans="1:45" x14ac:dyDescent="0.25">
      <c r="A3397">
        <v>589</v>
      </c>
      <c r="B3397">
        <v>1995</v>
      </c>
      <c r="C3397" s="8">
        <v>0</v>
      </c>
      <c r="D3397">
        <v>4.75533E-2</v>
      </c>
      <c r="E3397">
        <v>0.12555259999999999</v>
      </c>
      <c r="F3397">
        <v>3.4552600000000003E-2</v>
      </c>
      <c r="G3397">
        <v>1.0990200000000001</v>
      </c>
      <c r="H3397">
        <v>0.1074991</v>
      </c>
      <c r="Q3397" s="10">
        <f t="shared" si="124"/>
        <v>9.3083872994620884E-3</v>
      </c>
      <c r="AI3397">
        <v>3.3825399999999999E-2</v>
      </c>
      <c r="AJ3397">
        <f t="shared" ref="AJ3397:AJ3460" si="125">MAX(MIN(AI3397,AM$5),AM$4)</f>
        <v>3.3825399999999999E-2</v>
      </c>
      <c r="AO3397">
        <v>3.3825399999999999E-2</v>
      </c>
      <c r="AR3397" s="8">
        <v>0</v>
      </c>
      <c r="AS3397">
        <v>1.0098199999999999</v>
      </c>
    </row>
    <row r="3398" spans="1:45" x14ac:dyDescent="0.25">
      <c r="A3398">
        <v>589</v>
      </c>
      <c r="B3398">
        <v>1996</v>
      </c>
      <c r="C3398" s="8">
        <v>0</v>
      </c>
      <c r="D3398">
        <v>2.8281799999999999E-2</v>
      </c>
      <c r="E3398">
        <v>0.1140007</v>
      </c>
      <c r="F3398">
        <v>5.24004E-2</v>
      </c>
      <c r="G3398">
        <v>1.5488949999999999</v>
      </c>
      <c r="H3398">
        <v>0.12718189999999999</v>
      </c>
      <c r="Q3398" s="10">
        <f t="shared" si="124"/>
        <v>4.0452329326958313E-3</v>
      </c>
      <c r="AI3398">
        <v>-1.5994899999999999E-2</v>
      </c>
      <c r="AJ3398">
        <f t="shared" si="125"/>
        <v>-1.5994899999999999E-2</v>
      </c>
      <c r="AO3398">
        <v>-1.5994899999999999E-2</v>
      </c>
      <c r="AR3398" s="8">
        <v>0</v>
      </c>
      <c r="AS3398">
        <v>1.2200610000000001</v>
      </c>
    </row>
    <row r="3399" spans="1:45" x14ac:dyDescent="0.25">
      <c r="A3399">
        <v>589</v>
      </c>
      <c r="B3399">
        <v>1997</v>
      </c>
      <c r="C3399" s="8">
        <v>0</v>
      </c>
      <c r="D3399">
        <v>3.3825399999999999E-2</v>
      </c>
      <c r="E3399">
        <v>0.13809199999999999</v>
      </c>
      <c r="F3399">
        <v>5.6373800000000002E-2</v>
      </c>
      <c r="G3399">
        <v>1.782009</v>
      </c>
      <c r="H3399">
        <v>0.1240902</v>
      </c>
      <c r="Q3399" s="10">
        <f t="shared" ref="Q3399:Q3462" si="126">1/(1+EXP(-(J$6+SUMPRODUCT(K$6:O$6,D3399:H3399))))</f>
        <v>2.6144509401541086E-3</v>
      </c>
      <c r="AI3399">
        <v>9.0305999999999997E-3</v>
      </c>
      <c r="AJ3399">
        <f t="shared" si="125"/>
        <v>9.0305999999999997E-3</v>
      </c>
      <c r="AO3399">
        <v>9.0305999999999997E-3</v>
      </c>
      <c r="AR3399" s="8">
        <v>0</v>
      </c>
      <c r="AS3399">
        <v>1.0990200000000001</v>
      </c>
    </row>
    <row r="3400" spans="1:45" x14ac:dyDescent="0.25">
      <c r="A3400">
        <v>589</v>
      </c>
      <c r="B3400">
        <v>1998</v>
      </c>
      <c r="C3400" s="8">
        <v>0</v>
      </c>
      <c r="D3400">
        <v>-1.5994899999999999E-2</v>
      </c>
      <c r="E3400">
        <v>9.1336600000000004E-2</v>
      </c>
      <c r="F3400">
        <v>-0.21019099999999999</v>
      </c>
      <c r="G3400">
        <v>0.50486699999999995</v>
      </c>
      <c r="H3400">
        <v>0.11716219999999999</v>
      </c>
      <c r="Q3400" s="10">
        <f t="shared" si="126"/>
        <v>0.15013726743781222</v>
      </c>
      <c r="AI3400">
        <v>1.6385500000000001E-2</v>
      </c>
      <c r="AJ3400">
        <f t="shared" si="125"/>
        <v>1.6385500000000001E-2</v>
      </c>
      <c r="AO3400">
        <v>1.6385500000000001E-2</v>
      </c>
      <c r="AR3400" s="8">
        <v>0</v>
      </c>
      <c r="AS3400">
        <v>1.5488949999999999</v>
      </c>
    </row>
    <row r="3401" spans="1:45" x14ac:dyDescent="0.25">
      <c r="A3401">
        <v>589</v>
      </c>
      <c r="B3401">
        <v>1999</v>
      </c>
      <c r="C3401" s="8">
        <v>0</v>
      </c>
      <c r="D3401">
        <v>9.0305999999999997E-3</v>
      </c>
      <c r="E3401">
        <v>-0.16882730000000001</v>
      </c>
      <c r="F3401">
        <v>5.6762199999999999E-2</v>
      </c>
      <c r="G3401">
        <v>0.71825059999999996</v>
      </c>
      <c r="H3401">
        <v>0.1246558</v>
      </c>
      <c r="Q3401" s="10">
        <f t="shared" si="126"/>
        <v>2.1548854297508534E-2</v>
      </c>
      <c r="AI3401">
        <v>1.6442E-3</v>
      </c>
      <c r="AJ3401">
        <f t="shared" si="125"/>
        <v>1.6442E-3</v>
      </c>
      <c r="AO3401">
        <v>1.6442E-3</v>
      </c>
      <c r="AR3401" s="8">
        <v>0</v>
      </c>
      <c r="AS3401">
        <v>1.782009</v>
      </c>
    </row>
    <row r="3402" spans="1:45" x14ac:dyDescent="0.25">
      <c r="A3402">
        <v>589</v>
      </c>
      <c r="B3402">
        <v>2000</v>
      </c>
      <c r="C3402" s="8">
        <v>0</v>
      </c>
      <c r="D3402">
        <v>1.6385500000000001E-2</v>
      </c>
      <c r="E3402">
        <v>-8.98336E-2</v>
      </c>
      <c r="F3402">
        <v>8.5164299999999998E-2</v>
      </c>
      <c r="G3402">
        <v>1.7152559999999999</v>
      </c>
      <c r="H3402">
        <v>0.1341502</v>
      </c>
      <c r="Q3402" s="10">
        <f t="shared" si="126"/>
        <v>3.2121832032461026E-3</v>
      </c>
      <c r="AI3402">
        <v>1.04653E-2</v>
      </c>
      <c r="AJ3402">
        <f t="shared" si="125"/>
        <v>1.04653E-2</v>
      </c>
      <c r="AO3402">
        <v>1.04653E-2</v>
      </c>
      <c r="AR3402" s="8">
        <v>0</v>
      </c>
      <c r="AS3402">
        <v>0.50486699999999995</v>
      </c>
    </row>
    <row r="3403" spans="1:45" x14ac:dyDescent="0.25">
      <c r="A3403">
        <v>589</v>
      </c>
      <c r="B3403">
        <v>2001</v>
      </c>
      <c r="C3403" s="8">
        <v>0</v>
      </c>
      <c r="D3403">
        <v>1.6442E-3</v>
      </c>
      <c r="E3403">
        <v>-4.5234000000000003E-3</v>
      </c>
      <c r="F3403">
        <v>3.8293000000000001E-2</v>
      </c>
      <c r="G3403">
        <v>1.690464</v>
      </c>
      <c r="H3403">
        <v>9.1414300000000004E-2</v>
      </c>
      <c r="Q3403" s="10">
        <f t="shared" si="126"/>
        <v>4.1528943429552127E-3</v>
      </c>
      <c r="AI3403">
        <v>0.11048910000000001</v>
      </c>
      <c r="AJ3403">
        <f t="shared" si="125"/>
        <v>0.11048910000000001</v>
      </c>
      <c r="AO3403">
        <v>0.11048910000000001</v>
      </c>
      <c r="AR3403" s="8">
        <v>0</v>
      </c>
      <c r="AS3403">
        <v>0.71825059999999996</v>
      </c>
    </row>
    <row r="3404" spans="1:45" x14ac:dyDescent="0.25">
      <c r="A3404">
        <v>589</v>
      </c>
      <c r="B3404">
        <v>2002</v>
      </c>
      <c r="C3404" s="8">
        <v>0</v>
      </c>
      <c r="D3404">
        <v>1.04653E-2</v>
      </c>
      <c r="E3404">
        <v>1.0131599999999999E-2</v>
      </c>
      <c r="F3404">
        <v>7.2766700000000004E-2</v>
      </c>
      <c r="G3404">
        <v>1.540934</v>
      </c>
      <c r="H3404">
        <v>0.1165834</v>
      </c>
      <c r="Q3404" s="10">
        <f t="shared" si="126"/>
        <v>3.9926053420665016E-3</v>
      </c>
      <c r="AI3404">
        <v>0.16818159999999999</v>
      </c>
      <c r="AJ3404">
        <f t="shared" si="125"/>
        <v>0.16818159999999999</v>
      </c>
      <c r="AO3404">
        <v>0.16818159999999999</v>
      </c>
      <c r="AR3404" s="8">
        <v>0</v>
      </c>
      <c r="AS3404">
        <v>1.7152559999999999</v>
      </c>
    </row>
    <row r="3405" spans="1:45" x14ac:dyDescent="0.25">
      <c r="A3405">
        <v>590</v>
      </c>
      <c r="B3405">
        <v>1995</v>
      </c>
      <c r="C3405" s="8">
        <v>0</v>
      </c>
      <c r="D3405">
        <v>0.11048910000000001</v>
      </c>
      <c r="E3405">
        <v>-7.1230100000000005E-2</v>
      </c>
      <c r="F3405">
        <v>9.8848900000000003E-2</v>
      </c>
      <c r="G3405">
        <v>3.5334720000000002</v>
      </c>
      <c r="H3405">
        <v>0.46629029999999999</v>
      </c>
      <c r="Q3405" s="10">
        <f t="shared" si="126"/>
        <v>1.9805468722520458E-4</v>
      </c>
      <c r="AI3405">
        <v>0.2090021</v>
      </c>
      <c r="AJ3405">
        <f t="shared" si="125"/>
        <v>0.2090021</v>
      </c>
      <c r="AO3405">
        <v>0.2090021</v>
      </c>
      <c r="AR3405" s="8">
        <v>0</v>
      </c>
      <c r="AS3405">
        <v>1.690464</v>
      </c>
    </row>
    <row r="3406" spans="1:45" x14ac:dyDescent="0.25">
      <c r="A3406">
        <v>590</v>
      </c>
      <c r="B3406">
        <v>1996</v>
      </c>
      <c r="C3406" s="8">
        <v>0</v>
      </c>
      <c r="D3406">
        <v>0.16818159999999999</v>
      </c>
      <c r="E3406">
        <v>7.8109399999999996E-2</v>
      </c>
      <c r="F3406">
        <v>0.10859439999999999</v>
      </c>
      <c r="G3406">
        <v>6.3452849999999996</v>
      </c>
      <c r="H3406">
        <v>0.4991023</v>
      </c>
      <c r="Q3406" s="10">
        <f t="shared" si="126"/>
        <v>1.745419213121898E-6</v>
      </c>
      <c r="AI3406">
        <v>0.10743850000000001</v>
      </c>
      <c r="AJ3406">
        <f t="shared" si="125"/>
        <v>0.10743850000000001</v>
      </c>
      <c r="AO3406">
        <v>0.10743850000000001</v>
      </c>
      <c r="AR3406" s="8">
        <v>0</v>
      </c>
      <c r="AS3406">
        <v>1.540934</v>
      </c>
    </row>
    <row r="3407" spans="1:45" x14ac:dyDescent="0.25">
      <c r="A3407">
        <v>590</v>
      </c>
      <c r="B3407">
        <v>1997</v>
      </c>
      <c r="C3407" s="8">
        <v>0</v>
      </c>
      <c r="D3407">
        <v>0.2090021</v>
      </c>
      <c r="E3407">
        <v>0.22445000000000001</v>
      </c>
      <c r="F3407">
        <v>0.1900568</v>
      </c>
      <c r="G3407">
        <v>10.95776</v>
      </c>
      <c r="H3407">
        <v>1.006103</v>
      </c>
      <c r="Q3407" s="10">
        <f t="shared" si="126"/>
        <v>6.5773585361226699E-10</v>
      </c>
      <c r="AI3407">
        <v>9.6994300000000006E-2</v>
      </c>
      <c r="AJ3407">
        <f t="shared" si="125"/>
        <v>9.6994300000000006E-2</v>
      </c>
      <c r="AO3407">
        <v>9.6994300000000006E-2</v>
      </c>
      <c r="AR3407" s="8">
        <v>0</v>
      </c>
      <c r="AS3407">
        <v>3.5334720000000002</v>
      </c>
    </row>
    <row r="3408" spans="1:45" x14ac:dyDescent="0.25">
      <c r="A3408">
        <v>590</v>
      </c>
      <c r="B3408">
        <v>1998</v>
      </c>
      <c r="C3408" s="8">
        <v>0</v>
      </c>
      <c r="D3408">
        <v>0.10743850000000001</v>
      </c>
      <c r="E3408">
        <v>7.2230000000000005E-4</v>
      </c>
      <c r="F3408">
        <v>7.0521200000000006E-2</v>
      </c>
      <c r="G3408">
        <v>2.3719299999999999</v>
      </c>
      <c r="H3408">
        <v>0.2115177</v>
      </c>
      <c r="Q3408" s="10">
        <f t="shared" si="126"/>
        <v>1.2136360814295568E-3</v>
      </c>
      <c r="AI3408">
        <v>7.3366799999999996E-2</v>
      </c>
      <c r="AJ3408">
        <f t="shared" si="125"/>
        <v>7.3366799999999996E-2</v>
      </c>
      <c r="AO3408">
        <v>7.3366799999999996E-2</v>
      </c>
      <c r="AR3408" s="8">
        <v>0</v>
      </c>
      <c r="AS3408">
        <v>6.3452849999999996</v>
      </c>
    </row>
    <row r="3409" spans="1:45" x14ac:dyDescent="0.25">
      <c r="A3409">
        <v>590</v>
      </c>
      <c r="B3409">
        <v>1999</v>
      </c>
      <c r="C3409" s="8">
        <v>0</v>
      </c>
      <c r="D3409">
        <v>9.6994300000000006E-2</v>
      </c>
      <c r="E3409">
        <v>2.4186200000000001E-2</v>
      </c>
      <c r="F3409">
        <v>6.6303899999999999E-2</v>
      </c>
      <c r="G3409">
        <v>2.8334109999999999</v>
      </c>
      <c r="H3409">
        <v>0.23570489999999999</v>
      </c>
      <c r="Q3409" s="10">
        <f t="shared" si="126"/>
        <v>5.8808268588237875E-4</v>
      </c>
      <c r="AI3409">
        <v>6.9333900000000004E-2</v>
      </c>
      <c r="AJ3409">
        <f t="shared" si="125"/>
        <v>6.9333900000000004E-2</v>
      </c>
      <c r="AO3409">
        <v>6.9333900000000004E-2</v>
      </c>
      <c r="AR3409" s="8">
        <v>0</v>
      </c>
      <c r="AS3409">
        <v>10.95776</v>
      </c>
    </row>
    <row r="3410" spans="1:45" x14ac:dyDescent="0.25">
      <c r="A3410">
        <v>590</v>
      </c>
      <c r="B3410">
        <v>2000</v>
      </c>
      <c r="C3410" s="8">
        <v>0</v>
      </c>
      <c r="D3410">
        <v>7.3366799999999996E-2</v>
      </c>
      <c r="E3410">
        <v>6.0584699999999998E-2</v>
      </c>
      <c r="F3410">
        <v>5.7647799999999999E-2</v>
      </c>
      <c r="G3410">
        <v>1.372204</v>
      </c>
      <c r="H3410">
        <v>0.2209624</v>
      </c>
      <c r="Q3410" s="10">
        <f t="shared" si="126"/>
        <v>5.9873884025759324E-3</v>
      </c>
      <c r="AI3410">
        <v>1.5692000000000001E-2</v>
      </c>
      <c r="AJ3410">
        <f t="shared" si="125"/>
        <v>1.5692000000000001E-2</v>
      </c>
      <c r="AO3410">
        <v>1.5692000000000001E-2</v>
      </c>
      <c r="AR3410" s="8">
        <v>0</v>
      </c>
      <c r="AS3410">
        <v>2.3719299999999999</v>
      </c>
    </row>
    <row r="3411" spans="1:45" x14ac:dyDescent="0.25">
      <c r="A3411">
        <v>590</v>
      </c>
      <c r="B3411">
        <v>2001</v>
      </c>
      <c r="C3411" s="8">
        <v>0</v>
      </c>
      <c r="D3411">
        <v>6.9333900000000004E-2</v>
      </c>
      <c r="E3411">
        <v>7.2180900000000006E-2</v>
      </c>
      <c r="F3411">
        <v>6.8508700000000006E-2</v>
      </c>
      <c r="G3411">
        <v>2.0570569999999999</v>
      </c>
      <c r="H3411">
        <v>0.226242</v>
      </c>
      <c r="Q3411" s="10">
        <f t="shared" si="126"/>
        <v>1.8227040405053812E-3</v>
      </c>
      <c r="AI3411">
        <v>7.4828699999999998E-2</v>
      </c>
      <c r="AJ3411">
        <f t="shared" si="125"/>
        <v>7.4828699999999998E-2</v>
      </c>
      <c r="AO3411">
        <v>7.4828699999999998E-2</v>
      </c>
      <c r="AR3411" s="8">
        <v>0</v>
      </c>
      <c r="AS3411">
        <v>2.8334109999999999</v>
      </c>
    </row>
    <row r="3412" spans="1:45" x14ac:dyDescent="0.25">
      <c r="A3412">
        <v>590</v>
      </c>
      <c r="B3412">
        <v>2002</v>
      </c>
      <c r="C3412" s="8">
        <v>0</v>
      </c>
      <c r="D3412">
        <v>1.5692000000000001E-2</v>
      </c>
      <c r="E3412">
        <v>-1.38643E-2</v>
      </c>
      <c r="F3412">
        <v>6.7399799999999996E-2</v>
      </c>
      <c r="G3412">
        <v>1.497139</v>
      </c>
      <c r="H3412">
        <v>0.24339849999999999</v>
      </c>
      <c r="Q3412" s="10">
        <f t="shared" si="126"/>
        <v>5.0117653848436132E-3</v>
      </c>
      <c r="AI3412">
        <v>8.8633600000000007E-2</v>
      </c>
      <c r="AJ3412">
        <f t="shared" si="125"/>
        <v>8.8633600000000007E-2</v>
      </c>
      <c r="AO3412">
        <v>8.8633600000000007E-2</v>
      </c>
      <c r="AR3412" s="8">
        <v>0</v>
      </c>
      <c r="AS3412">
        <v>1.372204</v>
      </c>
    </row>
    <row r="3413" spans="1:45" x14ac:dyDescent="0.25">
      <c r="A3413">
        <v>590</v>
      </c>
      <c r="B3413">
        <v>2003</v>
      </c>
      <c r="C3413" s="8">
        <v>0</v>
      </c>
      <c r="D3413">
        <v>7.4828699999999998E-2</v>
      </c>
      <c r="E3413">
        <v>4.3723699999999997E-2</v>
      </c>
      <c r="F3413">
        <v>6.5092800000000006E-2</v>
      </c>
      <c r="G3413">
        <v>1.309515</v>
      </c>
      <c r="H3413">
        <v>0.2318163</v>
      </c>
      <c r="Q3413" s="10">
        <f t="shared" si="126"/>
        <v>6.4327583828449816E-3</v>
      </c>
      <c r="AI3413">
        <v>0.38266430000000001</v>
      </c>
      <c r="AJ3413">
        <f t="shared" si="125"/>
        <v>0.38266430000000001</v>
      </c>
      <c r="AO3413">
        <v>0.38266430000000001</v>
      </c>
      <c r="AR3413" s="8">
        <v>0</v>
      </c>
      <c r="AS3413">
        <v>2.0570569999999999</v>
      </c>
    </row>
    <row r="3414" spans="1:45" x14ac:dyDescent="0.25">
      <c r="A3414">
        <v>590</v>
      </c>
      <c r="B3414">
        <v>2004</v>
      </c>
      <c r="C3414" s="8">
        <v>0</v>
      </c>
      <c r="D3414">
        <v>8.8633600000000007E-2</v>
      </c>
      <c r="E3414">
        <v>0.1168141</v>
      </c>
      <c r="F3414">
        <v>6.1485199999999997E-2</v>
      </c>
      <c r="G3414">
        <v>1.289145</v>
      </c>
      <c r="H3414">
        <v>0.24848239999999999</v>
      </c>
      <c r="Q3414" s="10">
        <f t="shared" si="126"/>
        <v>6.2506140500736178E-3</v>
      </c>
      <c r="AI3414">
        <v>0.40853099999999998</v>
      </c>
      <c r="AJ3414">
        <f t="shared" si="125"/>
        <v>0.40853099999999998</v>
      </c>
      <c r="AO3414">
        <v>0.40853099999999998</v>
      </c>
      <c r="AR3414" s="8">
        <v>0</v>
      </c>
      <c r="AS3414">
        <v>1.497139</v>
      </c>
    </row>
    <row r="3415" spans="1:45" x14ac:dyDescent="0.25">
      <c r="A3415">
        <v>591</v>
      </c>
      <c r="B3415">
        <v>1995</v>
      </c>
      <c r="C3415" s="8">
        <v>0</v>
      </c>
      <c r="D3415">
        <v>0.38266430000000001</v>
      </c>
      <c r="E3415">
        <v>9.4944299999999995E-2</v>
      </c>
      <c r="F3415">
        <v>5.0637399999999999E-2</v>
      </c>
      <c r="G3415">
        <v>0.554871</v>
      </c>
      <c r="H3415">
        <v>0.35656690000000002</v>
      </c>
      <c r="Q3415" s="10">
        <f t="shared" si="126"/>
        <v>2.6823883271383721E-2</v>
      </c>
      <c r="AI3415">
        <v>0.4029199</v>
      </c>
      <c r="AJ3415">
        <f t="shared" si="125"/>
        <v>0.4029199</v>
      </c>
      <c r="AO3415">
        <v>0.4029199</v>
      </c>
      <c r="AR3415" s="8">
        <v>0</v>
      </c>
      <c r="AS3415">
        <v>1.309515</v>
      </c>
    </row>
    <row r="3416" spans="1:45" x14ac:dyDescent="0.25">
      <c r="A3416">
        <v>591</v>
      </c>
      <c r="B3416">
        <v>1996</v>
      </c>
      <c r="C3416" s="8">
        <v>0</v>
      </c>
      <c r="D3416">
        <v>0.40853099999999998</v>
      </c>
      <c r="E3416">
        <v>0.1102697</v>
      </c>
      <c r="F3416">
        <v>6.4714099999999997E-2</v>
      </c>
      <c r="G3416">
        <v>0.6178247</v>
      </c>
      <c r="H3416">
        <v>0.36581019999999997</v>
      </c>
      <c r="Q3416" s="10">
        <f t="shared" si="126"/>
        <v>2.1667596449976168E-2</v>
      </c>
      <c r="AI3416">
        <v>0.43291940000000001</v>
      </c>
      <c r="AJ3416">
        <f t="shared" si="125"/>
        <v>0.43291940000000001</v>
      </c>
      <c r="AO3416">
        <v>0.43291940000000001</v>
      </c>
      <c r="AR3416" s="8">
        <v>0</v>
      </c>
      <c r="AS3416">
        <v>1.289145</v>
      </c>
    </row>
    <row r="3417" spans="1:45" x14ac:dyDescent="0.25">
      <c r="A3417">
        <v>591</v>
      </c>
      <c r="B3417">
        <v>1997</v>
      </c>
      <c r="C3417" s="8">
        <v>0</v>
      </c>
      <c r="D3417">
        <v>0.4029199</v>
      </c>
      <c r="E3417">
        <v>0.1181104</v>
      </c>
      <c r="F3417">
        <v>6.7863999999999994E-2</v>
      </c>
      <c r="G3417">
        <v>0.57017779999999996</v>
      </c>
      <c r="H3417">
        <v>0.36778509999999998</v>
      </c>
      <c r="Q3417" s="10">
        <f t="shared" si="126"/>
        <v>2.2493031440565362E-2</v>
      </c>
      <c r="AI3417">
        <v>0.42488969999999998</v>
      </c>
      <c r="AJ3417">
        <f t="shared" si="125"/>
        <v>0.42488969999999998</v>
      </c>
      <c r="AO3417">
        <v>0.42488969999999998</v>
      </c>
      <c r="AR3417" s="8">
        <v>0</v>
      </c>
      <c r="AS3417">
        <v>0.554871</v>
      </c>
    </row>
    <row r="3418" spans="1:45" x14ac:dyDescent="0.25">
      <c r="A3418">
        <v>591</v>
      </c>
      <c r="B3418">
        <v>1998</v>
      </c>
      <c r="C3418" s="8">
        <v>0</v>
      </c>
      <c r="D3418">
        <v>0.43291940000000001</v>
      </c>
      <c r="E3418">
        <v>0.1529259</v>
      </c>
      <c r="F3418">
        <v>5.9482800000000002E-2</v>
      </c>
      <c r="G3418">
        <v>0.55666800000000005</v>
      </c>
      <c r="H3418">
        <v>0.35732920000000001</v>
      </c>
      <c r="Q3418" s="10">
        <f t="shared" si="126"/>
        <v>2.3478776582615758E-2</v>
      </c>
      <c r="AI3418">
        <v>0.37693939999999998</v>
      </c>
      <c r="AJ3418">
        <f t="shared" si="125"/>
        <v>0.37693939999999998</v>
      </c>
      <c r="AO3418">
        <v>0.37693939999999998</v>
      </c>
      <c r="AR3418" s="8">
        <v>0</v>
      </c>
      <c r="AS3418">
        <v>0.6178247</v>
      </c>
    </row>
    <row r="3419" spans="1:45" x14ac:dyDescent="0.25">
      <c r="A3419">
        <v>591</v>
      </c>
      <c r="B3419">
        <v>1999</v>
      </c>
      <c r="C3419" s="8">
        <v>0</v>
      </c>
      <c r="D3419">
        <v>0.42488969999999998</v>
      </c>
      <c r="E3419">
        <v>0.1889276</v>
      </c>
      <c r="F3419">
        <v>6.0414799999999998E-2</v>
      </c>
      <c r="G3419">
        <v>0.40753539999999999</v>
      </c>
      <c r="H3419">
        <v>0.3654037</v>
      </c>
      <c r="Q3419" s="10">
        <f t="shared" si="126"/>
        <v>2.7966888530398075E-2</v>
      </c>
      <c r="AI3419">
        <v>0.4865582</v>
      </c>
      <c r="AJ3419">
        <f t="shared" si="125"/>
        <v>0.4865582</v>
      </c>
      <c r="AO3419">
        <v>0.4865582</v>
      </c>
      <c r="AR3419" s="8">
        <v>0</v>
      </c>
      <c r="AS3419">
        <v>0.57017779999999996</v>
      </c>
    </row>
    <row r="3420" spans="1:45" x14ac:dyDescent="0.25">
      <c r="A3420">
        <v>591</v>
      </c>
      <c r="B3420">
        <v>2000</v>
      </c>
      <c r="C3420" s="8">
        <v>0</v>
      </c>
      <c r="D3420">
        <v>0.37693939999999998</v>
      </c>
      <c r="E3420">
        <v>0.19685079999999999</v>
      </c>
      <c r="F3420">
        <v>8.0279400000000001E-2</v>
      </c>
      <c r="G3420">
        <v>0.43297629999999998</v>
      </c>
      <c r="H3420">
        <v>0.3749807</v>
      </c>
      <c r="Q3420" s="10">
        <f t="shared" si="126"/>
        <v>2.2460841154815499E-2</v>
      </c>
      <c r="AI3420">
        <v>0.45162069999999999</v>
      </c>
      <c r="AJ3420">
        <f t="shared" si="125"/>
        <v>0.45162069999999999</v>
      </c>
      <c r="AO3420">
        <v>0.45162069999999999</v>
      </c>
      <c r="AR3420" s="8">
        <v>0</v>
      </c>
      <c r="AS3420">
        <v>0.55666800000000005</v>
      </c>
    </row>
    <row r="3421" spans="1:45" x14ac:dyDescent="0.25">
      <c r="A3421">
        <v>591</v>
      </c>
      <c r="B3421">
        <v>2001</v>
      </c>
      <c r="C3421" s="8">
        <v>0</v>
      </c>
      <c r="D3421">
        <v>0.4865582</v>
      </c>
      <c r="E3421">
        <v>0.17911859999999999</v>
      </c>
      <c r="F3421">
        <v>5.4146399999999997E-2</v>
      </c>
      <c r="G3421">
        <v>0.42446309999999998</v>
      </c>
      <c r="H3421">
        <v>0.3134747</v>
      </c>
      <c r="Q3421" s="10">
        <f t="shared" si="126"/>
        <v>2.8816504797647628E-2</v>
      </c>
      <c r="AI3421">
        <v>0.1924816</v>
      </c>
      <c r="AJ3421">
        <f t="shared" si="125"/>
        <v>0.1924816</v>
      </c>
      <c r="AO3421">
        <v>0.1924816</v>
      </c>
      <c r="AR3421" s="8">
        <v>0</v>
      </c>
      <c r="AS3421">
        <v>0.40753539999999999</v>
      </c>
    </row>
    <row r="3422" spans="1:45" x14ac:dyDescent="0.25">
      <c r="A3422">
        <v>591</v>
      </c>
      <c r="B3422">
        <v>2002</v>
      </c>
      <c r="C3422" s="8">
        <v>0</v>
      </c>
      <c r="D3422">
        <v>0.45162069999999999</v>
      </c>
      <c r="E3422">
        <v>0.175201</v>
      </c>
      <c r="F3422">
        <v>4.3331300000000003E-2</v>
      </c>
      <c r="G3422">
        <v>0.197293</v>
      </c>
      <c r="H3422">
        <v>0.28229029999999999</v>
      </c>
      <c r="Q3422" s="10">
        <f t="shared" si="126"/>
        <v>4.3225101085328725E-2</v>
      </c>
      <c r="AI3422">
        <v>0.1710526</v>
      </c>
      <c r="AJ3422">
        <f t="shared" si="125"/>
        <v>0.1710526</v>
      </c>
      <c r="AO3422">
        <v>0.1710526</v>
      </c>
      <c r="AR3422" s="8">
        <v>0</v>
      </c>
      <c r="AS3422">
        <v>0.43297629999999998</v>
      </c>
    </row>
    <row r="3423" spans="1:45" x14ac:dyDescent="0.25">
      <c r="A3423">
        <v>591</v>
      </c>
      <c r="B3423">
        <v>2003</v>
      </c>
      <c r="C3423" s="8">
        <v>0</v>
      </c>
      <c r="D3423">
        <v>0.1924816</v>
      </c>
      <c r="E3423">
        <v>0.4123329</v>
      </c>
      <c r="F3423">
        <v>7.1695200000000001E-2</v>
      </c>
      <c r="G3423">
        <v>0.60399380000000003</v>
      </c>
      <c r="H3423">
        <v>0.47528280000000001</v>
      </c>
      <c r="Q3423" s="10">
        <f t="shared" si="126"/>
        <v>1.332463790094472E-2</v>
      </c>
      <c r="AI3423">
        <v>3.5441599999999997E-2</v>
      </c>
      <c r="AJ3423">
        <f t="shared" si="125"/>
        <v>3.5441599999999997E-2</v>
      </c>
      <c r="AO3423">
        <v>3.5441599999999997E-2</v>
      </c>
      <c r="AR3423" s="8">
        <v>0</v>
      </c>
      <c r="AS3423">
        <v>0.42446309999999998</v>
      </c>
    </row>
    <row r="3424" spans="1:45" x14ac:dyDescent="0.25">
      <c r="A3424">
        <v>591</v>
      </c>
      <c r="B3424">
        <v>2004</v>
      </c>
      <c r="C3424" s="8">
        <v>0</v>
      </c>
      <c r="D3424">
        <v>0.1710526</v>
      </c>
      <c r="E3424">
        <v>0.50965490000000002</v>
      </c>
      <c r="F3424">
        <v>6.32133E-2</v>
      </c>
      <c r="G3424">
        <v>0.66916640000000005</v>
      </c>
      <c r="H3424">
        <v>0.53410579999999996</v>
      </c>
      <c r="Q3424" s="10">
        <f t="shared" si="126"/>
        <v>1.1490562470758109E-2</v>
      </c>
      <c r="AI3424">
        <v>4.1663100000000002E-2</v>
      </c>
      <c r="AJ3424">
        <f t="shared" si="125"/>
        <v>4.1663100000000002E-2</v>
      </c>
      <c r="AO3424">
        <v>4.1663100000000002E-2</v>
      </c>
      <c r="AR3424" s="8">
        <v>0</v>
      </c>
      <c r="AS3424">
        <v>0.197293</v>
      </c>
    </row>
    <row r="3425" spans="1:45" x14ac:dyDescent="0.25">
      <c r="A3425">
        <v>592</v>
      </c>
      <c r="B3425">
        <v>1995</v>
      </c>
      <c r="C3425" s="8">
        <v>0</v>
      </c>
      <c r="D3425">
        <v>3.5441599999999997E-2</v>
      </c>
      <c r="E3425">
        <v>0.1020794</v>
      </c>
      <c r="F3425">
        <v>5.80583E-2</v>
      </c>
      <c r="G3425">
        <v>0.92801480000000003</v>
      </c>
      <c r="H3425">
        <v>0.11047940000000001</v>
      </c>
      <c r="Q3425" s="10">
        <f t="shared" si="126"/>
        <v>1.0435622953844538E-2</v>
      </c>
      <c r="AI3425">
        <v>6.1834100000000003E-2</v>
      </c>
      <c r="AJ3425">
        <f t="shared" si="125"/>
        <v>6.1834100000000003E-2</v>
      </c>
      <c r="AO3425">
        <v>6.1834100000000003E-2</v>
      </c>
      <c r="AR3425" s="8">
        <v>0</v>
      </c>
      <c r="AS3425">
        <v>0.60399380000000003</v>
      </c>
    </row>
    <row r="3426" spans="1:45" x14ac:dyDescent="0.25">
      <c r="A3426">
        <v>592</v>
      </c>
      <c r="B3426">
        <v>1996</v>
      </c>
      <c r="C3426" s="8">
        <v>0</v>
      </c>
      <c r="D3426">
        <v>4.1663100000000002E-2</v>
      </c>
      <c r="E3426">
        <v>0.1268736</v>
      </c>
      <c r="F3426">
        <v>4.0035099999999997E-2</v>
      </c>
      <c r="G3426">
        <v>1.033277</v>
      </c>
      <c r="H3426">
        <v>9.7584699999999996E-2</v>
      </c>
      <c r="Q3426" s="10">
        <f t="shared" si="126"/>
        <v>9.7849135908933543E-3</v>
      </c>
      <c r="AI3426">
        <v>7.59856E-2</v>
      </c>
      <c r="AJ3426">
        <f t="shared" si="125"/>
        <v>7.59856E-2</v>
      </c>
      <c r="AO3426">
        <v>7.59856E-2</v>
      </c>
      <c r="AR3426" s="8">
        <v>0</v>
      </c>
      <c r="AS3426">
        <v>0.66916640000000005</v>
      </c>
    </row>
    <row r="3427" spans="1:45" x14ac:dyDescent="0.25">
      <c r="A3427">
        <v>592</v>
      </c>
      <c r="B3427">
        <v>1997</v>
      </c>
      <c r="C3427" s="8">
        <v>0</v>
      </c>
      <c r="D3427">
        <v>6.1834100000000003E-2</v>
      </c>
      <c r="E3427">
        <v>0.1209982</v>
      </c>
      <c r="F3427">
        <v>6.1831200000000003E-2</v>
      </c>
      <c r="G3427">
        <v>1.2713300000000001</v>
      </c>
      <c r="H3427">
        <v>8.7783100000000003E-2</v>
      </c>
      <c r="Q3427" s="10">
        <f t="shared" si="126"/>
        <v>5.7091413070801686E-3</v>
      </c>
      <c r="AI3427">
        <v>1.9137999999999999E-2</v>
      </c>
      <c r="AJ3427">
        <f t="shared" si="125"/>
        <v>1.9137999999999999E-2</v>
      </c>
      <c r="AO3427">
        <v>1.9137999999999999E-2</v>
      </c>
      <c r="AR3427" s="8">
        <v>0</v>
      </c>
      <c r="AS3427">
        <v>0.92801480000000003</v>
      </c>
    </row>
    <row r="3428" spans="1:45" x14ac:dyDescent="0.25">
      <c r="A3428">
        <v>592</v>
      </c>
      <c r="B3428">
        <v>1998</v>
      </c>
      <c r="C3428" s="8">
        <v>0</v>
      </c>
      <c r="D3428">
        <v>7.59856E-2</v>
      </c>
      <c r="E3428">
        <v>0.12851770000000001</v>
      </c>
      <c r="F3428">
        <v>3.8415199999999997E-2</v>
      </c>
      <c r="G3428">
        <v>0.99216970000000004</v>
      </c>
      <c r="H3428">
        <v>9.0774199999999999E-2</v>
      </c>
      <c r="Q3428" s="10">
        <f t="shared" si="126"/>
        <v>1.0655119578918503E-2</v>
      </c>
      <c r="AI3428">
        <v>4.47134E-2</v>
      </c>
      <c r="AJ3428">
        <f t="shared" si="125"/>
        <v>4.47134E-2</v>
      </c>
      <c r="AO3428">
        <v>4.47134E-2</v>
      </c>
      <c r="AR3428" s="8">
        <v>0</v>
      </c>
      <c r="AS3428">
        <v>1.033277</v>
      </c>
    </row>
    <row r="3429" spans="1:45" x14ac:dyDescent="0.25">
      <c r="A3429">
        <v>592</v>
      </c>
      <c r="B3429">
        <v>1999</v>
      </c>
      <c r="C3429" s="8">
        <v>0</v>
      </c>
      <c r="D3429">
        <v>1.9137999999999999E-2</v>
      </c>
      <c r="E3429">
        <v>9.4253000000000003E-2</v>
      </c>
      <c r="F3429">
        <v>2.3900399999999999E-2</v>
      </c>
      <c r="G3429">
        <v>0.2055756</v>
      </c>
      <c r="H3429">
        <v>7.1799799999999997E-2</v>
      </c>
      <c r="Q3429" s="10">
        <f t="shared" si="126"/>
        <v>4.1214371075099225E-2</v>
      </c>
      <c r="AI3429">
        <v>4.6820899999999999E-2</v>
      </c>
      <c r="AJ3429">
        <f t="shared" si="125"/>
        <v>4.6820899999999999E-2</v>
      </c>
      <c r="AO3429">
        <v>4.6820899999999999E-2</v>
      </c>
      <c r="AR3429" s="8">
        <v>0</v>
      </c>
      <c r="AS3429">
        <v>1.2713300000000001</v>
      </c>
    </row>
    <row r="3430" spans="1:45" x14ac:dyDescent="0.25">
      <c r="A3430">
        <v>592</v>
      </c>
      <c r="B3430">
        <v>2000</v>
      </c>
      <c r="C3430" s="8">
        <v>0</v>
      </c>
      <c r="D3430">
        <v>4.47134E-2</v>
      </c>
      <c r="E3430">
        <v>-9.4888000000000004E-3</v>
      </c>
      <c r="F3430">
        <v>2.63684E-2</v>
      </c>
      <c r="G3430">
        <v>6.4169100000000007E-2</v>
      </c>
      <c r="H3430">
        <v>7.8213500000000005E-2</v>
      </c>
      <c r="Q3430" s="10">
        <f t="shared" si="126"/>
        <v>5.8642577566540476E-2</v>
      </c>
      <c r="AI3430">
        <v>5.9881700000000003E-2</v>
      </c>
      <c r="AJ3430">
        <f t="shared" si="125"/>
        <v>5.9881700000000003E-2</v>
      </c>
      <c r="AO3430">
        <v>5.9881700000000003E-2</v>
      </c>
      <c r="AR3430" s="8">
        <v>0</v>
      </c>
      <c r="AS3430">
        <v>0.99216970000000004</v>
      </c>
    </row>
    <row r="3431" spans="1:45" x14ac:dyDescent="0.25">
      <c r="A3431">
        <v>592</v>
      </c>
      <c r="B3431">
        <v>2001</v>
      </c>
      <c r="C3431" s="8">
        <v>0</v>
      </c>
      <c r="D3431">
        <v>4.6820899999999999E-2</v>
      </c>
      <c r="E3431">
        <v>-8.0237199999999995E-2</v>
      </c>
      <c r="F3431">
        <v>2.8888299999999999E-2</v>
      </c>
      <c r="G3431">
        <v>0.16573299999999999</v>
      </c>
      <c r="H3431">
        <v>7.8707799999999994E-2</v>
      </c>
      <c r="Q3431" s="10">
        <f t="shared" si="126"/>
        <v>5.4484137402527687E-2</v>
      </c>
      <c r="AI3431">
        <v>0.2265353</v>
      </c>
      <c r="AJ3431">
        <f t="shared" si="125"/>
        <v>0.2265353</v>
      </c>
      <c r="AO3431">
        <v>0.2265353</v>
      </c>
      <c r="AR3431" s="8">
        <v>0</v>
      </c>
      <c r="AS3431">
        <v>0.2055756</v>
      </c>
    </row>
    <row r="3432" spans="1:45" x14ac:dyDescent="0.25">
      <c r="A3432">
        <v>592</v>
      </c>
      <c r="B3432">
        <v>2002</v>
      </c>
      <c r="C3432" s="8">
        <v>0</v>
      </c>
      <c r="D3432">
        <v>5.9881700000000003E-2</v>
      </c>
      <c r="E3432">
        <v>-8.7387500000000007E-2</v>
      </c>
      <c r="F3432">
        <v>2.58765E-2</v>
      </c>
      <c r="G3432">
        <v>0.12957640000000001</v>
      </c>
      <c r="H3432">
        <v>8.3374599999999993E-2</v>
      </c>
      <c r="Q3432" s="10">
        <f t="shared" si="126"/>
        <v>5.9894386839752137E-2</v>
      </c>
      <c r="AI3432">
        <v>0.26937179999999999</v>
      </c>
      <c r="AJ3432">
        <f t="shared" si="125"/>
        <v>0.26937179999999999</v>
      </c>
      <c r="AO3432">
        <v>0.26937179999999999</v>
      </c>
      <c r="AR3432" s="8">
        <v>0</v>
      </c>
      <c r="AS3432">
        <v>6.4169100000000007E-2</v>
      </c>
    </row>
    <row r="3433" spans="1:45" x14ac:dyDescent="0.25">
      <c r="A3433">
        <v>593</v>
      </c>
      <c r="B3433">
        <v>1995</v>
      </c>
      <c r="C3433" s="8">
        <v>0</v>
      </c>
      <c r="D3433">
        <v>0.2265353</v>
      </c>
      <c r="E3433">
        <v>0.2068459</v>
      </c>
      <c r="F3433">
        <v>0.1071242</v>
      </c>
      <c r="G3433">
        <v>0.35106379999999998</v>
      </c>
      <c r="H3433">
        <v>0.91352009999999995</v>
      </c>
      <c r="Q3433" s="10">
        <f t="shared" si="126"/>
        <v>2.6582022500330201E-2</v>
      </c>
      <c r="AI3433">
        <v>0.33965990000000001</v>
      </c>
      <c r="AJ3433">
        <f t="shared" si="125"/>
        <v>0.33965990000000001</v>
      </c>
      <c r="AO3433">
        <v>0.33965990000000001</v>
      </c>
      <c r="AR3433" s="8">
        <v>0</v>
      </c>
      <c r="AS3433">
        <v>0.16573299999999999</v>
      </c>
    </row>
    <row r="3434" spans="1:45" x14ac:dyDescent="0.25">
      <c r="A3434">
        <v>593</v>
      </c>
      <c r="B3434">
        <v>1996</v>
      </c>
      <c r="C3434" s="8">
        <v>0</v>
      </c>
      <c r="D3434">
        <v>0.26937179999999999</v>
      </c>
      <c r="E3434">
        <v>0.21129619999999999</v>
      </c>
      <c r="F3434">
        <v>9.6218600000000001E-2</v>
      </c>
      <c r="G3434">
        <v>0.2818657</v>
      </c>
      <c r="H3434">
        <v>0.83254019999999995</v>
      </c>
      <c r="Q3434" s="10">
        <f t="shared" si="126"/>
        <v>3.1009092803767593E-2</v>
      </c>
      <c r="AI3434">
        <v>-2.2472999999999998E-3</v>
      </c>
      <c r="AJ3434">
        <f t="shared" si="125"/>
        <v>-2.2472999999999998E-3</v>
      </c>
      <c r="AO3434">
        <v>-2.2472999999999998E-3</v>
      </c>
      <c r="AR3434" s="8">
        <v>0</v>
      </c>
      <c r="AS3434">
        <v>0.12957640000000001</v>
      </c>
    </row>
    <row r="3435" spans="1:45" x14ac:dyDescent="0.25">
      <c r="A3435">
        <v>593</v>
      </c>
      <c r="B3435">
        <v>1997</v>
      </c>
      <c r="C3435" s="8">
        <v>1</v>
      </c>
      <c r="D3435">
        <v>0.33965990000000001</v>
      </c>
      <c r="E3435">
        <v>0.17113719999999999</v>
      </c>
      <c r="F3435">
        <v>9.5745800000000006E-2</v>
      </c>
      <c r="G3435">
        <v>0.16033249999999999</v>
      </c>
      <c r="H3435">
        <v>0.77600309999999995</v>
      </c>
      <c r="Q3435" s="10">
        <f t="shared" si="126"/>
        <v>3.9466508786877207E-2</v>
      </c>
      <c r="AI3435">
        <v>6.7142199999999999E-2</v>
      </c>
      <c r="AJ3435">
        <f t="shared" si="125"/>
        <v>6.7142199999999999E-2</v>
      </c>
      <c r="AO3435">
        <v>6.7142199999999999E-2</v>
      </c>
      <c r="AR3435" s="8">
        <v>0</v>
      </c>
      <c r="AS3435">
        <v>0.35106379999999998</v>
      </c>
    </row>
    <row r="3436" spans="1:45" x14ac:dyDescent="0.25">
      <c r="A3436">
        <v>594</v>
      </c>
      <c r="B3436">
        <v>1998</v>
      </c>
      <c r="C3436" s="8">
        <v>0</v>
      </c>
      <c r="D3436">
        <v>-2.2472999999999998E-3</v>
      </c>
      <c r="E3436">
        <v>9.3627199999999994E-2</v>
      </c>
      <c r="F3436">
        <v>5.7150699999999999E-2</v>
      </c>
      <c r="G3436">
        <v>3.3877380000000001</v>
      </c>
      <c r="H3436">
        <v>0.43609229999999999</v>
      </c>
      <c r="Q3436" s="10">
        <f t="shared" si="126"/>
        <v>2.5701486214682395E-4</v>
      </c>
      <c r="AI3436">
        <v>0.1130512</v>
      </c>
      <c r="AJ3436">
        <f t="shared" si="125"/>
        <v>0.1130512</v>
      </c>
      <c r="AO3436">
        <v>0.1130512</v>
      </c>
      <c r="AR3436" s="8">
        <v>0</v>
      </c>
      <c r="AS3436">
        <v>0.2818657</v>
      </c>
    </row>
    <row r="3437" spans="1:45" x14ac:dyDescent="0.25">
      <c r="A3437">
        <v>594</v>
      </c>
      <c r="B3437">
        <v>1999</v>
      </c>
      <c r="C3437" s="8">
        <v>0</v>
      </c>
      <c r="D3437">
        <v>6.7142199999999999E-2</v>
      </c>
      <c r="E3437">
        <v>9.7681299999999999E-2</v>
      </c>
      <c r="F3437">
        <v>6.5393099999999996E-2</v>
      </c>
      <c r="G3437">
        <v>1.4544649999999999</v>
      </c>
      <c r="H3437">
        <v>0.41868670000000002</v>
      </c>
      <c r="Q3437" s="10">
        <f t="shared" si="126"/>
        <v>5.2769024030756432E-3</v>
      </c>
      <c r="AI3437">
        <v>4.5765100000000003E-2</v>
      </c>
      <c r="AJ3437">
        <f t="shared" si="125"/>
        <v>4.5765100000000003E-2</v>
      </c>
      <c r="AO3437">
        <v>4.5765100000000003E-2</v>
      </c>
      <c r="AR3437" s="8">
        <v>1</v>
      </c>
      <c r="AS3437">
        <v>0.16033249999999999</v>
      </c>
    </row>
    <row r="3438" spans="1:45" x14ac:dyDescent="0.25">
      <c r="A3438">
        <v>594</v>
      </c>
      <c r="B3438">
        <v>2001</v>
      </c>
      <c r="C3438" s="8">
        <v>0</v>
      </c>
      <c r="D3438">
        <v>0.1130512</v>
      </c>
      <c r="E3438">
        <v>0.1241097</v>
      </c>
      <c r="F3438">
        <v>5.4771599999999997E-2</v>
      </c>
      <c r="G3438">
        <v>1.702213</v>
      </c>
      <c r="H3438">
        <v>0.25788240000000001</v>
      </c>
      <c r="Q3438" s="10">
        <f t="shared" si="126"/>
        <v>3.4427716895165821E-3</v>
      </c>
      <c r="AI3438">
        <v>4.9250500000000003E-2</v>
      </c>
      <c r="AJ3438">
        <f t="shared" si="125"/>
        <v>4.9250500000000003E-2</v>
      </c>
      <c r="AO3438">
        <v>4.9250500000000003E-2</v>
      </c>
      <c r="AR3438" s="8">
        <v>0</v>
      </c>
      <c r="AS3438">
        <v>3.3877380000000001</v>
      </c>
    </row>
    <row r="3439" spans="1:45" x14ac:dyDescent="0.25">
      <c r="A3439">
        <v>594</v>
      </c>
      <c r="B3439">
        <v>2002</v>
      </c>
      <c r="C3439" s="8">
        <v>0</v>
      </c>
      <c r="D3439">
        <v>4.5765100000000003E-2</v>
      </c>
      <c r="E3439">
        <v>0.13961670000000001</v>
      </c>
      <c r="F3439">
        <v>3.4277000000000002E-2</v>
      </c>
      <c r="G3439">
        <v>1.560449</v>
      </c>
      <c r="H3439">
        <v>0.25547379999999997</v>
      </c>
      <c r="Q3439" s="10">
        <f t="shared" si="126"/>
        <v>4.820233579634901E-3</v>
      </c>
      <c r="AI3439">
        <v>3.9709999999999997E-3</v>
      </c>
      <c r="AJ3439">
        <f t="shared" si="125"/>
        <v>3.9709999999999997E-3</v>
      </c>
      <c r="AO3439">
        <v>3.9709999999999997E-3</v>
      </c>
      <c r="AR3439" s="8">
        <v>0</v>
      </c>
      <c r="AS3439">
        <v>1.4544649999999999</v>
      </c>
    </row>
    <row r="3440" spans="1:45" x14ac:dyDescent="0.25">
      <c r="A3440">
        <v>594</v>
      </c>
      <c r="B3440">
        <v>2003</v>
      </c>
      <c r="C3440" s="8">
        <v>0</v>
      </c>
      <c r="D3440">
        <v>4.9250500000000003E-2</v>
      </c>
      <c r="E3440">
        <v>1.8603700000000001E-2</v>
      </c>
      <c r="F3440">
        <v>4.5077100000000002E-2</v>
      </c>
      <c r="G3440">
        <v>1.635931</v>
      </c>
      <c r="H3440">
        <v>0.2952979</v>
      </c>
      <c r="Q3440" s="10">
        <f t="shared" si="126"/>
        <v>4.7982234515386709E-3</v>
      </c>
      <c r="AI3440">
        <v>-1.4885000000000001E-2</v>
      </c>
      <c r="AJ3440">
        <f t="shared" si="125"/>
        <v>-1.4885000000000001E-2</v>
      </c>
      <c r="AO3440">
        <v>-1.4885000000000001E-2</v>
      </c>
      <c r="AR3440" s="8">
        <v>0</v>
      </c>
      <c r="AS3440">
        <v>1.702213</v>
      </c>
    </row>
    <row r="3441" spans="1:45" x14ac:dyDescent="0.25">
      <c r="A3441">
        <v>594</v>
      </c>
      <c r="B3441">
        <v>2004</v>
      </c>
      <c r="C3441" s="8">
        <v>0</v>
      </c>
      <c r="D3441">
        <v>3.9709999999999997E-3</v>
      </c>
      <c r="E3441">
        <v>8.7123000000000006E-2</v>
      </c>
      <c r="F3441">
        <v>5.2597600000000001E-2</v>
      </c>
      <c r="G3441">
        <v>1.8972800000000001</v>
      </c>
      <c r="H3441">
        <v>0.31694169999999999</v>
      </c>
      <c r="Q3441" s="10">
        <f t="shared" si="126"/>
        <v>2.6878562143646764E-3</v>
      </c>
      <c r="AI3441">
        <v>0.32009539999999997</v>
      </c>
      <c r="AJ3441">
        <f t="shared" si="125"/>
        <v>0.32009539999999997</v>
      </c>
      <c r="AO3441">
        <v>0.32009539999999997</v>
      </c>
      <c r="AR3441" s="8">
        <v>0</v>
      </c>
      <c r="AS3441">
        <v>1.560449</v>
      </c>
    </row>
    <row r="3442" spans="1:45" x14ac:dyDescent="0.25">
      <c r="A3442">
        <v>595</v>
      </c>
      <c r="B3442">
        <v>1999</v>
      </c>
      <c r="C3442" s="8">
        <v>0</v>
      </c>
      <c r="D3442">
        <v>-1.4885000000000001E-2</v>
      </c>
      <c r="E3442">
        <v>2.1595999999999998E-3</v>
      </c>
      <c r="F3442">
        <v>7.8218999999999997E-3</v>
      </c>
      <c r="G3442">
        <v>0.1674612</v>
      </c>
      <c r="H3442">
        <v>0.12984709999999999</v>
      </c>
      <c r="Q3442" s="10">
        <f t="shared" si="126"/>
        <v>5.7229744529796123E-2</v>
      </c>
      <c r="AI3442">
        <v>0.1389311</v>
      </c>
      <c r="AJ3442">
        <f t="shared" si="125"/>
        <v>0.1389311</v>
      </c>
      <c r="AO3442">
        <v>0.1389311</v>
      </c>
      <c r="AR3442" s="8">
        <v>0</v>
      </c>
      <c r="AS3442">
        <v>1.635931</v>
      </c>
    </row>
    <row r="3443" spans="1:45" x14ac:dyDescent="0.25">
      <c r="A3443">
        <v>596</v>
      </c>
      <c r="B3443">
        <v>1995</v>
      </c>
      <c r="C3443" s="8">
        <v>0</v>
      </c>
      <c r="D3443">
        <v>0.32009539999999997</v>
      </c>
      <c r="E3443">
        <v>0.58632229999999996</v>
      </c>
      <c r="F3443">
        <v>7.47805E-2</v>
      </c>
      <c r="G3443">
        <v>3.7752680000000001</v>
      </c>
      <c r="H3443">
        <v>0.37263980000000002</v>
      </c>
      <c r="Q3443" s="10">
        <f t="shared" si="126"/>
        <v>6.462518416517081E-5</v>
      </c>
      <c r="AI3443">
        <v>0.13736390000000001</v>
      </c>
      <c r="AJ3443">
        <f t="shared" si="125"/>
        <v>0.13736390000000001</v>
      </c>
      <c r="AO3443">
        <v>0.13736390000000001</v>
      </c>
      <c r="AR3443" s="8">
        <v>0</v>
      </c>
      <c r="AS3443">
        <v>1.8972800000000001</v>
      </c>
    </row>
    <row r="3444" spans="1:45" x14ac:dyDescent="0.25">
      <c r="A3444">
        <v>596</v>
      </c>
      <c r="B3444">
        <v>1996</v>
      </c>
      <c r="C3444" s="8">
        <v>0</v>
      </c>
      <c r="D3444">
        <v>0.1389311</v>
      </c>
      <c r="E3444">
        <v>0.48350009999999999</v>
      </c>
      <c r="F3444">
        <v>6.5354099999999998E-2</v>
      </c>
      <c r="G3444">
        <v>3.0473690000000002</v>
      </c>
      <c r="H3444">
        <v>0.3415802</v>
      </c>
      <c r="Q3444" s="10">
        <f t="shared" si="126"/>
        <v>2.3486145622287117E-4</v>
      </c>
      <c r="AI3444">
        <v>0.14342199999999999</v>
      </c>
      <c r="AJ3444">
        <f t="shared" si="125"/>
        <v>0.14342199999999999</v>
      </c>
      <c r="AO3444">
        <v>0.14342199999999999</v>
      </c>
      <c r="AR3444" s="8">
        <v>0</v>
      </c>
      <c r="AS3444">
        <v>0.1674612</v>
      </c>
    </row>
    <row r="3445" spans="1:45" x14ac:dyDescent="0.25">
      <c r="A3445">
        <v>596</v>
      </c>
      <c r="B3445">
        <v>1997</v>
      </c>
      <c r="C3445" s="8">
        <v>0</v>
      </c>
      <c r="D3445">
        <v>0.13736390000000001</v>
      </c>
      <c r="E3445">
        <v>0.43305979999999999</v>
      </c>
      <c r="F3445">
        <v>5.8634499999999999E-2</v>
      </c>
      <c r="G3445">
        <v>1.982461</v>
      </c>
      <c r="H3445">
        <v>0.30415439999999999</v>
      </c>
      <c r="Q3445" s="10">
        <f t="shared" si="126"/>
        <v>1.419542742574308E-3</v>
      </c>
      <c r="AI3445">
        <v>0.13459679999999999</v>
      </c>
      <c r="AJ3445">
        <f t="shared" si="125"/>
        <v>0.13459679999999999</v>
      </c>
      <c r="AO3445">
        <v>0.13459679999999999</v>
      </c>
      <c r="AR3445" s="8">
        <v>0</v>
      </c>
      <c r="AS3445">
        <v>3.7752680000000001</v>
      </c>
    </row>
    <row r="3446" spans="1:45" x14ac:dyDescent="0.25">
      <c r="A3446">
        <v>596</v>
      </c>
      <c r="B3446">
        <v>1998</v>
      </c>
      <c r="C3446" s="8">
        <v>0</v>
      </c>
      <c r="D3446">
        <v>0.14342199999999999</v>
      </c>
      <c r="E3446">
        <v>0.44936739999999997</v>
      </c>
      <c r="F3446">
        <v>5.5180699999999999E-2</v>
      </c>
      <c r="G3446">
        <v>2.1885180000000002</v>
      </c>
      <c r="H3446">
        <v>0.29829129999999998</v>
      </c>
      <c r="Q3446" s="10">
        <f t="shared" si="126"/>
        <v>1.0254695873020462E-3</v>
      </c>
      <c r="AI3446">
        <v>0.1545483</v>
      </c>
      <c r="AJ3446">
        <f t="shared" si="125"/>
        <v>0.1545483</v>
      </c>
      <c r="AO3446">
        <v>0.1545483</v>
      </c>
      <c r="AR3446" s="8">
        <v>0</v>
      </c>
      <c r="AS3446">
        <v>3.0473690000000002</v>
      </c>
    </row>
    <row r="3447" spans="1:45" x14ac:dyDescent="0.25">
      <c r="A3447">
        <v>596</v>
      </c>
      <c r="B3447">
        <v>1999</v>
      </c>
      <c r="C3447" s="8">
        <v>0</v>
      </c>
      <c r="D3447">
        <v>0.13459679999999999</v>
      </c>
      <c r="E3447">
        <v>0.48270380000000002</v>
      </c>
      <c r="F3447">
        <v>5.6168500000000003E-2</v>
      </c>
      <c r="G3447">
        <v>1.5089669999999999</v>
      </c>
      <c r="H3447">
        <v>0.3112029</v>
      </c>
      <c r="Q3447" s="10">
        <f t="shared" si="126"/>
        <v>2.8696858256421808E-3</v>
      </c>
      <c r="AI3447">
        <v>0.1215816</v>
      </c>
      <c r="AJ3447">
        <f t="shared" si="125"/>
        <v>0.1215816</v>
      </c>
      <c r="AO3447">
        <v>0.1215816</v>
      </c>
      <c r="AR3447" s="8">
        <v>0</v>
      </c>
      <c r="AS3447">
        <v>1.982461</v>
      </c>
    </row>
    <row r="3448" spans="1:45" x14ac:dyDescent="0.25">
      <c r="A3448">
        <v>596</v>
      </c>
      <c r="B3448">
        <v>2000</v>
      </c>
      <c r="C3448" s="8">
        <v>0</v>
      </c>
      <c r="D3448">
        <v>0.1545483</v>
      </c>
      <c r="E3448">
        <v>0.50872240000000002</v>
      </c>
      <c r="F3448">
        <v>5.3782499999999997E-2</v>
      </c>
      <c r="G3448">
        <v>1.8755550000000001</v>
      </c>
      <c r="H3448">
        <v>0.34935640000000001</v>
      </c>
      <c r="Q3448" s="10">
        <f t="shared" si="126"/>
        <v>1.6232426190587442E-3</v>
      </c>
      <c r="AI3448">
        <v>0.1426026</v>
      </c>
      <c r="AJ3448">
        <f t="shared" si="125"/>
        <v>0.1426026</v>
      </c>
      <c r="AO3448">
        <v>0.1426026</v>
      </c>
      <c r="AR3448" s="8">
        <v>0</v>
      </c>
      <c r="AS3448">
        <v>2.1885180000000002</v>
      </c>
    </row>
    <row r="3449" spans="1:45" x14ac:dyDescent="0.25">
      <c r="A3449">
        <v>596</v>
      </c>
      <c r="B3449">
        <v>2001</v>
      </c>
      <c r="C3449" s="8">
        <v>0</v>
      </c>
      <c r="D3449">
        <v>0.1215816</v>
      </c>
      <c r="E3449">
        <v>0.57572520000000005</v>
      </c>
      <c r="F3449">
        <v>6.1349500000000001E-2</v>
      </c>
      <c r="G3449">
        <v>2.0256590000000001</v>
      </c>
      <c r="H3449">
        <v>0.3450357</v>
      </c>
      <c r="Q3449" s="10">
        <f t="shared" si="126"/>
        <v>1.0740962568785146E-3</v>
      </c>
      <c r="AI3449">
        <v>0.171848</v>
      </c>
      <c r="AJ3449">
        <f t="shared" si="125"/>
        <v>0.171848</v>
      </c>
      <c r="AO3449">
        <v>0.171848</v>
      </c>
      <c r="AR3449" s="8">
        <v>0</v>
      </c>
      <c r="AS3449">
        <v>1.5089669999999999</v>
      </c>
    </row>
    <row r="3450" spans="1:45" x14ac:dyDescent="0.25">
      <c r="A3450">
        <v>596</v>
      </c>
      <c r="B3450">
        <v>2002</v>
      </c>
      <c r="C3450" s="8">
        <v>0</v>
      </c>
      <c r="D3450">
        <v>0.1426026</v>
      </c>
      <c r="E3450">
        <v>0.58138630000000002</v>
      </c>
      <c r="F3450">
        <v>5.6191499999999998E-2</v>
      </c>
      <c r="G3450">
        <v>2.0611630000000001</v>
      </c>
      <c r="H3450">
        <v>0.36677179999999998</v>
      </c>
      <c r="Q3450" s="10">
        <f t="shared" si="126"/>
        <v>1.0726274525914893E-3</v>
      </c>
      <c r="AI3450">
        <v>9.4616800000000001E-2</v>
      </c>
      <c r="AJ3450">
        <f t="shared" si="125"/>
        <v>9.4616800000000001E-2</v>
      </c>
      <c r="AO3450">
        <v>9.4616800000000001E-2</v>
      </c>
      <c r="AR3450" s="8">
        <v>0</v>
      </c>
      <c r="AS3450">
        <v>1.8755550000000001</v>
      </c>
    </row>
    <row r="3451" spans="1:45" x14ac:dyDescent="0.25">
      <c r="A3451">
        <v>596</v>
      </c>
      <c r="B3451">
        <v>2003</v>
      </c>
      <c r="C3451" s="8">
        <v>0</v>
      </c>
      <c r="D3451">
        <v>0.171848</v>
      </c>
      <c r="E3451">
        <v>0.61867510000000003</v>
      </c>
      <c r="F3451">
        <v>7.3023400000000002E-2</v>
      </c>
      <c r="G3451">
        <v>2.3223289999999999</v>
      </c>
      <c r="H3451">
        <v>0.38618770000000002</v>
      </c>
      <c r="Q3451" s="10">
        <f t="shared" si="126"/>
        <v>6.003063300069997E-4</v>
      </c>
      <c r="AI3451">
        <v>-0.10253</v>
      </c>
      <c r="AJ3451">
        <f t="shared" si="125"/>
        <v>-0.10253</v>
      </c>
      <c r="AO3451">
        <v>-0.10253</v>
      </c>
      <c r="AR3451" s="8">
        <v>0</v>
      </c>
      <c r="AS3451">
        <v>2.0256590000000001</v>
      </c>
    </row>
    <row r="3452" spans="1:45" x14ac:dyDescent="0.25">
      <c r="A3452">
        <v>596</v>
      </c>
      <c r="B3452">
        <v>2004</v>
      </c>
      <c r="C3452" s="8">
        <v>0</v>
      </c>
      <c r="D3452">
        <v>9.4616800000000001E-2</v>
      </c>
      <c r="E3452">
        <v>0.60845139999999998</v>
      </c>
      <c r="F3452">
        <v>5.7946499999999998E-2</v>
      </c>
      <c r="G3452">
        <v>2.4303689999999998</v>
      </c>
      <c r="H3452">
        <v>0.3821486</v>
      </c>
      <c r="Q3452" s="10">
        <f t="shared" si="126"/>
        <v>5.5906662005862737E-4</v>
      </c>
      <c r="AI3452">
        <v>-0.1124554</v>
      </c>
      <c r="AJ3452">
        <f t="shared" si="125"/>
        <v>-0.1124554</v>
      </c>
      <c r="AO3452">
        <v>-0.1124554</v>
      </c>
      <c r="AR3452" s="8">
        <v>0</v>
      </c>
      <c r="AS3452">
        <v>2.0611630000000001</v>
      </c>
    </row>
    <row r="3453" spans="1:45" x14ac:dyDescent="0.25">
      <c r="A3453">
        <v>597</v>
      </c>
      <c r="B3453">
        <v>1995</v>
      </c>
      <c r="C3453" s="8">
        <v>0</v>
      </c>
      <c r="D3453">
        <v>-0.10253</v>
      </c>
      <c r="E3453">
        <v>-0.3673419</v>
      </c>
      <c r="F3453">
        <v>2.5056800000000001E-2</v>
      </c>
      <c r="G3453">
        <v>0.73885639999999997</v>
      </c>
      <c r="H3453">
        <v>0.46953549999999999</v>
      </c>
      <c r="Q3453" s="10">
        <f t="shared" si="126"/>
        <v>4.1537702141632805E-2</v>
      </c>
      <c r="AI3453">
        <v>-1.7682300000000001E-2</v>
      </c>
      <c r="AJ3453">
        <f t="shared" si="125"/>
        <v>-1.7682300000000001E-2</v>
      </c>
      <c r="AO3453">
        <v>-1.7682300000000001E-2</v>
      </c>
      <c r="AR3453" s="8">
        <v>0</v>
      </c>
      <c r="AS3453">
        <v>2.3223289999999999</v>
      </c>
    </row>
    <row r="3454" spans="1:45" x14ac:dyDescent="0.25">
      <c r="A3454">
        <v>597</v>
      </c>
      <c r="B3454">
        <v>1996</v>
      </c>
      <c r="C3454" s="8">
        <v>0</v>
      </c>
      <c r="D3454">
        <v>-0.1124554</v>
      </c>
      <c r="E3454">
        <v>-0.187941</v>
      </c>
      <c r="F3454">
        <v>5.43632E-2</v>
      </c>
      <c r="G3454">
        <v>0.51856069999999999</v>
      </c>
      <c r="H3454">
        <v>0.40573740000000003</v>
      </c>
      <c r="Q3454" s="10">
        <f t="shared" si="126"/>
        <v>3.4670073374455539E-2</v>
      </c>
      <c r="AI3454">
        <v>-2.0284400000000001E-2</v>
      </c>
      <c r="AJ3454">
        <f t="shared" si="125"/>
        <v>-2.0284400000000001E-2</v>
      </c>
      <c r="AO3454">
        <v>-2.0284400000000001E-2</v>
      </c>
      <c r="AR3454" s="8">
        <v>0</v>
      </c>
      <c r="AS3454">
        <v>2.4303689999999998</v>
      </c>
    </row>
    <row r="3455" spans="1:45" x14ac:dyDescent="0.25">
      <c r="A3455">
        <v>597</v>
      </c>
      <c r="B3455">
        <v>1997</v>
      </c>
      <c r="C3455" s="8">
        <v>0</v>
      </c>
      <c r="D3455">
        <v>-1.7682300000000001E-2</v>
      </c>
      <c r="E3455">
        <v>-0.27847939999999999</v>
      </c>
      <c r="F3455">
        <v>2.9173000000000001E-2</v>
      </c>
      <c r="G3455">
        <v>0.3806813</v>
      </c>
      <c r="H3455">
        <v>0.45236589999999999</v>
      </c>
      <c r="Q3455" s="10">
        <f t="shared" si="126"/>
        <v>6.2646270599212711E-2</v>
      </c>
      <c r="AI3455">
        <v>-5.7621899999999997E-2</v>
      </c>
      <c r="AJ3455">
        <f t="shared" si="125"/>
        <v>-5.7621899999999997E-2</v>
      </c>
      <c r="AO3455">
        <v>-5.7621899999999997E-2</v>
      </c>
      <c r="AR3455" s="8">
        <v>0</v>
      </c>
      <c r="AS3455">
        <v>0.73885639999999997</v>
      </c>
    </row>
    <row r="3456" spans="1:45" x14ac:dyDescent="0.25">
      <c r="A3456">
        <v>597</v>
      </c>
      <c r="B3456">
        <v>1998</v>
      </c>
      <c r="C3456" s="8">
        <v>0</v>
      </c>
      <c r="D3456">
        <v>-2.0284400000000001E-2</v>
      </c>
      <c r="E3456">
        <v>-0.55153419999999997</v>
      </c>
      <c r="F3456">
        <v>2.10815E-2</v>
      </c>
      <c r="G3456">
        <v>0.1892308</v>
      </c>
      <c r="H3456">
        <v>0.49368719999999999</v>
      </c>
      <c r="Q3456" s="10">
        <f t="shared" si="126"/>
        <v>0.12851185743641499</v>
      </c>
      <c r="AI3456">
        <v>-5.3938899999999998E-2</v>
      </c>
      <c r="AJ3456">
        <f t="shared" si="125"/>
        <v>-5.3938899999999998E-2</v>
      </c>
      <c r="AO3456">
        <v>-5.3938899999999998E-2</v>
      </c>
      <c r="AR3456" s="8">
        <v>0</v>
      </c>
      <c r="AS3456">
        <v>0.51856069999999999</v>
      </c>
    </row>
    <row r="3457" spans="1:45" x14ac:dyDescent="0.25">
      <c r="A3457">
        <v>597</v>
      </c>
      <c r="B3457">
        <v>1999</v>
      </c>
      <c r="C3457" s="8">
        <v>0</v>
      </c>
      <c r="D3457">
        <v>-5.7621899999999997E-2</v>
      </c>
      <c r="E3457">
        <v>-0.81086480000000005</v>
      </c>
      <c r="F3457">
        <v>4.1814700000000003E-2</v>
      </c>
      <c r="G3457">
        <v>0.1450389</v>
      </c>
      <c r="H3457">
        <v>0.57151130000000006</v>
      </c>
      <c r="Q3457" s="10">
        <f t="shared" si="126"/>
        <v>0.16801314667109507</v>
      </c>
      <c r="AI3457">
        <v>0.15421699999999999</v>
      </c>
      <c r="AJ3457">
        <f t="shared" si="125"/>
        <v>0.15421699999999999</v>
      </c>
      <c r="AO3457">
        <v>0.15421699999999999</v>
      </c>
      <c r="AR3457" s="8">
        <v>0</v>
      </c>
      <c r="AS3457">
        <v>0.3806813</v>
      </c>
    </row>
    <row r="3458" spans="1:45" x14ac:dyDescent="0.25">
      <c r="A3458">
        <v>597</v>
      </c>
      <c r="B3458">
        <v>2000</v>
      </c>
      <c r="C3458" s="8">
        <v>0</v>
      </c>
      <c r="D3458">
        <v>-5.3938899999999998E-2</v>
      </c>
      <c r="E3458">
        <v>-0.77114159999999998</v>
      </c>
      <c r="F3458">
        <v>3.3874799999999997E-2</v>
      </c>
      <c r="G3458">
        <v>8.5573300000000005E-2</v>
      </c>
      <c r="H3458">
        <v>0.49658679999999999</v>
      </c>
      <c r="Q3458" s="10">
        <f t="shared" si="126"/>
        <v>0.17593090473529616</v>
      </c>
      <c r="AI3458">
        <v>0.11539000000000001</v>
      </c>
      <c r="AJ3458">
        <f t="shared" si="125"/>
        <v>0.11539000000000001</v>
      </c>
      <c r="AO3458">
        <v>0.11539000000000001</v>
      </c>
      <c r="AR3458" s="8">
        <v>0</v>
      </c>
      <c r="AS3458">
        <v>0.1892308</v>
      </c>
    </row>
    <row r="3459" spans="1:45" x14ac:dyDescent="0.25">
      <c r="A3459">
        <v>598</v>
      </c>
      <c r="B3459">
        <v>1995</v>
      </c>
      <c r="C3459" s="8">
        <v>0</v>
      </c>
      <c r="D3459">
        <v>0.15421699999999999</v>
      </c>
      <c r="E3459">
        <v>0.15666840000000001</v>
      </c>
      <c r="F3459">
        <v>3.6065800000000002E-2</v>
      </c>
      <c r="G3459">
        <v>0.89793389999999995</v>
      </c>
      <c r="H3459">
        <v>0.1712428</v>
      </c>
      <c r="Q3459" s="10">
        <f t="shared" si="126"/>
        <v>1.3116501665976676E-2</v>
      </c>
      <c r="AI3459">
        <v>9.9603999999999998E-2</v>
      </c>
      <c r="AJ3459">
        <f t="shared" si="125"/>
        <v>9.9603999999999998E-2</v>
      </c>
      <c r="AO3459">
        <v>9.9603999999999998E-2</v>
      </c>
      <c r="AR3459" s="8">
        <v>0</v>
      </c>
      <c r="AS3459">
        <v>0.1450389</v>
      </c>
    </row>
    <row r="3460" spans="1:45" x14ac:dyDescent="0.25">
      <c r="A3460">
        <v>598</v>
      </c>
      <c r="B3460">
        <v>1996</v>
      </c>
      <c r="C3460" s="8">
        <v>0</v>
      </c>
      <c r="D3460">
        <v>0.11539000000000001</v>
      </c>
      <c r="E3460">
        <v>0.15023130000000001</v>
      </c>
      <c r="F3460">
        <v>2.0193699999999998E-2</v>
      </c>
      <c r="G3460">
        <v>0.46495520000000001</v>
      </c>
      <c r="H3460">
        <v>0.15148120000000001</v>
      </c>
      <c r="Q3460" s="10">
        <f t="shared" si="126"/>
        <v>2.8673109136259596E-2</v>
      </c>
      <c r="AI3460">
        <v>0.45551380000000002</v>
      </c>
      <c r="AJ3460">
        <f t="shared" si="125"/>
        <v>0.45551380000000002</v>
      </c>
      <c r="AO3460">
        <v>0.45551380000000002</v>
      </c>
      <c r="AR3460" s="8">
        <v>0</v>
      </c>
      <c r="AS3460">
        <v>8.5573300000000005E-2</v>
      </c>
    </row>
    <row r="3461" spans="1:45" x14ac:dyDescent="0.25">
      <c r="A3461">
        <v>598</v>
      </c>
      <c r="B3461">
        <v>1997</v>
      </c>
      <c r="C3461" s="8">
        <v>0</v>
      </c>
      <c r="D3461">
        <v>9.9603999999999998E-2</v>
      </c>
      <c r="E3461">
        <v>9.68281E-2</v>
      </c>
      <c r="F3461">
        <v>3.8464699999999998E-2</v>
      </c>
      <c r="G3461">
        <v>0.77269109999999996</v>
      </c>
      <c r="H3461">
        <v>0.20490520000000001</v>
      </c>
      <c r="Q3461" s="10">
        <f t="shared" si="126"/>
        <v>1.7039334859763337E-2</v>
      </c>
      <c r="AI3461">
        <v>0.3675949</v>
      </c>
      <c r="AJ3461">
        <f t="shared" ref="AJ3461:AJ3524" si="127">MAX(MIN(AI3461,AM$5),AM$4)</f>
        <v>0.3675949</v>
      </c>
      <c r="AO3461">
        <v>0.3675949</v>
      </c>
      <c r="AR3461" s="8">
        <v>0</v>
      </c>
      <c r="AS3461">
        <v>0.89793389999999995</v>
      </c>
    </row>
    <row r="3462" spans="1:45" x14ac:dyDescent="0.25">
      <c r="A3462">
        <v>599</v>
      </c>
      <c r="B3462">
        <v>1995</v>
      </c>
      <c r="C3462" s="8">
        <v>0</v>
      </c>
      <c r="D3462">
        <v>0.45551380000000002</v>
      </c>
      <c r="E3462">
        <v>3.2187500000000001E-2</v>
      </c>
      <c r="F3462">
        <v>6.9919899999999993E-2</v>
      </c>
      <c r="G3462">
        <v>2.3231660000000001</v>
      </c>
      <c r="H3462">
        <v>0.37040040000000002</v>
      </c>
      <c r="Q3462" s="10">
        <f t="shared" si="126"/>
        <v>1.6043227620617599E-3</v>
      </c>
      <c r="AI3462">
        <v>0.37249589999999999</v>
      </c>
      <c r="AJ3462">
        <f t="shared" si="127"/>
        <v>0.37249589999999999</v>
      </c>
      <c r="AO3462">
        <v>0.37249589999999999</v>
      </c>
      <c r="AR3462" s="8">
        <v>0</v>
      </c>
      <c r="AS3462">
        <v>0.46495520000000001</v>
      </c>
    </row>
    <row r="3463" spans="1:45" x14ac:dyDescent="0.25">
      <c r="A3463">
        <v>599</v>
      </c>
      <c r="B3463">
        <v>1996</v>
      </c>
      <c r="C3463" s="8">
        <v>0</v>
      </c>
      <c r="D3463">
        <v>0.3675949</v>
      </c>
      <c r="E3463">
        <v>6.8884699999999993E-2</v>
      </c>
      <c r="F3463">
        <v>6.8971599999999994E-2</v>
      </c>
      <c r="G3463">
        <v>2.524089</v>
      </c>
      <c r="H3463">
        <v>0.34109250000000002</v>
      </c>
      <c r="Q3463" s="10">
        <f t="shared" ref="Q3463:Q3526" si="128">1/(1+EXP(-(J$6+SUMPRODUCT(K$6:O$6,D3463:H3463))))</f>
        <v>1.054107212810552E-3</v>
      </c>
      <c r="AI3463">
        <v>0.1919391</v>
      </c>
      <c r="AJ3463">
        <f t="shared" si="127"/>
        <v>0.1919391</v>
      </c>
      <c r="AO3463">
        <v>0.1919391</v>
      </c>
      <c r="AR3463" s="8">
        <v>0</v>
      </c>
      <c r="AS3463">
        <v>0.77269109999999996</v>
      </c>
    </row>
    <row r="3464" spans="1:45" x14ac:dyDescent="0.25">
      <c r="A3464">
        <v>599</v>
      </c>
      <c r="B3464">
        <v>1997</v>
      </c>
      <c r="C3464" s="8">
        <v>0</v>
      </c>
      <c r="D3464">
        <v>0.37249589999999999</v>
      </c>
      <c r="E3464">
        <v>0.13775490000000001</v>
      </c>
      <c r="F3464">
        <v>9.2864299999999997E-2</v>
      </c>
      <c r="G3464">
        <v>2.6612580000000001</v>
      </c>
      <c r="H3464">
        <v>0.4530496</v>
      </c>
      <c r="Q3464" s="10">
        <f t="shared" si="128"/>
        <v>6.8020023253365731E-4</v>
      </c>
      <c r="AI3464">
        <v>0.34863769999999999</v>
      </c>
      <c r="AJ3464">
        <f t="shared" si="127"/>
        <v>0.34863769999999999</v>
      </c>
      <c r="AO3464">
        <v>0.34863769999999999</v>
      </c>
      <c r="AR3464" s="8">
        <v>0</v>
      </c>
      <c r="AS3464">
        <v>2.3231660000000001</v>
      </c>
    </row>
    <row r="3465" spans="1:45" x14ac:dyDescent="0.25">
      <c r="A3465">
        <v>599</v>
      </c>
      <c r="B3465">
        <v>1998</v>
      </c>
      <c r="C3465" s="8">
        <v>0</v>
      </c>
      <c r="D3465">
        <v>0.1919391</v>
      </c>
      <c r="E3465">
        <v>0.17830180000000001</v>
      </c>
      <c r="F3465">
        <v>4.6155700000000001E-2</v>
      </c>
      <c r="G3465">
        <v>1.126868</v>
      </c>
      <c r="H3465">
        <v>0.3005044</v>
      </c>
      <c r="Q3465" s="10">
        <f t="shared" si="128"/>
        <v>8.9960212451346434E-3</v>
      </c>
      <c r="AI3465">
        <v>0.32245040000000003</v>
      </c>
      <c r="AJ3465">
        <f t="shared" si="127"/>
        <v>0.32245040000000003</v>
      </c>
      <c r="AO3465">
        <v>0.32245040000000003</v>
      </c>
      <c r="AR3465" s="8">
        <v>0</v>
      </c>
      <c r="AS3465">
        <v>2.524089</v>
      </c>
    </row>
    <row r="3466" spans="1:45" x14ac:dyDescent="0.25">
      <c r="A3466">
        <v>599</v>
      </c>
      <c r="B3466">
        <v>1999</v>
      </c>
      <c r="C3466" s="8">
        <v>0</v>
      </c>
      <c r="D3466">
        <v>0.34863769999999999</v>
      </c>
      <c r="E3466">
        <v>0.1948638</v>
      </c>
      <c r="F3466">
        <v>3.4212600000000003E-2</v>
      </c>
      <c r="G3466">
        <v>2.1029770000000001</v>
      </c>
      <c r="H3466">
        <v>0.30423800000000001</v>
      </c>
      <c r="Q3466" s="10">
        <f t="shared" si="128"/>
        <v>2.196355830938245E-3</v>
      </c>
      <c r="AI3466">
        <v>0.33206029999999997</v>
      </c>
      <c r="AJ3466">
        <f t="shared" si="127"/>
        <v>0.33206029999999997</v>
      </c>
      <c r="AO3466">
        <v>0.33206029999999997</v>
      </c>
      <c r="AR3466" s="8">
        <v>0</v>
      </c>
      <c r="AS3466">
        <v>2.6612580000000001</v>
      </c>
    </row>
    <row r="3467" spans="1:45" x14ac:dyDescent="0.25">
      <c r="A3467">
        <v>599</v>
      </c>
      <c r="B3467">
        <v>2000</v>
      </c>
      <c r="C3467" s="8">
        <v>0</v>
      </c>
      <c r="D3467">
        <v>0.32245040000000003</v>
      </c>
      <c r="E3467">
        <v>0.1872048</v>
      </c>
      <c r="F3467">
        <v>5.5247999999999998E-2</v>
      </c>
      <c r="G3467">
        <v>2.561096</v>
      </c>
      <c r="H3467">
        <v>0.35615039999999998</v>
      </c>
      <c r="Q3467" s="10">
        <f t="shared" si="128"/>
        <v>9.2515795281868183E-4</v>
      </c>
      <c r="AI3467">
        <v>0.33516859999999998</v>
      </c>
      <c r="AJ3467">
        <f t="shared" si="127"/>
        <v>0.33516859999999998</v>
      </c>
      <c r="AO3467">
        <v>0.33516859999999998</v>
      </c>
      <c r="AR3467" s="8">
        <v>0</v>
      </c>
      <c r="AS3467">
        <v>1.126868</v>
      </c>
    </row>
    <row r="3468" spans="1:45" x14ac:dyDescent="0.25">
      <c r="A3468">
        <v>599</v>
      </c>
      <c r="B3468">
        <v>2001</v>
      </c>
      <c r="C3468" s="8">
        <v>0</v>
      </c>
      <c r="D3468">
        <v>0.33206029999999997</v>
      </c>
      <c r="E3468">
        <v>0.22701350000000001</v>
      </c>
      <c r="F3468">
        <v>6.8768599999999999E-2</v>
      </c>
      <c r="G3468">
        <v>1.508143</v>
      </c>
      <c r="H3468">
        <v>0.35527769999999997</v>
      </c>
      <c r="Q3468" s="10">
        <f t="shared" si="128"/>
        <v>4.1967721328697201E-3</v>
      </c>
      <c r="AI3468">
        <v>0.36305199999999999</v>
      </c>
      <c r="AJ3468">
        <f t="shared" si="127"/>
        <v>0.36305199999999999</v>
      </c>
      <c r="AO3468">
        <v>0.36305199999999999</v>
      </c>
      <c r="AR3468" s="8">
        <v>0</v>
      </c>
      <c r="AS3468">
        <v>2.1029770000000001</v>
      </c>
    </row>
    <row r="3469" spans="1:45" x14ac:dyDescent="0.25">
      <c r="A3469">
        <v>599</v>
      </c>
      <c r="B3469">
        <v>2002</v>
      </c>
      <c r="C3469" s="8">
        <v>0</v>
      </c>
      <c r="D3469">
        <v>0.33516859999999998</v>
      </c>
      <c r="E3469">
        <v>0.25776959999999999</v>
      </c>
      <c r="F3469">
        <v>4.5318299999999999E-2</v>
      </c>
      <c r="G3469">
        <v>1.9872430000000001</v>
      </c>
      <c r="H3469">
        <v>0.3189999</v>
      </c>
      <c r="Q3469" s="10">
        <f t="shared" si="128"/>
        <v>2.2132916870555826E-3</v>
      </c>
      <c r="AI3469">
        <v>0.341111</v>
      </c>
      <c r="AJ3469">
        <f t="shared" si="127"/>
        <v>0.341111</v>
      </c>
      <c r="AO3469">
        <v>0.341111</v>
      </c>
      <c r="AR3469" s="8">
        <v>0</v>
      </c>
      <c r="AS3469">
        <v>2.561096</v>
      </c>
    </row>
    <row r="3470" spans="1:45" x14ac:dyDescent="0.25">
      <c r="A3470">
        <v>599</v>
      </c>
      <c r="B3470">
        <v>2003</v>
      </c>
      <c r="C3470" s="8">
        <v>0</v>
      </c>
      <c r="D3470">
        <v>0.36305199999999999</v>
      </c>
      <c r="E3470">
        <v>0.29403629999999997</v>
      </c>
      <c r="F3470">
        <v>6.2511700000000003E-2</v>
      </c>
      <c r="G3470">
        <v>2.2638989999999999</v>
      </c>
      <c r="H3470">
        <v>0.33317920000000001</v>
      </c>
      <c r="Q3470" s="10">
        <f t="shared" si="128"/>
        <v>1.2028503023763226E-3</v>
      </c>
      <c r="AI3470">
        <v>0.15220159999999999</v>
      </c>
      <c r="AJ3470">
        <f t="shared" si="127"/>
        <v>0.15220159999999999</v>
      </c>
      <c r="AO3470">
        <v>0.15220159999999999</v>
      </c>
      <c r="AR3470" s="8">
        <v>0</v>
      </c>
      <c r="AS3470">
        <v>1.508143</v>
      </c>
    </row>
    <row r="3471" spans="1:45" x14ac:dyDescent="0.25">
      <c r="A3471">
        <v>599</v>
      </c>
      <c r="B3471">
        <v>2004</v>
      </c>
      <c r="C3471" s="8">
        <v>0</v>
      </c>
      <c r="D3471">
        <v>0.341111</v>
      </c>
      <c r="E3471">
        <v>0.30437769999999997</v>
      </c>
      <c r="F3471">
        <v>5.6264300000000003E-2</v>
      </c>
      <c r="G3471">
        <v>2.7196989999999999</v>
      </c>
      <c r="H3471">
        <v>0.3734035</v>
      </c>
      <c r="Q3471" s="10">
        <f t="shared" si="128"/>
        <v>6.1244081216445007E-4</v>
      </c>
      <c r="AI3471">
        <v>0.2299774</v>
      </c>
      <c r="AJ3471">
        <f t="shared" si="127"/>
        <v>0.2299774</v>
      </c>
      <c r="AO3471">
        <v>0.2299774</v>
      </c>
      <c r="AR3471" s="8">
        <v>0</v>
      </c>
      <c r="AS3471">
        <v>1.9872430000000001</v>
      </c>
    </row>
    <row r="3472" spans="1:45" x14ac:dyDescent="0.25">
      <c r="A3472">
        <v>600</v>
      </c>
      <c r="B3472">
        <v>1998</v>
      </c>
      <c r="C3472" s="8">
        <v>0</v>
      </c>
      <c r="D3472">
        <v>0.15220159999999999</v>
      </c>
      <c r="E3472">
        <v>0.22181300000000001</v>
      </c>
      <c r="F3472">
        <v>6.0370199999999999E-2</v>
      </c>
      <c r="G3472">
        <v>0.82329859999999999</v>
      </c>
      <c r="H3472">
        <v>0.5894315</v>
      </c>
      <c r="Q3472" s="10">
        <f t="shared" si="128"/>
        <v>1.4307629342309463E-2</v>
      </c>
      <c r="AI3472">
        <v>0.2349366</v>
      </c>
      <c r="AJ3472">
        <f t="shared" si="127"/>
        <v>0.2349366</v>
      </c>
      <c r="AO3472">
        <v>0.2349366</v>
      </c>
      <c r="AR3472" s="8">
        <v>0</v>
      </c>
      <c r="AS3472">
        <v>2.2638989999999999</v>
      </c>
    </row>
    <row r="3473" spans="1:45" x14ac:dyDescent="0.25">
      <c r="A3473">
        <v>600</v>
      </c>
      <c r="B3473">
        <v>1999</v>
      </c>
      <c r="C3473" s="8">
        <v>0</v>
      </c>
      <c r="D3473">
        <v>0.2299774</v>
      </c>
      <c r="E3473">
        <v>0.15421360000000001</v>
      </c>
      <c r="F3473">
        <v>4.5948099999999999E-2</v>
      </c>
      <c r="G3473">
        <v>0.56094319999999998</v>
      </c>
      <c r="H3473">
        <v>0.47674450000000002</v>
      </c>
      <c r="Q3473" s="10">
        <f t="shared" si="128"/>
        <v>2.5620355647023068E-2</v>
      </c>
      <c r="AI3473">
        <v>0.2334002</v>
      </c>
      <c r="AJ3473">
        <f t="shared" si="127"/>
        <v>0.2334002</v>
      </c>
      <c r="AO3473">
        <v>0.2334002</v>
      </c>
      <c r="AR3473" s="8">
        <v>0</v>
      </c>
      <c r="AS3473">
        <v>2.7196989999999999</v>
      </c>
    </row>
    <row r="3474" spans="1:45" x14ac:dyDescent="0.25">
      <c r="A3474">
        <v>600</v>
      </c>
      <c r="B3474">
        <v>2000</v>
      </c>
      <c r="C3474" s="8">
        <v>0</v>
      </c>
      <c r="D3474">
        <v>0.2349366</v>
      </c>
      <c r="E3474">
        <v>0.21798229999999999</v>
      </c>
      <c r="F3474">
        <v>7.4420299999999995E-2</v>
      </c>
      <c r="G3474">
        <v>0.86171350000000002</v>
      </c>
      <c r="H3474">
        <v>0.49186770000000002</v>
      </c>
      <c r="Q3474" s="10">
        <f t="shared" si="128"/>
        <v>1.1811915474864017E-2</v>
      </c>
      <c r="AI3474">
        <v>0.22423019999999999</v>
      </c>
      <c r="AJ3474">
        <f t="shared" si="127"/>
        <v>0.22423019999999999</v>
      </c>
      <c r="AO3474">
        <v>0.22423019999999999</v>
      </c>
      <c r="AR3474" s="8">
        <v>0</v>
      </c>
      <c r="AS3474">
        <v>0.82329859999999999</v>
      </c>
    </row>
    <row r="3475" spans="1:45" x14ac:dyDescent="0.25">
      <c r="A3475">
        <v>600</v>
      </c>
      <c r="B3475">
        <v>2001</v>
      </c>
      <c r="C3475" s="8">
        <v>0</v>
      </c>
      <c r="D3475">
        <v>0.2334002</v>
      </c>
      <c r="E3475">
        <v>0.24633720000000001</v>
      </c>
      <c r="F3475">
        <v>3.7582299999999999E-2</v>
      </c>
      <c r="G3475">
        <v>0.96673589999999998</v>
      </c>
      <c r="H3475">
        <v>0.52645869999999995</v>
      </c>
      <c r="Q3475" s="10">
        <f t="shared" si="128"/>
        <v>1.3126788587755893E-2</v>
      </c>
      <c r="AI3475">
        <v>0.2529247</v>
      </c>
      <c r="AJ3475">
        <f t="shared" si="127"/>
        <v>0.2529247</v>
      </c>
      <c r="AO3475">
        <v>0.2529247</v>
      </c>
      <c r="AR3475" s="8">
        <v>0</v>
      </c>
      <c r="AS3475">
        <v>0.56094319999999998</v>
      </c>
    </row>
    <row r="3476" spans="1:45" x14ac:dyDescent="0.25">
      <c r="A3476">
        <v>600</v>
      </c>
      <c r="B3476">
        <v>2002</v>
      </c>
      <c r="C3476" s="8">
        <v>0</v>
      </c>
      <c r="D3476">
        <v>0.22423019999999999</v>
      </c>
      <c r="E3476">
        <v>0.2249746</v>
      </c>
      <c r="F3476">
        <v>3.9901600000000002E-2</v>
      </c>
      <c r="G3476">
        <v>0.77607729999999997</v>
      </c>
      <c r="H3476">
        <v>0.45091819999999999</v>
      </c>
      <c r="Q3476" s="10">
        <f t="shared" si="128"/>
        <v>1.7054180675135724E-2</v>
      </c>
      <c r="AI3476">
        <v>0.27142579999999999</v>
      </c>
      <c r="AJ3476">
        <f t="shared" si="127"/>
        <v>0.27142579999999999</v>
      </c>
      <c r="AO3476">
        <v>0.27142579999999999</v>
      </c>
      <c r="AR3476" s="8">
        <v>0</v>
      </c>
      <c r="AS3476">
        <v>0.86171350000000002</v>
      </c>
    </row>
    <row r="3477" spans="1:45" x14ac:dyDescent="0.25">
      <c r="A3477">
        <v>600</v>
      </c>
      <c r="B3477">
        <v>2003</v>
      </c>
      <c r="C3477" s="8">
        <v>0</v>
      </c>
      <c r="D3477">
        <v>0.2529247</v>
      </c>
      <c r="E3477">
        <v>0.25318410000000002</v>
      </c>
      <c r="F3477">
        <v>4.8273099999999999E-2</v>
      </c>
      <c r="G3477">
        <v>0.96076519999999999</v>
      </c>
      <c r="H3477">
        <v>0.54357529999999998</v>
      </c>
      <c r="Q3477" s="10">
        <f t="shared" si="128"/>
        <v>1.2283423062201601E-2</v>
      </c>
      <c r="AI3477">
        <v>0.48378650000000001</v>
      </c>
      <c r="AJ3477">
        <f t="shared" si="127"/>
        <v>0.48378650000000001</v>
      </c>
      <c r="AO3477">
        <v>0.48378650000000001</v>
      </c>
      <c r="AR3477" s="8">
        <v>0</v>
      </c>
      <c r="AS3477">
        <v>0.96673589999999998</v>
      </c>
    </row>
    <row r="3478" spans="1:45" x14ac:dyDescent="0.25">
      <c r="A3478">
        <v>600</v>
      </c>
      <c r="B3478">
        <v>2004</v>
      </c>
      <c r="C3478" s="8">
        <v>0</v>
      </c>
      <c r="D3478">
        <v>0.27142579999999999</v>
      </c>
      <c r="E3478">
        <v>0.27294740000000001</v>
      </c>
      <c r="F3478">
        <v>7.1070400000000006E-2</v>
      </c>
      <c r="G3478">
        <v>0.9206934</v>
      </c>
      <c r="H3478">
        <v>0.53597640000000002</v>
      </c>
      <c r="Q3478" s="10">
        <f t="shared" si="128"/>
        <v>1.0650691720111384E-2</v>
      </c>
      <c r="AI3478">
        <v>0.46939649999999999</v>
      </c>
      <c r="AJ3478">
        <f t="shared" si="127"/>
        <v>0.46939649999999999</v>
      </c>
      <c r="AO3478">
        <v>0.46939649999999999</v>
      </c>
      <c r="AR3478" s="8">
        <v>0</v>
      </c>
      <c r="AS3478">
        <v>0.77607729999999997</v>
      </c>
    </row>
    <row r="3479" spans="1:45" x14ac:dyDescent="0.25">
      <c r="A3479">
        <v>601</v>
      </c>
      <c r="B3479">
        <v>1995</v>
      </c>
      <c r="C3479" s="8">
        <v>0</v>
      </c>
      <c r="D3479">
        <v>0.48378650000000001</v>
      </c>
      <c r="E3479">
        <v>0.57513599999999998</v>
      </c>
      <c r="F3479">
        <v>6.9229700000000005E-2</v>
      </c>
      <c r="G3479">
        <v>3.0307140000000001</v>
      </c>
      <c r="H3479">
        <v>0.29191499999999998</v>
      </c>
      <c r="Q3479" s="10">
        <f t="shared" si="128"/>
        <v>2.2893288361822213E-4</v>
      </c>
      <c r="AI3479">
        <v>0.43928739999999999</v>
      </c>
      <c r="AJ3479">
        <f t="shared" si="127"/>
        <v>0.43928739999999999</v>
      </c>
      <c r="AO3479">
        <v>0.43928739999999999</v>
      </c>
      <c r="AR3479" s="8">
        <v>0</v>
      </c>
      <c r="AS3479">
        <v>0.96076519999999999</v>
      </c>
    </row>
    <row r="3480" spans="1:45" x14ac:dyDescent="0.25">
      <c r="A3480">
        <v>601</v>
      </c>
      <c r="B3480">
        <v>1996</v>
      </c>
      <c r="C3480" s="8">
        <v>0</v>
      </c>
      <c r="D3480">
        <v>0.46939649999999999</v>
      </c>
      <c r="E3480">
        <v>0.5590503</v>
      </c>
      <c r="F3480">
        <v>7.0991499999999999E-2</v>
      </c>
      <c r="G3480">
        <v>3.1654010000000001</v>
      </c>
      <c r="H3480">
        <v>0.30530380000000001</v>
      </c>
      <c r="Q3480" s="10">
        <f t="shared" si="128"/>
        <v>1.8687966328192543E-4</v>
      </c>
      <c r="AI3480">
        <v>0.41588399999999998</v>
      </c>
      <c r="AJ3480">
        <f t="shared" si="127"/>
        <v>0.41588399999999998</v>
      </c>
      <c r="AO3480">
        <v>0.41588399999999998</v>
      </c>
      <c r="AR3480" s="8">
        <v>0</v>
      </c>
      <c r="AS3480">
        <v>0.9206934</v>
      </c>
    </row>
    <row r="3481" spans="1:45" x14ac:dyDescent="0.25">
      <c r="A3481">
        <v>601</v>
      </c>
      <c r="B3481">
        <v>1997</v>
      </c>
      <c r="C3481" s="8">
        <v>0</v>
      </c>
      <c r="D3481">
        <v>0.43928739999999999</v>
      </c>
      <c r="E3481">
        <v>0.58618400000000004</v>
      </c>
      <c r="F3481">
        <v>8.93877E-2</v>
      </c>
      <c r="G3481">
        <v>3.5588829999999998</v>
      </c>
      <c r="H3481">
        <v>0.34548479999999998</v>
      </c>
      <c r="Q3481" s="10">
        <f t="shared" si="128"/>
        <v>8.3875703887504251E-5</v>
      </c>
      <c r="AI3481">
        <v>0.38575009999999998</v>
      </c>
      <c r="AJ3481">
        <f t="shared" si="127"/>
        <v>0.38575009999999998</v>
      </c>
      <c r="AO3481">
        <v>0.38575009999999998</v>
      </c>
      <c r="AR3481" s="8">
        <v>0</v>
      </c>
      <c r="AS3481">
        <v>3.0307140000000001</v>
      </c>
    </row>
    <row r="3482" spans="1:45" x14ac:dyDescent="0.25">
      <c r="A3482">
        <v>601</v>
      </c>
      <c r="B3482">
        <v>1998</v>
      </c>
      <c r="C3482" s="8">
        <v>0</v>
      </c>
      <c r="D3482">
        <v>0.41588399999999998</v>
      </c>
      <c r="E3482">
        <v>0.54919300000000004</v>
      </c>
      <c r="F3482">
        <v>4.0804399999999998E-2</v>
      </c>
      <c r="G3482">
        <v>2.2843610000000001</v>
      </c>
      <c r="H3482">
        <v>0.32950639999999998</v>
      </c>
      <c r="Q3482" s="10">
        <f t="shared" si="128"/>
        <v>9.7488682804114737E-4</v>
      </c>
      <c r="AI3482">
        <v>0.35043960000000002</v>
      </c>
      <c r="AJ3482">
        <f t="shared" si="127"/>
        <v>0.35043960000000002</v>
      </c>
      <c r="AO3482">
        <v>0.35043960000000002</v>
      </c>
      <c r="AR3482" s="8">
        <v>0</v>
      </c>
      <c r="AS3482">
        <v>3.1654010000000001</v>
      </c>
    </row>
    <row r="3483" spans="1:45" x14ac:dyDescent="0.25">
      <c r="A3483">
        <v>601</v>
      </c>
      <c r="B3483">
        <v>1999</v>
      </c>
      <c r="C3483" s="8">
        <v>0</v>
      </c>
      <c r="D3483">
        <v>0.38575009999999998</v>
      </c>
      <c r="E3483">
        <v>0.45288489999999998</v>
      </c>
      <c r="F3483">
        <v>6.5635899999999997E-2</v>
      </c>
      <c r="G3483">
        <v>1.1922950000000001</v>
      </c>
      <c r="H3483">
        <v>0.32005050000000002</v>
      </c>
      <c r="Q3483" s="10">
        <f t="shared" si="128"/>
        <v>5.1231689477969173E-3</v>
      </c>
      <c r="AI3483">
        <v>0.32635370000000002</v>
      </c>
      <c r="AJ3483">
        <f t="shared" si="127"/>
        <v>0.32635370000000002</v>
      </c>
      <c r="AO3483">
        <v>0.32635370000000002</v>
      </c>
      <c r="AR3483" s="8">
        <v>0</v>
      </c>
      <c r="AS3483">
        <v>3.5588829999999998</v>
      </c>
    </row>
    <row r="3484" spans="1:45" x14ac:dyDescent="0.25">
      <c r="A3484">
        <v>601</v>
      </c>
      <c r="B3484">
        <v>2000</v>
      </c>
      <c r="C3484" s="8">
        <v>0</v>
      </c>
      <c r="D3484">
        <v>0.35043960000000002</v>
      </c>
      <c r="E3484">
        <v>0.4920833</v>
      </c>
      <c r="F3484">
        <v>5.9267100000000003E-2</v>
      </c>
      <c r="G3484">
        <v>1.3814649999999999</v>
      </c>
      <c r="H3484">
        <v>0.30826310000000001</v>
      </c>
      <c r="Q3484" s="10">
        <f t="shared" si="128"/>
        <v>3.6905065970120089E-3</v>
      </c>
      <c r="AI3484">
        <v>0.27138079999999998</v>
      </c>
      <c r="AJ3484">
        <f t="shared" si="127"/>
        <v>0.27138079999999998</v>
      </c>
      <c r="AO3484">
        <v>0.27138079999999998</v>
      </c>
      <c r="AR3484" s="8">
        <v>0</v>
      </c>
      <c r="AS3484">
        <v>2.2843610000000001</v>
      </c>
    </row>
    <row r="3485" spans="1:45" x14ac:dyDescent="0.25">
      <c r="A3485">
        <v>601</v>
      </c>
      <c r="B3485">
        <v>2001</v>
      </c>
      <c r="C3485" s="8">
        <v>0</v>
      </c>
      <c r="D3485">
        <v>0.32635370000000002</v>
      </c>
      <c r="E3485">
        <v>0.47053109999999998</v>
      </c>
      <c r="F3485">
        <v>6.8081600000000006E-2</v>
      </c>
      <c r="G3485">
        <v>1.67343</v>
      </c>
      <c r="H3485">
        <v>0.30761670000000002</v>
      </c>
      <c r="Q3485" s="10">
        <f t="shared" si="128"/>
        <v>2.2087442521108946E-3</v>
      </c>
      <c r="AI3485">
        <v>0.28055799999999997</v>
      </c>
      <c r="AJ3485">
        <f t="shared" si="127"/>
        <v>0.28055799999999997</v>
      </c>
      <c r="AO3485">
        <v>0.28055799999999997</v>
      </c>
      <c r="AR3485" s="8">
        <v>0</v>
      </c>
      <c r="AS3485">
        <v>1.1922950000000001</v>
      </c>
    </row>
    <row r="3486" spans="1:45" x14ac:dyDescent="0.25">
      <c r="A3486">
        <v>601</v>
      </c>
      <c r="B3486">
        <v>2002</v>
      </c>
      <c r="C3486" s="8">
        <v>0</v>
      </c>
      <c r="D3486">
        <v>0.27138079999999998</v>
      </c>
      <c r="E3486">
        <v>0.49264249999999998</v>
      </c>
      <c r="F3486">
        <v>5.8458200000000002E-2</v>
      </c>
      <c r="G3486">
        <v>1.4508369999999999</v>
      </c>
      <c r="H3486">
        <v>0.31561929999999999</v>
      </c>
      <c r="Q3486" s="10">
        <f t="shared" si="128"/>
        <v>3.2320854339633553E-3</v>
      </c>
      <c r="AI3486">
        <v>0.26410149999999999</v>
      </c>
      <c r="AJ3486">
        <f t="shared" si="127"/>
        <v>0.26410149999999999</v>
      </c>
      <c r="AO3486">
        <v>0.26410149999999999</v>
      </c>
      <c r="AR3486" s="8">
        <v>0</v>
      </c>
      <c r="AS3486">
        <v>1.3814649999999999</v>
      </c>
    </row>
    <row r="3487" spans="1:45" x14ac:dyDescent="0.25">
      <c r="A3487">
        <v>601</v>
      </c>
      <c r="B3487">
        <v>2003</v>
      </c>
      <c r="C3487" s="8">
        <v>0</v>
      </c>
      <c r="D3487">
        <v>0.28055799999999997</v>
      </c>
      <c r="E3487">
        <v>0.55675960000000002</v>
      </c>
      <c r="F3487">
        <v>4.8100900000000002E-2</v>
      </c>
      <c r="G3487">
        <v>1.6995690000000001</v>
      </c>
      <c r="H3487">
        <v>0.32314749999999998</v>
      </c>
      <c r="Q3487" s="10">
        <f t="shared" si="128"/>
        <v>2.1725498778410526E-3</v>
      </c>
      <c r="AI3487">
        <v>-2.06965E-2</v>
      </c>
      <c r="AJ3487">
        <f t="shared" si="127"/>
        <v>-2.06965E-2</v>
      </c>
      <c r="AO3487">
        <v>-2.06965E-2</v>
      </c>
      <c r="AR3487" s="8">
        <v>0</v>
      </c>
      <c r="AS3487">
        <v>1.67343</v>
      </c>
    </row>
    <row r="3488" spans="1:45" x14ac:dyDescent="0.25">
      <c r="A3488">
        <v>601</v>
      </c>
      <c r="B3488">
        <v>2004</v>
      </c>
      <c r="C3488" s="8">
        <v>0</v>
      </c>
      <c r="D3488">
        <v>0.26410149999999999</v>
      </c>
      <c r="E3488">
        <v>0.57184919999999995</v>
      </c>
      <c r="F3488">
        <v>7.1655899999999995E-2</v>
      </c>
      <c r="G3488">
        <v>1.7162500000000001</v>
      </c>
      <c r="H3488">
        <v>0.30392000000000002</v>
      </c>
      <c r="Q3488" s="10">
        <f t="shared" si="128"/>
        <v>1.6832315063306192E-3</v>
      </c>
      <c r="AI3488">
        <v>-3.8346000000000001E-3</v>
      </c>
      <c r="AJ3488">
        <f t="shared" si="127"/>
        <v>-3.8346000000000001E-3</v>
      </c>
      <c r="AO3488">
        <v>-3.8346000000000001E-3</v>
      </c>
      <c r="AR3488" s="8">
        <v>0</v>
      </c>
      <c r="AS3488">
        <v>1.4508369999999999</v>
      </c>
    </row>
    <row r="3489" spans="1:45" x14ac:dyDescent="0.25">
      <c r="A3489">
        <v>602</v>
      </c>
      <c r="B3489">
        <v>1995</v>
      </c>
      <c r="C3489" s="8">
        <v>0</v>
      </c>
      <c r="D3489">
        <v>-2.06965E-2</v>
      </c>
      <c r="E3489">
        <v>0.42752309999999999</v>
      </c>
      <c r="F3489">
        <v>4.2485299999999997E-2</v>
      </c>
      <c r="G3489">
        <v>1.5242469999999999</v>
      </c>
      <c r="H3489">
        <v>0.18859680000000001</v>
      </c>
      <c r="Q3489" s="10">
        <f t="shared" si="128"/>
        <v>2.9421253259589268E-3</v>
      </c>
      <c r="AI3489">
        <v>-3.6203399999999997E-2</v>
      </c>
      <c r="AJ3489">
        <f t="shared" si="127"/>
        <v>-3.6203399999999997E-2</v>
      </c>
      <c r="AO3489">
        <v>-3.6203399999999997E-2</v>
      </c>
      <c r="AR3489" s="8">
        <v>0</v>
      </c>
      <c r="AS3489">
        <v>1.6995690000000001</v>
      </c>
    </row>
    <row r="3490" spans="1:45" x14ac:dyDescent="0.25">
      <c r="A3490">
        <v>602</v>
      </c>
      <c r="B3490">
        <v>1996</v>
      </c>
      <c r="C3490" s="8">
        <v>0</v>
      </c>
      <c r="D3490">
        <v>-3.8346000000000001E-3</v>
      </c>
      <c r="E3490">
        <v>0.43083070000000001</v>
      </c>
      <c r="F3490">
        <v>4.59935E-2</v>
      </c>
      <c r="G3490">
        <v>2.0636540000000001</v>
      </c>
      <c r="H3490">
        <v>0.27987990000000001</v>
      </c>
      <c r="Q3490" s="10">
        <f t="shared" si="128"/>
        <v>1.2864434865439308E-3</v>
      </c>
      <c r="AI3490">
        <v>-0.1436624</v>
      </c>
      <c r="AJ3490">
        <f t="shared" si="127"/>
        <v>-0.113345184</v>
      </c>
      <c r="AO3490">
        <v>-0.113345184</v>
      </c>
      <c r="AR3490" s="8">
        <v>0</v>
      </c>
      <c r="AS3490">
        <v>1.7162500000000001</v>
      </c>
    </row>
    <row r="3491" spans="1:45" x14ac:dyDescent="0.25">
      <c r="A3491">
        <v>602</v>
      </c>
      <c r="B3491">
        <v>1997</v>
      </c>
      <c r="C3491" s="8">
        <v>0</v>
      </c>
      <c r="D3491">
        <v>-3.6203399999999997E-2</v>
      </c>
      <c r="E3491">
        <v>0.39030670000000001</v>
      </c>
      <c r="F3491">
        <v>4.1092299999999998E-2</v>
      </c>
      <c r="G3491">
        <v>1.424831</v>
      </c>
      <c r="H3491">
        <v>0.3233065</v>
      </c>
      <c r="Q3491" s="10">
        <f t="shared" si="128"/>
        <v>3.9703004616462789E-3</v>
      </c>
      <c r="AI3491">
        <v>0.146843</v>
      </c>
      <c r="AJ3491">
        <f t="shared" si="127"/>
        <v>0.146843</v>
      </c>
      <c r="AO3491">
        <v>0.146843</v>
      </c>
      <c r="AR3491" s="8">
        <v>0</v>
      </c>
      <c r="AS3491">
        <v>1.5242469999999999</v>
      </c>
    </row>
    <row r="3492" spans="1:45" x14ac:dyDescent="0.25">
      <c r="A3492">
        <v>602</v>
      </c>
      <c r="B3492">
        <v>1998</v>
      </c>
      <c r="C3492" s="8">
        <v>0</v>
      </c>
      <c r="D3492">
        <v>-0.1436624</v>
      </c>
      <c r="E3492">
        <v>0.29986180000000001</v>
      </c>
      <c r="F3492">
        <v>3.9427799999999999E-2</v>
      </c>
      <c r="G3492">
        <v>1.0159769999999999</v>
      </c>
      <c r="H3492">
        <v>0.19612669999999999</v>
      </c>
      <c r="Q3492" s="10">
        <f t="shared" si="128"/>
        <v>7.7528547390770157E-3</v>
      </c>
      <c r="AI3492">
        <v>0.14406769999999999</v>
      </c>
      <c r="AJ3492">
        <f t="shared" si="127"/>
        <v>0.14406769999999999</v>
      </c>
      <c r="AO3492">
        <v>0.14406769999999999</v>
      </c>
      <c r="AR3492" s="8">
        <v>0</v>
      </c>
      <c r="AS3492">
        <v>2.0636540000000001</v>
      </c>
    </row>
    <row r="3493" spans="1:45" x14ac:dyDescent="0.25">
      <c r="A3493">
        <v>603</v>
      </c>
      <c r="B3493">
        <v>1995</v>
      </c>
      <c r="C3493" s="8">
        <v>0</v>
      </c>
      <c r="D3493">
        <v>0.146843</v>
      </c>
      <c r="E3493">
        <v>0.32555899999999999</v>
      </c>
      <c r="F3493">
        <v>7.0921499999999998E-2</v>
      </c>
      <c r="G3493">
        <v>2.0230450000000002</v>
      </c>
      <c r="H3493">
        <v>0.34495910000000002</v>
      </c>
      <c r="Q3493" s="10">
        <f t="shared" si="128"/>
        <v>1.4518919897611466E-3</v>
      </c>
      <c r="AI3493">
        <v>0.22355649999999999</v>
      </c>
      <c r="AJ3493">
        <f t="shared" si="127"/>
        <v>0.22355649999999999</v>
      </c>
      <c r="AO3493">
        <v>0.22355649999999999</v>
      </c>
      <c r="AR3493" s="8">
        <v>0</v>
      </c>
      <c r="AS3493">
        <v>1.424831</v>
      </c>
    </row>
    <row r="3494" spans="1:45" x14ac:dyDescent="0.25">
      <c r="A3494">
        <v>603</v>
      </c>
      <c r="B3494">
        <v>1996</v>
      </c>
      <c r="C3494" s="8">
        <v>0</v>
      </c>
      <c r="D3494">
        <v>0.14406769999999999</v>
      </c>
      <c r="E3494">
        <v>0.33975640000000001</v>
      </c>
      <c r="F3494">
        <v>6.8923399999999996E-2</v>
      </c>
      <c r="G3494">
        <v>1.6345160000000001</v>
      </c>
      <c r="H3494">
        <v>0.32929710000000001</v>
      </c>
      <c r="Q3494" s="10">
        <f t="shared" si="128"/>
        <v>2.6519786189626053E-3</v>
      </c>
      <c r="AI3494">
        <v>0.1445922</v>
      </c>
      <c r="AJ3494">
        <f t="shared" si="127"/>
        <v>0.1445922</v>
      </c>
      <c r="AO3494">
        <v>0.1445922</v>
      </c>
      <c r="AR3494" s="8">
        <v>0</v>
      </c>
      <c r="AS3494">
        <v>1.0159769999999999</v>
      </c>
    </row>
    <row r="3495" spans="1:45" x14ac:dyDescent="0.25">
      <c r="A3495">
        <v>603</v>
      </c>
      <c r="B3495">
        <v>1997</v>
      </c>
      <c r="C3495" s="8">
        <v>0</v>
      </c>
      <c r="D3495">
        <v>0.22355649999999999</v>
      </c>
      <c r="E3495">
        <v>0.32432620000000001</v>
      </c>
      <c r="F3495">
        <v>7.3292499999999997E-2</v>
      </c>
      <c r="G3495">
        <v>2.5323579999999999</v>
      </c>
      <c r="H3495">
        <v>0.3715676</v>
      </c>
      <c r="Q3495" s="10">
        <f t="shared" si="128"/>
        <v>6.657257279937569E-4</v>
      </c>
      <c r="AI3495">
        <v>0.1468942</v>
      </c>
      <c r="AJ3495">
        <f t="shared" si="127"/>
        <v>0.1468942</v>
      </c>
      <c r="AO3495">
        <v>0.1468942</v>
      </c>
      <c r="AR3495" s="8">
        <v>0</v>
      </c>
      <c r="AS3495">
        <v>2.0230450000000002</v>
      </c>
    </row>
    <row r="3496" spans="1:45" x14ac:dyDescent="0.25">
      <c r="A3496">
        <v>603</v>
      </c>
      <c r="B3496">
        <v>1998</v>
      </c>
      <c r="C3496" s="8">
        <v>0</v>
      </c>
      <c r="D3496">
        <v>0.1445922</v>
      </c>
      <c r="E3496">
        <v>0.20777080000000001</v>
      </c>
      <c r="F3496">
        <v>5.5022099999999997E-2</v>
      </c>
      <c r="G3496">
        <v>2.4311560000000001</v>
      </c>
      <c r="H3496">
        <v>0.34790500000000002</v>
      </c>
      <c r="Q3496" s="10">
        <f t="shared" si="128"/>
        <v>1.0225236507930748E-3</v>
      </c>
      <c r="AI3496">
        <v>0.16399929999999999</v>
      </c>
      <c r="AJ3496">
        <f t="shared" si="127"/>
        <v>0.16399929999999999</v>
      </c>
      <c r="AO3496">
        <v>0.16399929999999999</v>
      </c>
      <c r="AR3496" s="8">
        <v>0</v>
      </c>
      <c r="AS3496">
        <v>1.6345160000000001</v>
      </c>
    </row>
    <row r="3497" spans="1:45" x14ac:dyDescent="0.25">
      <c r="A3497">
        <v>603</v>
      </c>
      <c r="B3497">
        <v>1999</v>
      </c>
      <c r="C3497" s="8">
        <v>0</v>
      </c>
      <c r="D3497">
        <v>0.1468942</v>
      </c>
      <c r="E3497">
        <v>0.23044139999999999</v>
      </c>
      <c r="F3497">
        <v>7.3794899999999997E-2</v>
      </c>
      <c r="G3497">
        <v>1.6832240000000001</v>
      </c>
      <c r="H3497">
        <v>0.35377819999999999</v>
      </c>
      <c r="Q3497" s="10">
        <f t="shared" si="128"/>
        <v>2.811860835086845E-3</v>
      </c>
      <c r="AI3497">
        <v>0.1299198</v>
      </c>
      <c r="AJ3497">
        <f t="shared" si="127"/>
        <v>0.1299198</v>
      </c>
      <c r="AO3497">
        <v>0.1299198</v>
      </c>
      <c r="AR3497" s="8">
        <v>0</v>
      </c>
      <c r="AS3497">
        <v>2.5323579999999999</v>
      </c>
    </row>
    <row r="3498" spans="1:45" x14ac:dyDescent="0.25">
      <c r="A3498">
        <v>603</v>
      </c>
      <c r="B3498">
        <v>2000</v>
      </c>
      <c r="C3498" s="8">
        <v>0</v>
      </c>
      <c r="D3498">
        <v>0.16399929999999999</v>
      </c>
      <c r="E3498">
        <v>0.2668799</v>
      </c>
      <c r="F3498">
        <v>7.2931099999999999E-2</v>
      </c>
      <c r="G3498">
        <v>1.542842</v>
      </c>
      <c r="H3498">
        <v>0.3292119</v>
      </c>
      <c r="Q3498" s="10">
        <f t="shared" si="128"/>
        <v>3.3295275818595142E-3</v>
      </c>
      <c r="AI3498">
        <v>5.9275899999999999E-2</v>
      </c>
      <c r="AJ3498">
        <f t="shared" si="127"/>
        <v>5.9275899999999999E-2</v>
      </c>
      <c r="AO3498">
        <v>5.9275899999999999E-2</v>
      </c>
      <c r="AR3498" s="8">
        <v>0</v>
      </c>
      <c r="AS3498">
        <v>2.4311560000000001</v>
      </c>
    </row>
    <row r="3499" spans="1:45" x14ac:dyDescent="0.25">
      <c r="A3499">
        <v>603</v>
      </c>
      <c r="B3499">
        <v>2001</v>
      </c>
      <c r="C3499" s="8">
        <v>0</v>
      </c>
      <c r="D3499">
        <v>0.1299198</v>
      </c>
      <c r="E3499">
        <v>0.24304609999999999</v>
      </c>
      <c r="F3499">
        <v>5.67936E-2</v>
      </c>
      <c r="G3499">
        <v>1.6723460000000001</v>
      </c>
      <c r="H3499">
        <v>0.31190509999999999</v>
      </c>
      <c r="Q3499" s="10">
        <f t="shared" si="128"/>
        <v>3.1129251205614513E-3</v>
      </c>
      <c r="AI3499">
        <v>5.79958E-2</v>
      </c>
      <c r="AJ3499">
        <f t="shared" si="127"/>
        <v>5.79958E-2</v>
      </c>
      <c r="AO3499">
        <v>5.79958E-2</v>
      </c>
      <c r="AR3499" s="8">
        <v>0</v>
      </c>
      <c r="AS3499">
        <v>1.6832240000000001</v>
      </c>
    </row>
    <row r="3500" spans="1:45" x14ac:dyDescent="0.25">
      <c r="A3500">
        <v>603</v>
      </c>
      <c r="B3500">
        <v>2002</v>
      </c>
      <c r="C3500" s="8">
        <v>0</v>
      </c>
      <c r="D3500">
        <v>5.9275899999999999E-2</v>
      </c>
      <c r="E3500">
        <v>0.25898349999999998</v>
      </c>
      <c r="F3500">
        <v>4.5228299999999999E-2</v>
      </c>
      <c r="G3500">
        <v>1.467881</v>
      </c>
      <c r="H3500">
        <v>0.32032310000000003</v>
      </c>
      <c r="Q3500" s="10">
        <f t="shared" si="128"/>
        <v>4.5054143898054112E-3</v>
      </c>
      <c r="AI3500">
        <v>0.1152717</v>
      </c>
      <c r="AJ3500">
        <f t="shared" si="127"/>
        <v>0.1152717</v>
      </c>
      <c r="AO3500">
        <v>0.1152717</v>
      </c>
      <c r="AR3500" s="8">
        <v>0</v>
      </c>
      <c r="AS3500">
        <v>1.542842</v>
      </c>
    </row>
    <row r="3501" spans="1:45" x14ac:dyDescent="0.25">
      <c r="A3501">
        <v>603</v>
      </c>
      <c r="B3501">
        <v>2003</v>
      </c>
      <c r="C3501" s="8">
        <v>0</v>
      </c>
      <c r="D3501">
        <v>5.79958E-2</v>
      </c>
      <c r="E3501">
        <v>0.2850608</v>
      </c>
      <c r="F3501">
        <v>6.5995200000000004E-2</v>
      </c>
      <c r="G3501">
        <v>1.6114329999999999</v>
      </c>
      <c r="H3501">
        <v>0.31435809999999997</v>
      </c>
      <c r="Q3501" s="10">
        <f t="shared" si="128"/>
        <v>2.9149507398773568E-3</v>
      </c>
      <c r="AI3501">
        <v>0.1864188</v>
      </c>
      <c r="AJ3501">
        <f t="shared" si="127"/>
        <v>0.1864188</v>
      </c>
      <c r="AO3501">
        <v>0.1864188</v>
      </c>
      <c r="AR3501" s="8">
        <v>0</v>
      </c>
      <c r="AS3501">
        <v>1.6723460000000001</v>
      </c>
    </row>
    <row r="3502" spans="1:45" x14ac:dyDescent="0.25">
      <c r="A3502">
        <v>603</v>
      </c>
      <c r="B3502">
        <v>2004</v>
      </c>
      <c r="C3502" s="8">
        <v>0</v>
      </c>
      <c r="D3502">
        <v>0.1152717</v>
      </c>
      <c r="E3502">
        <v>0.27251409999999998</v>
      </c>
      <c r="F3502">
        <v>4.7673399999999998E-2</v>
      </c>
      <c r="G3502">
        <v>1.57165</v>
      </c>
      <c r="H3502">
        <v>0.318602</v>
      </c>
      <c r="Q3502" s="10">
        <f t="shared" si="128"/>
        <v>3.756814364665342E-3</v>
      </c>
      <c r="AI3502">
        <v>0.17597560000000001</v>
      </c>
      <c r="AJ3502">
        <f t="shared" si="127"/>
        <v>0.17597560000000001</v>
      </c>
      <c r="AO3502">
        <v>0.17597560000000001</v>
      </c>
      <c r="AR3502" s="8">
        <v>0</v>
      </c>
      <c r="AS3502">
        <v>1.467881</v>
      </c>
    </row>
    <row r="3503" spans="1:45" x14ac:dyDescent="0.25">
      <c r="A3503">
        <v>604</v>
      </c>
      <c r="B3503">
        <v>1995</v>
      </c>
      <c r="C3503" s="8">
        <v>0</v>
      </c>
      <c r="D3503">
        <v>0.1864188</v>
      </c>
      <c r="E3503">
        <v>0.10226780000000001</v>
      </c>
      <c r="F3503">
        <v>4.6249499999999999E-2</v>
      </c>
      <c r="G3503">
        <v>0.65733039999999998</v>
      </c>
      <c r="H3503">
        <v>0.2423796</v>
      </c>
      <c r="Q3503" s="10">
        <f t="shared" si="128"/>
        <v>2.0189672785282265E-2</v>
      </c>
      <c r="AI3503">
        <v>0.21735370000000001</v>
      </c>
      <c r="AJ3503">
        <f t="shared" si="127"/>
        <v>0.21735370000000001</v>
      </c>
      <c r="AO3503">
        <v>0.21735370000000001</v>
      </c>
      <c r="AR3503" s="8">
        <v>0</v>
      </c>
      <c r="AS3503">
        <v>1.6114329999999999</v>
      </c>
    </row>
    <row r="3504" spans="1:45" x14ac:dyDescent="0.25">
      <c r="A3504">
        <v>604</v>
      </c>
      <c r="B3504">
        <v>1996</v>
      </c>
      <c r="C3504" s="8">
        <v>0</v>
      </c>
      <c r="D3504">
        <v>0.17597560000000001</v>
      </c>
      <c r="E3504">
        <v>0.1475757</v>
      </c>
      <c r="F3504">
        <v>4.79119E-2</v>
      </c>
      <c r="G3504">
        <v>0.80330829999999998</v>
      </c>
      <c r="H3504">
        <v>0.2343625</v>
      </c>
      <c r="Q3504" s="10">
        <f t="shared" si="128"/>
        <v>1.4726226252431709E-2</v>
      </c>
      <c r="AI3504">
        <v>0.20773469999999999</v>
      </c>
      <c r="AJ3504">
        <f t="shared" si="127"/>
        <v>0.20773469999999999</v>
      </c>
      <c r="AO3504">
        <v>0.20773469999999999</v>
      </c>
      <c r="AR3504" s="8">
        <v>0</v>
      </c>
      <c r="AS3504">
        <v>1.57165</v>
      </c>
    </row>
    <row r="3505" spans="1:45" x14ac:dyDescent="0.25">
      <c r="A3505">
        <v>604</v>
      </c>
      <c r="B3505">
        <v>1997</v>
      </c>
      <c r="C3505" s="8">
        <v>0</v>
      </c>
      <c r="D3505">
        <v>0.21735370000000001</v>
      </c>
      <c r="E3505">
        <v>0.16532250000000001</v>
      </c>
      <c r="F3505">
        <v>3.6569600000000001E-2</v>
      </c>
      <c r="G3505">
        <v>1.0328120000000001</v>
      </c>
      <c r="H3505">
        <v>0.27561000000000002</v>
      </c>
      <c r="Q3505" s="10">
        <f t="shared" si="128"/>
        <v>1.1414473348682329E-2</v>
      </c>
      <c r="AI3505">
        <v>0.1442262</v>
      </c>
      <c r="AJ3505">
        <f t="shared" si="127"/>
        <v>0.1442262</v>
      </c>
      <c r="AO3505">
        <v>0.1442262</v>
      </c>
      <c r="AR3505" s="8">
        <v>0</v>
      </c>
      <c r="AS3505">
        <v>0.65733039999999998</v>
      </c>
    </row>
    <row r="3506" spans="1:45" x14ac:dyDescent="0.25">
      <c r="A3506">
        <v>604</v>
      </c>
      <c r="B3506">
        <v>1998</v>
      </c>
      <c r="C3506" s="8">
        <v>0</v>
      </c>
      <c r="D3506">
        <v>0.20773469999999999</v>
      </c>
      <c r="E3506">
        <v>0.16804140000000001</v>
      </c>
      <c r="F3506">
        <v>2.0016800000000001E-2</v>
      </c>
      <c r="G3506">
        <v>1.026265</v>
      </c>
      <c r="H3506">
        <v>0.22985749999999999</v>
      </c>
      <c r="Q3506" s="10">
        <f t="shared" si="128"/>
        <v>1.2681529435058354E-2</v>
      </c>
      <c r="AI3506">
        <v>0.1381445</v>
      </c>
      <c r="AJ3506">
        <f t="shared" si="127"/>
        <v>0.1381445</v>
      </c>
      <c r="AO3506">
        <v>0.1381445</v>
      </c>
      <c r="AR3506" s="8">
        <v>0</v>
      </c>
      <c r="AS3506">
        <v>0.80330829999999998</v>
      </c>
    </row>
    <row r="3507" spans="1:45" x14ac:dyDescent="0.25">
      <c r="A3507">
        <v>604</v>
      </c>
      <c r="B3507">
        <v>2000</v>
      </c>
      <c r="C3507" s="8">
        <v>0</v>
      </c>
      <c r="D3507">
        <v>0.1442262</v>
      </c>
      <c r="E3507">
        <v>0.14507890000000001</v>
      </c>
      <c r="F3507">
        <v>2.6510599999999999E-2</v>
      </c>
      <c r="G3507">
        <v>1.518861</v>
      </c>
      <c r="H3507">
        <v>0.22311329999999999</v>
      </c>
      <c r="Q3507" s="10">
        <f t="shared" si="128"/>
        <v>5.5472093905771947E-3</v>
      </c>
      <c r="AI3507">
        <v>0.1191363</v>
      </c>
      <c r="AJ3507">
        <f t="shared" si="127"/>
        <v>0.1191363</v>
      </c>
      <c r="AO3507">
        <v>0.1191363</v>
      </c>
      <c r="AR3507" s="8">
        <v>0</v>
      </c>
      <c r="AS3507">
        <v>1.0328120000000001</v>
      </c>
    </row>
    <row r="3508" spans="1:45" x14ac:dyDescent="0.25">
      <c r="A3508">
        <v>604</v>
      </c>
      <c r="B3508">
        <v>2001</v>
      </c>
      <c r="C3508" s="8">
        <v>0</v>
      </c>
      <c r="D3508">
        <v>0.1381445</v>
      </c>
      <c r="E3508">
        <v>0.1472435</v>
      </c>
      <c r="F3508">
        <v>3.2829299999999999E-2</v>
      </c>
      <c r="G3508">
        <v>1.10005</v>
      </c>
      <c r="H3508">
        <v>0.24610570000000001</v>
      </c>
      <c r="Q3508" s="10">
        <f t="shared" si="128"/>
        <v>1.0318495269317537E-2</v>
      </c>
      <c r="AI3508">
        <v>6.92831E-2</v>
      </c>
      <c r="AJ3508">
        <f t="shared" si="127"/>
        <v>6.92831E-2</v>
      </c>
      <c r="AO3508">
        <v>6.92831E-2</v>
      </c>
      <c r="AR3508" s="8">
        <v>0</v>
      </c>
      <c r="AS3508">
        <v>1.026265</v>
      </c>
    </row>
    <row r="3509" spans="1:45" x14ac:dyDescent="0.25">
      <c r="A3509">
        <v>604</v>
      </c>
      <c r="B3509">
        <v>2002</v>
      </c>
      <c r="C3509" s="8">
        <v>0</v>
      </c>
      <c r="D3509">
        <v>0.1191363</v>
      </c>
      <c r="E3509">
        <v>0.1454502</v>
      </c>
      <c r="F3509">
        <v>3.3014700000000001E-2</v>
      </c>
      <c r="G3509">
        <v>0.67252049999999997</v>
      </c>
      <c r="H3509">
        <v>0.2378255</v>
      </c>
      <c r="Q3509" s="10">
        <f t="shared" si="128"/>
        <v>1.995692097794026E-2</v>
      </c>
      <c r="AI3509">
        <v>0.11392620000000001</v>
      </c>
      <c r="AJ3509">
        <f t="shared" si="127"/>
        <v>0.11392620000000001</v>
      </c>
      <c r="AO3509">
        <v>0.11392620000000001</v>
      </c>
      <c r="AR3509" s="8">
        <v>0</v>
      </c>
      <c r="AS3509">
        <v>1.518861</v>
      </c>
    </row>
    <row r="3510" spans="1:45" x14ac:dyDescent="0.25">
      <c r="A3510">
        <v>604</v>
      </c>
      <c r="B3510">
        <v>2003</v>
      </c>
      <c r="C3510" s="8">
        <v>0</v>
      </c>
      <c r="D3510">
        <v>6.92831E-2</v>
      </c>
      <c r="E3510">
        <v>0.12669749999999999</v>
      </c>
      <c r="F3510">
        <v>1.7898799999999999E-2</v>
      </c>
      <c r="G3510">
        <v>0.63692720000000003</v>
      </c>
      <c r="H3510">
        <v>0.24263760000000001</v>
      </c>
      <c r="Q3510" s="10">
        <f t="shared" si="128"/>
        <v>2.3967522666016157E-2</v>
      </c>
      <c r="AI3510">
        <v>0.11444509999999999</v>
      </c>
      <c r="AJ3510">
        <f t="shared" si="127"/>
        <v>0.11444509999999999</v>
      </c>
      <c r="AO3510">
        <v>0.11444509999999999</v>
      </c>
      <c r="AR3510" s="8">
        <v>0</v>
      </c>
      <c r="AS3510">
        <v>1.10005</v>
      </c>
    </row>
    <row r="3511" spans="1:45" x14ac:dyDescent="0.25">
      <c r="A3511">
        <v>604</v>
      </c>
      <c r="B3511">
        <v>2004</v>
      </c>
      <c r="C3511" s="8">
        <v>0</v>
      </c>
      <c r="D3511">
        <v>0.11392620000000001</v>
      </c>
      <c r="E3511">
        <v>0.14548910000000001</v>
      </c>
      <c r="F3511">
        <v>2.65507E-2</v>
      </c>
      <c r="G3511">
        <v>0.624552</v>
      </c>
      <c r="H3511">
        <v>0.19178039999999999</v>
      </c>
      <c r="Q3511" s="10">
        <f t="shared" si="128"/>
        <v>2.1953664238396203E-2</v>
      </c>
      <c r="AI3511">
        <v>0.14706279999999999</v>
      </c>
      <c r="AJ3511">
        <f t="shared" si="127"/>
        <v>0.14706279999999999</v>
      </c>
      <c r="AO3511">
        <v>0.14706279999999999</v>
      </c>
      <c r="AR3511" s="8">
        <v>0</v>
      </c>
      <c r="AS3511">
        <v>0.67252049999999997</v>
      </c>
    </row>
    <row r="3512" spans="1:45" x14ac:dyDescent="0.25">
      <c r="A3512">
        <v>605</v>
      </c>
      <c r="B3512">
        <v>1995</v>
      </c>
      <c r="C3512" s="8">
        <v>0</v>
      </c>
      <c r="D3512">
        <v>0.11444509999999999</v>
      </c>
      <c r="E3512">
        <v>0.1202177</v>
      </c>
      <c r="F3512">
        <v>7.81274E-2</v>
      </c>
      <c r="G3512">
        <v>0.68567409999999995</v>
      </c>
      <c r="H3512">
        <v>0.2056374</v>
      </c>
      <c r="Q3512" s="10">
        <f t="shared" si="128"/>
        <v>1.3911308036931132E-2</v>
      </c>
      <c r="AI3512">
        <v>0.19128200000000001</v>
      </c>
      <c r="AJ3512">
        <f t="shared" si="127"/>
        <v>0.19128200000000001</v>
      </c>
      <c r="AO3512">
        <v>0.19128200000000001</v>
      </c>
      <c r="AR3512" s="8">
        <v>0</v>
      </c>
      <c r="AS3512">
        <v>0.63692720000000003</v>
      </c>
    </row>
    <row r="3513" spans="1:45" x14ac:dyDescent="0.25">
      <c r="A3513">
        <v>605</v>
      </c>
      <c r="B3513">
        <v>1996</v>
      </c>
      <c r="C3513" s="8">
        <v>0</v>
      </c>
      <c r="D3513">
        <v>0.14706279999999999</v>
      </c>
      <c r="E3513">
        <v>0.17449600000000001</v>
      </c>
      <c r="F3513">
        <v>8.8418099999999999E-2</v>
      </c>
      <c r="G3513">
        <v>1.408118</v>
      </c>
      <c r="H3513">
        <v>0.21652370000000001</v>
      </c>
      <c r="Q3513" s="10">
        <f t="shared" si="128"/>
        <v>3.8596897299023065E-3</v>
      </c>
      <c r="AI3513">
        <v>0.22009500000000001</v>
      </c>
      <c r="AJ3513">
        <f t="shared" si="127"/>
        <v>0.22009500000000001</v>
      </c>
      <c r="AO3513">
        <v>0.22009500000000001</v>
      </c>
      <c r="AR3513" s="8">
        <v>0</v>
      </c>
      <c r="AS3513">
        <v>0.624552</v>
      </c>
    </row>
    <row r="3514" spans="1:45" x14ac:dyDescent="0.25">
      <c r="A3514">
        <v>605</v>
      </c>
      <c r="B3514">
        <v>1997</v>
      </c>
      <c r="C3514" s="8">
        <v>0</v>
      </c>
      <c r="D3514">
        <v>0.19128200000000001</v>
      </c>
      <c r="E3514">
        <v>0.22805329999999999</v>
      </c>
      <c r="F3514">
        <v>8.1871200000000005E-2</v>
      </c>
      <c r="G3514">
        <v>2.8817620000000002</v>
      </c>
      <c r="H3514">
        <v>0.33108900000000002</v>
      </c>
      <c r="Q3514" s="10">
        <f t="shared" si="128"/>
        <v>3.9435146499783644E-4</v>
      </c>
      <c r="AI3514">
        <v>0.1374997</v>
      </c>
      <c r="AJ3514">
        <f t="shared" si="127"/>
        <v>0.1374997</v>
      </c>
      <c r="AO3514">
        <v>0.1374997</v>
      </c>
      <c r="AR3514" s="8">
        <v>0</v>
      </c>
      <c r="AS3514">
        <v>0.68567409999999995</v>
      </c>
    </row>
    <row r="3515" spans="1:45" x14ac:dyDescent="0.25">
      <c r="A3515">
        <v>605</v>
      </c>
      <c r="B3515">
        <v>1998</v>
      </c>
      <c r="C3515" s="8">
        <v>0</v>
      </c>
      <c r="D3515">
        <v>0.22009500000000001</v>
      </c>
      <c r="E3515">
        <v>0.34464879999999998</v>
      </c>
      <c r="F3515">
        <v>9.7459599999999993E-2</v>
      </c>
      <c r="G3515">
        <v>3.8621159999999999</v>
      </c>
      <c r="H3515">
        <v>0.25114209999999998</v>
      </c>
      <c r="Q3515" s="10">
        <f t="shared" si="128"/>
        <v>5.9350559861760318E-5</v>
      </c>
      <c r="AI3515">
        <v>6.6646499999999997E-2</v>
      </c>
      <c r="AJ3515">
        <f t="shared" si="127"/>
        <v>6.6646499999999997E-2</v>
      </c>
      <c r="AO3515">
        <v>6.6646499999999997E-2</v>
      </c>
      <c r="AR3515" s="8">
        <v>0</v>
      </c>
      <c r="AS3515">
        <v>1.408118</v>
      </c>
    </row>
    <row r="3516" spans="1:45" x14ac:dyDescent="0.25">
      <c r="A3516">
        <v>605</v>
      </c>
      <c r="B3516">
        <v>1999</v>
      </c>
      <c r="C3516" s="8">
        <v>0</v>
      </c>
      <c r="D3516">
        <v>0.1374997</v>
      </c>
      <c r="E3516">
        <v>0.44835199999999997</v>
      </c>
      <c r="F3516">
        <v>8.7221400000000004E-2</v>
      </c>
      <c r="G3516">
        <v>3.138242</v>
      </c>
      <c r="H3516">
        <v>0.26148349999999998</v>
      </c>
      <c r="Q3516" s="10">
        <f t="shared" si="128"/>
        <v>1.7075037726443668E-4</v>
      </c>
      <c r="AI3516">
        <v>-0.33408189999999999</v>
      </c>
      <c r="AJ3516">
        <f t="shared" si="127"/>
        <v>-0.113345184</v>
      </c>
      <c r="AO3516">
        <v>-0.113345184</v>
      </c>
      <c r="AR3516" s="8">
        <v>0</v>
      </c>
      <c r="AS3516">
        <v>2.8817620000000002</v>
      </c>
    </row>
    <row r="3517" spans="1:45" x14ac:dyDescent="0.25">
      <c r="A3517">
        <v>606</v>
      </c>
      <c r="B3517">
        <v>1998</v>
      </c>
      <c r="C3517" s="8">
        <v>0</v>
      </c>
      <c r="D3517">
        <v>6.6646499999999997E-2</v>
      </c>
      <c r="E3517">
        <v>4.3162600000000002E-2</v>
      </c>
      <c r="F3517">
        <v>6.04296E-2</v>
      </c>
      <c r="G3517">
        <v>0.79527619999999999</v>
      </c>
      <c r="H3517">
        <v>0.41068700000000002</v>
      </c>
      <c r="Q3517" s="10">
        <f t="shared" si="128"/>
        <v>1.6711030417117575E-2</v>
      </c>
      <c r="AI3517">
        <v>-3.8449999999999998E-2</v>
      </c>
      <c r="AJ3517">
        <f t="shared" si="127"/>
        <v>-3.8449999999999998E-2</v>
      </c>
      <c r="AO3517">
        <v>-3.8449999999999998E-2</v>
      </c>
      <c r="AR3517" s="8">
        <v>0</v>
      </c>
      <c r="AS3517">
        <v>3.8621159999999999</v>
      </c>
    </row>
    <row r="3518" spans="1:45" x14ac:dyDescent="0.25">
      <c r="A3518">
        <v>606</v>
      </c>
      <c r="B3518">
        <v>1999</v>
      </c>
      <c r="C3518" s="8">
        <v>0</v>
      </c>
      <c r="D3518">
        <v>-0.33408189999999999</v>
      </c>
      <c r="E3518">
        <v>3.1808299999999998E-2</v>
      </c>
      <c r="F3518">
        <v>5.6999099999999997E-2</v>
      </c>
      <c r="G3518">
        <v>0.34456290000000001</v>
      </c>
      <c r="H3518">
        <v>0.15707399999999999</v>
      </c>
      <c r="Q3518" s="10">
        <f t="shared" si="128"/>
        <v>2.5684224128091324E-2</v>
      </c>
      <c r="AI3518">
        <v>-3.3004199999999997E-2</v>
      </c>
      <c r="AJ3518">
        <f t="shared" si="127"/>
        <v>-3.3004199999999997E-2</v>
      </c>
      <c r="AO3518">
        <v>-3.3004199999999997E-2</v>
      </c>
      <c r="AR3518" s="8">
        <v>0</v>
      </c>
      <c r="AS3518">
        <v>3.138242</v>
      </c>
    </row>
    <row r="3519" spans="1:45" x14ac:dyDescent="0.25">
      <c r="A3519">
        <v>606</v>
      </c>
      <c r="B3519">
        <v>2000</v>
      </c>
      <c r="C3519" s="8">
        <v>0</v>
      </c>
      <c r="D3519">
        <v>-3.8449999999999998E-2</v>
      </c>
      <c r="E3519">
        <v>2.3484600000000001E-2</v>
      </c>
      <c r="F3519">
        <v>5.8215000000000003E-2</v>
      </c>
      <c r="G3519">
        <v>0.42702119999999999</v>
      </c>
      <c r="H3519">
        <v>0.20552819999999999</v>
      </c>
      <c r="Q3519" s="10">
        <f t="shared" si="128"/>
        <v>2.6279104116478703E-2</v>
      </c>
      <c r="AI3519">
        <v>-1.6816999999999999E-2</v>
      </c>
      <c r="AJ3519">
        <f t="shared" si="127"/>
        <v>-1.6816999999999999E-2</v>
      </c>
      <c r="AO3519">
        <v>-1.6816999999999999E-2</v>
      </c>
      <c r="AR3519" s="8">
        <v>0</v>
      </c>
      <c r="AS3519">
        <v>0.79527619999999999</v>
      </c>
    </row>
    <row r="3520" spans="1:45" x14ac:dyDescent="0.25">
      <c r="A3520">
        <v>606</v>
      </c>
      <c r="B3520">
        <v>2001</v>
      </c>
      <c r="C3520" s="8">
        <v>0</v>
      </c>
      <c r="D3520">
        <v>-3.3004199999999997E-2</v>
      </c>
      <c r="E3520">
        <v>9.1795000000000002E-3</v>
      </c>
      <c r="F3520">
        <v>2.5929799999999999E-2</v>
      </c>
      <c r="G3520">
        <v>0.29479309999999997</v>
      </c>
      <c r="H3520">
        <v>0.18395439999999999</v>
      </c>
      <c r="Q3520" s="10">
        <f t="shared" si="128"/>
        <v>4.1738587682863947E-2</v>
      </c>
      <c r="AI3520">
        <v>8.2727700000000001E-2</v>
      </c>
      <c r="AJ3520">
        <f t="shared" si="127"/>
        <v>8.2727700000000001E-2</v>
      </c>
      <c r="AO3520">
        <v>8.2727700000000001E-2</v>
      </c>
      <c r="AR3520" s="8">
        <v>0</v>
      </c>
      <c r="AS3520">
        <v>0.34456290000000001</v>
      </c>
    </row>
    <row r="3521" spans="1:45" x14ac:dyDescent="0.25">
      <c r="A3521">
        <v>606</v>
      </c>
      <c r="B3521">
        <v>2002</v>
      </c>
      <c r="C3521" s="8">
        <v>0</v>
      </c>
      <c r="D3521">
        <v>-1.6816999999999999E-2</v>
      </c>
      <c r="E3521">
        <v>-4.5910999999999999E-3</v>
      </c>
      <c r="F3521">
        <v>4.61885E-2</v>
      </c>
      <c r="G3521">
        <v>0.18037149999999999</v>
      </c>
      <c r="H3521">
        <v>0.19894719999999999</v>
      </c>
      <c r="Q3521" s="10">
        <f t="shared" si="128"/>
        <v>4.4049946456563918E-2</v>
      </c>
      <c r="AI3521">
        <v>9.3719700000000003E-2</v>
      </c>
      <c r="AJ3521">
        <f t="shared" si="127"/>
        <v>9.3719700000000003E-2</v>
      </c>
      <c r="AO3521">
        <v>9.3719700000000003E-2</v>
      </c>
      <c r="AR3521" s="8">
        <v>0</v>
      </c>
      <c r="AS3521">
        <v>0.42702119999999999</v>
      </c>
    </row>
    <row r="3522" spans="1:45" x14ac:dyDescent="0.25">
      <c r="A3522">
        <v>606</v>
      </c>
      <c r="B3522">
        <v>2003</v>
      </c>
      <c r="C3522" s="8">
        <v>0</v>
      </c>
      <c r="D3522">
        <v>8.2727700000000001E-2</v>
      </c>
      <c r="E3522">
        <v>-4.1012699999999999E-2</v>
      </c>
      <c r="F3522">
        <v>4.75837E-2</v>
      </c>
      <c r="G3522">
        <v>0.21556030000000001</v>
      </c>
      <c r="H3522">
        <v>0.17210619999999999</v>
      </c>
      <c r="Q3522" s="10">
        <f t="shared" si="128"/>
        <v>4.4487316351140865E-2</v>
      </c>
      <c r="AI3522">
        <v>-8.6381799999999995E-2</v>
      </c>
      <c r="AJ3522">
        <f t="shared" si="127"/>
        <v>-8.6381799999999995E-2</v>
      </c>
      <c r="AO3522">
        <v>-8.6381799999999995E-2</v>
      </c>
      <c r="AR3522" s="8">
        <v>0</v>
      </c>
      <c r="AS3522">
        <v>0.29479309999999997</v>
      </c>
    </row>
    <row r="3523" spans="1:45" x14ac:dyDescent="0.25">
      <c r="A3523">
        <v>606</v>
      </c>
      <c r="B3523">
        <v>2004</v>
      </c>
      <c r="C3523" s="8">
        <v>0</v>
      </c>
      <c r="D3523">
        <v>9.3719700000000003E-2</v>
      </c>
      <c r="E3523">
        <v>-5.7528900000000001E-2</v>
      </c>
      <c r="F3523">
        <v>5.8604299999999998E-2</v>
      </c>
      <c r="G3523">
        <v>0.2426189</v>
      </c>
      <c r="H3523">
        <v>0.204126</v>
      </c>
      <c r="Q3523" s="10">
        <f t="shared" si="128"/>
        <v>4.1095000829162183E-2</v>
      </c>
      <c r="AI3523">
        <v>-0.1245246</v>
      </c>
      <c r="AJ3523">
        <f t="shared" si="127"/>
        <v>-0.113345184</v>
      </c>
      <c r="AO3523">
        <v>-0.113345184</v>
      </c>
      <c r="AR3523" s="8">
        <v>0</v>
      </c>
      <c r="AS3523">
        <v>0.18037149999999999</v>
      </c>
    </row>
    <row r="3524" spans="1:45" x14ac:dyDescent="0.25">
      <c r="A3524">
        <v>607</v>
      </c>
      <c r="B3524">
        <v>1999</v>
      </c>
      <c r="C3524" s="8">
        <v>0</v>
      </c>
      <c r="D3524">
        <v>-8.6381799999999995E-2</v>
      </c>
      <c r="E3524">
        <v>0.1251813</v>
      </c>
      <c r="F3524">
        <v>3.3266400000000002E-2</v>
      </c>
      <c r="G3524">
        <v>0.33156429999999998</v>
      </c>
      <c r="H3524">
        <v>8.3767499999999995E-2</v>
      </c>
      <c r="Q3524" s="10">
        <f t="shared" si="128"/>
        <v>2.9202740392153516E-2</v>
      </c>
      <c r="AI3524">
        <v>-3.64909E-2</v>
      </c>
      <c r="AJ3524">
        <f t="shared" si="127"/>
        <v>-3.64909E-2</v>
      </c>
      <c r="AO3524">
        <v>-3.64909E-2</v>
      </c>
      <c r="AR3524" s="8">
        <v>0</v>
      </c>
      <c r="AS3524">
        <v>0.21556030000000001</v>
      </c>
    </row>
    <row r="3525" spans="1:45" x14ac:dyDescent="0.25">
      <c r="A3525">
        <v>607</v>
      </c>
      <c r="B3525">
        <v>2000</v>
      </c>
      <c r="C3525" s="8">
        <v>0</v>
      </c>
      <c r="D3525">
        <v>-0.1245246</v>
      </c>
      <c r="E3525">
        <v>4.43191E-2</v>
      </c>
      <c r="F3525">
        <v>-7.6562900000000003E-2</v>
      </c>
      <c r="G3525">
        <v>0.18025379999999999</v>
      </c>
      <c r="H3525">
        <v>6.3264100000000004E-2</v>
      </c>
      <c r="Q3525" s="10">
        <f t="shared" si="128"/>
        <v>9.152679009213574E-2</v>
      </c>
      <c r="AI3525">
        <v>-9.7030999999999992E-3</v>
      </c>
      <c r="AJ3525">
        <f t="shared" ref="AJ3525:AJ3588" si="129">MAX(MIN(AI3525,AM$5),AM$4)</f>
        <v>-9.7030999999999992E-3</v>
      </c>
      <c r="AO3525">
        <v>-9.7030999999999992E-3</v>
      </c>
      <c r="AR3525" s="8">
        <v>0</v>
      </c>
      <c r="AS3525">
        <v>0.2426189</v>
      </c>
    </row>
    <row r="3526" spans="1:45" x14ac:dyDescent="0.25">
      <c r="A3526">
        <v>607</v>
      </c>
      <c r="B3526">
        <v>2001</v>
      </c>
      <c r="C3526" s="8">
        <v>0</v>
      </c>
      <c r="D3526">
        <v>-3.64909E-2</v>
      </c>
      <c r="E3526">
        <v>6.8083599999999994E-2</v>
      </c>
      <c r="F3526">
        <v>0.1348587</v>
      </c>
      <c r="G3526">
        <v>0.18493770000000001</v>
      </c>
      <c r="H3526">
        <v>9.2816200000000001E-2</v>
      </c>
      <c r="Q3526" s="10">
        <f t="shared" si="128"/>
        <v>1.845973341455311E-2</v>
      </c>
      <c r="AI3526">
        <v>-4.6522999999999998E-3</v>
      </c>
      <c r="AJ3526">
        <f t="shared" si="129"/>
        <v>-4.6522999999999998E-3</v>
      </c>
      <c r="AO3526">
        <v>-4.6522999999999998E-3</v>
      </c>
      <c r="AR3526" s="8">
        <v>0</v>
      </c>
      <c r="AS3526">
        <v>0.33156429999999998</v>
      </c>
    </row>
    <row r="3527" spans="1:45" x14ac:dyDescent="0.25">
      <c r="A3527">
        <v>607</v>
      </c>
      <c r="B3527">
        <v>2002</v>
      </c>
      <c r="C3527" s="8">
        <v>0</v>
      </c>
      <c r="D3527">
        <v>-9.7030999999999992E-3</v>
      </c>
      <c r="E3527">
        <v>9.9390300000000001E-2</v>
      </c>
      <c r="F3527">
        <v>3.4395500000000002E-2</v>
      </c>
      <c r="G3527">
        <v>0.16811770000000001</v>
      </c>
      <c r="H3527">
        <v>9.0604500000000004E-2</v>
      </c>
      <c r="Q3527" s="10">
        <f t="shared" ref="Q3527:Q3590" si="130">1/(1+EXP(-(J$6+SUMPRODUCT(K$6:O$6,D3527:H3527))))</f>
        <v>3.996727410448131E-2</v>
      </c>
      <c r="AI3527">
        <v>6.6321599999999994E-2</v>
      </c>
      <c r="AJ3527">
        <f t="shared" si="129"/>
        <v>6.6321599999999994E-2</v>
      </c>
      <c r="AO3527">
        <v>6.6321599999999994E-2</v>
      </c>
      <c r="AR3527" s="8">
        <v>0</v>
      </c>
      <c r="AS3527">
        <v>0.18025379999999999</v>
      </c>
    </row>
    <row r="3528" spans="1:45" x14ac:dyDescent="0.25">
      <c r="A3528">
        <v>607</v>
      </c>
      <c r="B3528">
        <v>2003</v>
      </c>
      <c r="C3528" s="8">
        <v>0</v>
      </c>
      <c r="D3528">
        <v>-4.6522999999999998E-3</v>
      </c>
      <c r="E3528">
        <v>0.13836670000000001</v>
      </c>
      <c r="F3528">
        <v>4.4607500000000001E-2</v>
      </c>
      <c r="G3528">
        <v>0.28290090000000001</v>
      </c>
      <c r="H3528">
        <v>8.3183999999999994E-2</v>
      </c>
      <c r="Q3528" s="10">
        <f t="shared" si="130"/>
        <v>2.9235824526810585E-2</v>
      </c>
      <c r="AI3528">
        <v>-2.2073700000000002E-2</v>
      </c>
      <c r="AJ3528">
        <f t="shared" si="129"/>
        <v>-2.2073700000000002E-2</v>
      </c>
      <c r="AO3528">
        <v>-2.2073700000000002E-2</v>
      </c>
      <c r="AR3528" s="8">
        <v>0</v>
      </c>
      <c r="AS3528">
        <v>0.18493770000000001</v>
      </c>
    </row>
    <row r="3529" spans="1:45" x14ac:dyDescent="0.25">
      <c r="A3529">
        <v>607</v>
      </c>
      <c r="B3529">
        <v>2004</v>
      </c>
      <c r="C3529" s="8">
        <v>0</v>
      </c>
      <c r="D3529">
        <v>6.6321599999999994E-2</v>
      </c>
      <c r="E3529">
        <v>0.1559372</v>
      </c>
      <c r="F3529">
        <v>3.44309E-2</v>
      </c>
      <c r="G3529">
        <v>0.42451</v>
      </c>
      <c r="H3529">
        <v>0.1031242</v>
      </c>
      <c r="Q3529" s="10">
        <f t="shared" si="130"/>
        <v>2.5812817138448331E-2</v>
      </c>
      <c r="AI3529">
        <v>-2.3962000000000001E-2</v>
      </c>
      <c r="AJ3529">
        <f t="shared" si="129"/>
        <v>-2.3962000000000001E-2</v>
      </c>
      <c r="AO3529">
        <v>-2.3962000000000001E-2</v>
      </c>
      <c r="AR3529" s="8">
        <v>0</v>
      </c>
      <c r="AS3529">
        <v>0.16811770000000001</v>
      </c>
    </row>
    <row r="3530" spans="1:45" x14ac:dyDescent="0.25">
      <c r="A3530">
        <v>608</v>
      </c>
      <c r="B3530">
        <v>1997</v>
      </c>
      <c r="C3530" s="8">
        <v>0</v>
      </c>
      <c r="D3530">
        <v>-2.2073700000000002E-2</v>
      </c>
      <c r="E3530">
        <v>0.13781479999999999</v>
      </c>
      <c r="F3530">
        <v>4.2392399999999997E-2</v>
      </c>
      <c r="G3530">
        <v>0.74458590000000002</v>
      </c>
      <c r="H3530">
        <v>0.1223863</v>
      </c>
      <c r="Q3530" s="10">
        <f t="shared" si="130"/>
        <v>1.4732881698973511E-2</v>
      </c>
      <c r="AI3530">
        <v>-6.5946400000000002E-2</v>
      </c>
      <c r="AJ3530">
        <f t="shared" si="129"/>
        <v>-6.5946400000000002E-2</v>
      </c>
      <c r="AO3530">
        <v>-6.5946400000000002E-2</v>
      </c>
      <c r="AR3530" s="8">
        <v>0</v>
      </c>
      <c r="AS3530">
        <v>0.28290090000000001</v>
      </c>
    </row>
    <row r="3531" spans="1:45" x14ac:dyDescent="0.25">
      <c r="A3531">
        <v>608</v>
      </c>
      <c r="B3531">
        <v>1998</v>
      </c>
      <c r="C3531" s="8">
        <v>0</v>
      </c>
      <c r="D3531">
        <v>-2.3962000000000001E-2</v>
      </c>
      <c r="E3531">
        <v>0.1369196</v>
      </c>
      <c r="F3531">
        <v>2.9426500000000001E-2</v>
      </c>
      <c r="G3531">
        <v>0.80728520000000004</v>
      </c>
      <c r="H3531">
        <v>9.5844899999999997E-2</v>
      </c>
      <c r="Q3531" s="10">
        <f t="shared" si="130"/>
        <v>1.4557817843496359E-2</v>
      </c>
      <c r="AI3531">
        <v>-3.4359E-3</v>
      </c>
      <c r="AJ3531">
        <f t="shared" si="129"/>
        <v>-3.4359E-3</v>
      </c>
      <c r="AO3531">
        <v>-3.4359E-3</v>
      </c>
      <c r="AR3531" s="8">
        <v>0</v>
      </c>
      <c r="AS3531">
        <v>0.42451</v>
      </c>
    </row>
    <row r="3532" spans="1:45" x14ac:dyDescent="0.25">
      <c r="A3532">
        <v>608</v>
      </c>
      <c r="B3532">
        <v>1999</v>
      </c>
      <c r="C3532" s="8">
        <v>0</v>
      </c>
      <c r="D3532">
        <v>-6.5946400000000002E-2</v>
      </c>
      <c r="E3532">
        <v>0.14164860000000001</v>
      </c>
      <c r="F3532">
        <v>4.0127099999999999E-2</v>
      </c>
      <c r="G3532">
        <v>0.5745711</v>
      </c>
      <c r="H3532">
        <v>9.8589399999999994E-2</v>
      </c>
      <c r="Q3532" s="10">
        <f t="shared" si="130"/>
        <v>1.8848777901051144E-2</v>
      </c>
      <c r="AI3532">
        <v>-2.10587E-2</v>
      </c>
      <c r="AJ3532">
        <f t="shared" si="129"/>
        <v>-2.10587E-2</v>
      </c>
      <c r="AO3532">
        <v>-2.10587E-2</v>
      </c>
      <c r="AR3532" s="8">
        <v>0</v>
      </c>
      <c r="AS3532">
        <v>0.74458590000000002</v>
      </c>
    </row>
    <row r="3533" spans="1:45" x14ac:dyDescent="0.25">
      <c r="A3533">
        <v>608</v>
      </c>
      <c r="B3533">
        <v>2000</v>
      </c>
      <c r="C3533" s="8">
        <v>0</v>
      </c>
      <c r="D3533">
        <v>-3.4359E-3</v>
      </c>
      <c r="E3533">
        <v>0.182035</v>
      </c>
      <c r="F3533">
        <v>3.3757099999999998E-2</v>
      </c>
      <c r="G3533">
        <v>1.0915349999999999</v>
      </c>
      <c r="H3533">
        <v>0.1080651</v>
      </c>
      <c r="Q3533" s="10">
        <f t="shared" si="130"/>
        <v>8.559632229794438E-3</v>
      </c>
      <c r="AI3533">
        <v>-2.5787899999999999E-2</v>
      </c>
      <c r="AJ3533">
        <f t="shared" si="129"/>
        <v>-2.5787899999999999E-2</v>
      </c>
      <c r="AO3533">
        <v>-2.5787899999999999E-2</v>
      </c>
      <c r="AR3533" s="8">
        <v>0</v>
      </c>
      <c r="AS3533">
        <v>0.80728520000000004</v>
      </c>
    </row>
    <row r="3534" spans="1:45" x14ac:dyDescent="0.25">
      <c r="A3534">
        <v>608</v>
      </c>
      <c r="B3534">
        <v>2001</v>
      </c>
      <c r="C3534" s="8">
        <v>0</v>
      </c>
      <c r="D3534">
        <v>-2.10587E-2</v>
      </c>
      <c r="E3534">
        <v>0.17532439999999999</v>
      </c>
      <c r="F3534">
        <v>3.2849900000000001E-2</v>
      </c>
      <c r="G3534">
        <v>0.84591179999999999</v>
      </c>
      <c r="H3534">
        <v>0.10699649999999999</v>
      </c>
      <c r="Q3534" s="10">
        <f t="shared" si="130"/>
        <v>1.2721875589470058E-2</v>
      </c>
      <c r="AI3534">
        <v>4.4263999999999996E-3</v>
      </c>
      <c r="AJ3534">
        <f t="shared" si="129"/>
        <v>4.4263999999999996E-3</v>
      </c>
      <c r="AO3534">
        <v>4.4263999999999996E-3</v>
      </c>
      <c r="AR3534" s="8">
        <v>0</v>
      </c>
      <c r="AS3534">
        <v>0.5745711</v>
      </c>
    </row>
    <row r="3535" spans="1:45" x14ac:dyDescent="0.25">
      <c r="A3535">
        <v>608</v>
      </c>
      <c r="B3535">
        <v>2002</v>
      </c>
      <c r="C3535" s="8">
        <v>0</v>
      </c>
      <c r="D3535">
        <v>-2.5787899999999999E-2</v>
      </c>
      <c r="E3535">
        <v>0.1871227</v>
      </c>
      <c r="F3535">
        <v>3.8020600000000002E-2</v>
      </c>
      <c r="G3535">
        <v>0.91142809999999996</v>
      </c>
      <c r="H3535">
        <v>0.1048945</v>
      </c>
      <c r="Q3535" s="10">
        <f t="shared" si="130"/>
        <v>1.0795055819432001E-2</v>
      </c>
      <c r="AI3535">
        <v>2.4864000000000001E-2</v>
      </c>
      <c r="AJ3535">
        <f t="shared" si="129"/>
        <v>2.4864000000000001E-2</v>
      </c>
      <c r="AO3535">
        <v>2.4864000000000001E-2</v>
      </c>
      <c r="AR3535" s="8">
        <v>0</v>
      </c>
      <c r="AS3535">
        <v>1.0915349999999999</v>
      </c>
    </row>
    <row r="3536" spans="1:45" x14ac:dyDescent="0.25">
      <c r="A3536">
        <v>608</v>
      </c>
      <c r="B3536">
        <v>2003</v>
      </c>
      <c r="C3536" s="8">
        <v>0</v>
      </c>
      <c r="D3536">
        <v>4.4263999999999996E-3</v>
      </c>
      <c r="E3536">
        <v>0.1864469</v>
      </c>
      <c r="F3536">
        <v>4.4072600000000003E-2</v>
      </c>
      <c r="G3536">
        <v>0.9122555</v>
      </c>
      <c r="H3536">
        <v>0.1110449</v>
      </c>
      <c r="Q3536" s="10">
        <f t="shared" si="130"/>
        <v>1.045435390244953E-2</v>
      </c>
      <c r="AI3536">
        <v>7.7140799999999995E-2</v>
      </c>
      <c r="AJ3536">
        <f t="shared" si="129"/>
        <v>7.7140799999999995E-2</v>
      </c>
      <c r="AO3536">
        <v>7.7140799999999995E-2</v>
      </c>
      <c r="AR3536" s="8">
        <v>0</v>
      </c>
      <c r="AS3536">
        <v>0.84591179999999999</v>
      </c>
    </row>
    <row r="3537" spans="1:45" x14ac:dyDescent="0.25">
      <c r="A3537">
        <v>608</v>
      </c>
      <c r="B3537">
        <v>2004</v>
      </c>
      <c r="C3537" s="8">
        <v>0</v>
      </c>
      <c r="D3537">
        <v>2.4864000000000001E-2</v>
      </c>
      <c r="E3537">
        <v>0.17983170000000001</v>
      </c>
      <c r="F3537">
        <v>3.6069900000000002E-2</v>
      </c>
      <c r="G3537">
        <v>0.96381329999999998</v>
      </c>
      <c r="H3537">
        <v>0.1061556</v>
      </c>
      <c r="Q3537" s="10">
        <f t="shared" si="130"/>
        <v>1.0422433079373275E-2</v>
      </c>
      <c r="AI3537">
        <v>8.6761000000000008E-3</v>
      </c>
      <c r="AJ3537">
        <f t="shared" si="129"/>
        <v>8.6761000000000008E-3</v>
      </c>
      <c r="AO3537">
        <v>8.6761000000000008E-3</v>
      </c>
      <c r="AR3537" s="8">
        <v>0</v>
      </c>
      <c r="AS3537">
        <v>0.91142809999999996</v>
      </c>
    </row>
    <row r="3538" spans="1:45" x14ac:dyDescent="0.25">
      <c r="A3538">
        <v>609</v>
      </c>
      <c r="B3538">
        <v>1995</v>
      </c>
      <c r="C3538" s="8">
        <v>0</v>
      </c>
      <c r="D3538">
        <v>7.7140799999999995E-2</v>
      </c>
      <c r="E3538">
        <v>5.4256499999999999E-2</v>
      </c>
      <c r="F3538">
        <v>3.1534699999999999E-2</v>
      </c>
      <c r="G3538">
        <v>0.29492020000000002</v>
      </c>
      <c r="H3538">
        <v>0.1010564</v>
      </c>
      <c r="Q3538" s="10">
        <f t="shared" si="130"/>
        <v>3.7326740545344253E-2</v>
      </c>
      <c r="AI3538">
        <v>1.37065E-2</v>
      </c>
      <c r="AJ3538">
        <f t="shared" si="129"/>
        <v>1.37065E-2</v>
      </c>
      <c r="AO3538">
        <v>1.37065E-2</v>
      </c>
      <c r="AR3538" s="8">
        <v>0</v>
      </c>
      <c r="AS3538">
        <v>0.9122555</v>
      </c>
    </row>
    <row r="3539" spans="1:45" x14ac:dyDescent="0.25">
      <c r="A3539">
        <v>609</v>
      </c>
      <c r="B3539">
        <v>1996</v>
      </c>
      <c r="C3539" s="8">
        <v>0</v>
      </c>
      <c r="D3539">
        <v>8.6761000000000008E-3</v>
      </c>
      <c r="E3539">
        <v>5.9485000000000003E-2</v>
      </c>
      <c r="F3539">
        <v>4.0456100000000002E-2</v>
      </c>
      <c r="G3539">
        <v>0.52416320000000005</v>
      </c>
      <c r="H3539">
        <v>0.1244561</v>
      </c>
      <c r="Q3539" s="10">
        <f t="shared" si="130"/>
        <v>2.3935647440993153E-2</v>
      </c>
      <c r="AI3539">
        <v>1.45302E-2</v>
      </c>
      <c r="AJ3539">
        <f t="shared" si="129"/>
        <v>1.45302E-2</v>
      </c>
      <c r="AO3539">
        <v>1.45302E-2</v>
      </c>
      <c r="AR3539" s="8">
        <v>0</v>
      </c>
      <c r="AS3539">
        <v>0.96381329999999998</v>
      </c>
    </row>
    <row r="3540" spans="1:45" x14ac:dyDescent="0.25">
      <c r="A3540">
        <v>609</v>
      </c>
      <c r="B3540">
        <v>1997</v>
      </c>
      <c r="C3540" s="8">
        <v>0</v>
      </c>
      <c r="D3540">
        <v>1.37065E-2</v>
      </c>
      <c r="E3540">
        <v>6.2887200000000004E-2</v>
      </c>
      <c r="F3540">
        <v>3.0427900000000001E-2</v>
      </c>
      <c r="G3540">
        <v>0.57106049999999997</v>
      </c>
      <c r="H3540">
        <v>0.122751</v>
      </c>
      <c r="Q3540" s="10">
        <f t="shared" si="130"/>
        <v>2.3972165207675401E-2</v>
      </c>
      <c r="AI3540">
        <v>-1.6808900000000002E-2</v>
      </c>
      <c r="AJ3540">
        <f t="shared" si="129"/>
        <v>-1.6808900000000002E-2</v>
      </c>
      <c r="AO3540">
        <v>-1.6808900000000002E-2</v>
      </c>
      <c r="AR3540" s="8">
        <v>0</v>
      </c>
      <c r="AS3540">
        <v>0.29492020000000002</v>
      </c>
    </row>
    <row r="3541" spans="1:45" x14ac:dyDescent="0.25">
      <c r="A3541">
        <v>609</v>
      </c>
      <c r="B3541">
        <v>1998</v>
      </c>
      <c r="C3541" s="8">
        <v>0</v>
      </c>
      <c r="D3541">
        <v>1.45302E-2</v>
      </c>
      <c r="E3541">
        <v>3.87956E-2</v>
      </c>
      <c r="F3541">
        <v>3.1900199999999997E-2</v>
      </c>
      <c r="G3541">
        <v>0.85357550000000004</v>
      </c>
      <c r="H3541">
        <v>0.1334515</v>
      </c>
      <c r="Q3541" s="10">
        <f t="shared" si="130"/>
        <v>1.5881574002714175E-2</v>
      </c>
      <c r="AI3541">
        <v>0.1091138</v>
      </c>
      <c r="AJ3541">
        <f t="shared" si="129"/>
        <v>0.1091138</v>
      </c>
      <c r="AO3541">
        <v>0.1091138</v>
      </c>
      <c r="AR3541" s="8">
        <v>0</v>
      </c>
      <c r="AS3541">
        <v>0.52416320000000005</v>
      </c>
    </row>
    <row r="3542" spans="1:45" x14ac:dyDescent="0.25">
      <c r="A3542">
        <v>609</v>
      </c>
      <c r="B3542">
        <v>1999</v>
      </c>
      <c r="C3542" s="8">
        <v>0</v>
      </c>
      <c r="D3542">
        <v>-1.6808900000000002E-2</v>
      </c>
      <c r="E3542">
        <v>2.1377400000000001E-2</v>
      </c>
      <c r="F3542">
        <v>2.4628799999999999E-2</v>
      </c>
      <c r="G3542">
        <v>0.84779380000000004</v>
      </c>
      <c r="H3542">
        <v>0.119183</v>
      </c>
      <c r="Q3542" s="10">
        <f t="shared" si="130"/>
        <v>1.7028170042548384E-2</v>
      </c>
      <c r="AI3542">
        <v>3.1630100000000001E-2</v>
      </c>
      <c r="AJ3542">
        <f t="shared" si="129"/>
        <v>3.1630100000000001E-2</v>
      </c>
      <c r="AO3542">
        <v>3.1630100000000001E-2</v>
      </c>
      <c r="AR3542" s="8">
        <v>0</v>
      </c>
      <c r="AS3542">
        <v>0.57106049999999997</v>
      </c>
    </row>
    <row r="3543" spans="1:45" x14ac:dyDescent="0.25">
      <c r="A3543">
        <v>609</v>
      </c>
      <c r="B3543">
        <v>2000</v>
      </c>
      <c r="C3543" s="8">
        <v>0</v>
      </c>
      <c r="D3543">
        <v>0.1091138</v>
      </c>
      <c r="E3543">
        <v>8.4858699999999995E-2</v>
      </c>
      <c r="F3543">
        <v>3.7728699999999997E-2</v>
      </c>
      <c r="G3543">
        <v>0.64231870000000002</v>
      </c>
      <c r="H3543">
        <v>0.1056477</v>
      </c>
      <c r="Q3543" s="10">
        <f t="shared" si="130"/>
        <v>2.0202016561845816E-2</v>
      </c>
      <c r="AI3543">
        <v>-3.0049900000000001E-2</v>
      </c>
      <c r="AJ3543">
        <f t="shared" si="129"/>
        <v>-3.0049900000000001E-2</v>
      </c>
      <c r="AO3543">
        <v>-3.0049900000000001E-2</v>
      </c>
      <c r="AR3543" s="8">
        <v>0</v>
      </c>
      <c r="AS3543">
        <v>0.85357550000000004</v>
      </c>
    </row>
    <row r="3544" spans="1:45" x14ac:dyDescent="0.25">
      <c r="A3544">
        <v>609</v>
      </c>
      <c r="B3544">
        <v>2001</v>
      </c>
      <c r="C3544" s="8">
        <v>0</v>
      </c>
      <c r="D3544">
        <v>3.1630100000000001E-2</v>
      </c>
      <c r="E3544">
        <v>4.2808300000000001E-2</v>
      </c>
      <c r="F3544">
        <v>2.2432400000000002E-2</v>
      </c>
      <c r="G3544">
        <v>0.51087680000000002</v>
      </c>
      <c r="H3544">
        <v>0.12012589999999999</v>
      </c>
      <c r="Q3544" s="10">
        <f t="shared" si="130"/>
        <v>2.8980112949885072E-2</v>
      </c>
      <c r="AI3544">
        <v>-0.15976660000000001</v>
      </c>
      <c r="AJ3544">
        <f t="shared" si="129"/>
        <v>-0.113345184</v>
      </c>
      <c r="AO3544">
        <v>-0.113345184</v>
      </c>
      <c r="AR3544" s="8">
        <v>0</v>
      </c>
      <c r="AS3544">
        <v>0.84779380000000004</v>
      </c>
    </row>
    <row r="3545" spans="1:45" x14ac:dyDescent="0.25">
      <c r="A3545">
        <v>609</v>
      </c>
      <c r="B3545">
        <v>2002</v>
      </c>
      <c r="C3545" s="8">
        <v>0</v>
      </c>
      <c r="D3545">
        <v>-3.0049900000000001E-2</v>
      </c>
      <c r="E3545">
        <v>1.48585E-2</v>
      </c>
      <c r="F3545">
        <v>3.7839499999999998E-2</v>
      </c>
      <c r="G3545">
        <v>0.50663360000000002</v>
      </c>
      <c r="H3545">
        <v>8.3335000000000006E-2</v>
      </c>
      <c r="Q3545" s="10">
        <f t="shared" si="130"/>
        <v>2.5682239469522174E-2</v>
      </c>
      <c r="AI3545">
        <v>1.9897100000000001E-2</v>
      </c>
      <c r="AJ3545">
        <f t="shared" si="129"/>
        <v>1.9897100000000001E-2</v>
      </c>
      <c r="AO3545">
        <v>1.9897100000000001E-2</v>
      </c>
      <c r="AR3545" s="8">
        <v>0</v>
      </c>
      <c r="AS3545">
        <v>0.64231870000000002</v>
      </c>
    </row>
    <row r="3546" spans="1:45" x14ac:dyDescent="0.25">
      <c r="A3546">
        <v>609</v>
      </c>
      <c r="B3546">
        <v>2003</v>
      </c>
      <c r="C3546" s="8">
        <v>0</v>
      </c>
      <c r="D3546">
        <v>-0.15976660000000001</v>
      </c>
      <c r="E3546">
        <v>1.6281899999999998E-2</v>
      </c>
      <c r="F3546">
        <v>2.9515199999999998E-2</v>
      </c>
      <c r="G3546">
        <v>0.35474820000000001</v>
      </c>
      <c r="H3546">
        <v>7.0882000000000001E-2</v>
      </c>
      <c r="Q3546" s="10">
        <f t="shared" si="130"/>
        <v>3.2582701666738524E-2</v>
      </c>
      <c r="AI3546">
        <v>-0.13154560000000001</v>
      </c>
      <c r="AJ3546">
        <f t="shared" si="129"/>
        <v>-0.113345184</v>
      </c>
      <c r="AO3546">
        <v>-0.113345184</v>
      </c>
      <c r="AR3546" s="8">
        <v>0</v>
      </c>
      <c r="AS3546">
        <v>0.51087680000000002</v>
      </c>
    </row>
    <row r="3547" spans="1:45" x14ac:dyDescent="0.25">
      <c r="A3547">
        <v>609</v>
      </c>
      <c r="B3547">
        <v>2004</v>
      </c>
      <c r="C3547" s="8">
        <v>0</v>
      </c>
      <c r="D3547">
        <v>1.9897100000000001E-2</v>
      </c>
      <c r="E3547">
        <v>4.1970500000000001E-2</v>
      </c>
      <c r="F3547">
        <v>3.7522899999999998E-2</v>
      </c>
      <c r="G3547">
        <v>0.50576310000000002</v>
      </c>
      <c r="H3547">
        <v>8.0189499999999997E-2</v>
      </c>
      <c r="Q3547" s="10">
        <f t="shared" si="130"/>
        <v>2.5266342621733839E-2</v>
      </c>
      <c r="AI3547">
        <v>-0.13372319999999999</v>
      </c>
      <c r="AJ3547">
        <f t="shared" si="129"/>
        <v>-0.113345184</v>
      </c>
      <c r="AO3547">
        <v>-0.113345184</v>
      </c>
      <c r="AR3547" s="8">
        <v>0</v>
      </c>
      <c r="AS3547">
        <v>0.50663360000000002</v>
      </c>
    </row>
    <row r="3548" spans="1:45" x14ac:dyDescent="0.25">
      <c r="A3548">
        <v>610</v>
      </c>
      <c r="B3548">
        <v>1995</v>
      </c>
      <c r="C3548" s="8">
        <v>0</v>
      </c>
      <c r="D3548">
        <v>-0.13154560000000001</v>
      </c>
      <c r="E3548">
        <v>-0.68042630000000004</v>
      </c>
      <c r="F3548">
        <v>3.5405100000000002E-2</v>
      </c>
      <c r="G3548">
        <v>0.49933460000000002</v>
      </c>
      <c r="H3548">
        <v>0.69377500000000003</v>
      </c>
      <c r="Q3548" s="10">
        <f t="shared" si="130"/>
        <v>9.4693201889297113E-2</v>
      </c>
      <c r="AI3548">
        <v>-0.11940149999999999</v>
      </c>
      <c r="AJ3548">
        <f t="shared" si="129"/>
        <v>-0.113345184</v>
      </c>
      <c r="AO3548">
        <v>-0.113345184</v>
      </c>
      <c r="AR3548" s="8">
        <v>0</v>
      </c>
      <c r="AS3548">
        <v>0.35474820000000001</v>
      </c>
    </row>
    <row r="3549" spans="1:45" x14ac:dyDescent="0.25">
      <c r="A3549">
        <v>610</v>
      </c>
      <c r="B3549">
        <v>1996</v>
      </c>
      <c r="C3549" s="8">
        <v>0</v>
      </c>
      <c r="D3549">
        <v>-0.13372319999999999</v>
      </c>
      <c r="E3549">
        <v>-0.65769140000000004</v>
      </c>
      <c r="F3549">
        <v>3.1723099999999997E-2</v>
      </c>
      <c r="G3549">
        <v>0.46114830000000001</v>
      </c>
      <c r="H3549">
        <v>0.75907119999999995</v>
      </c>
      <c r="Q3549" s="10">
        <f t="shared" si="130"/>
        <v>0.1033244862645973</v>
      </c>
      <c r="AI3549">
        <v>-6.1882899999999998E-2</v>
      </c>
      <c r="AJ3549">
        <f t="shared" si="129"/>
        <v>-6.1882899999999998E-2</v>
      </c>
      <c r="AO3549">
        <v>-6.1882899999999998E-2</v>
      </c>
      <c r="AR3549" s="8">
        <v>0</v>
      </c>
      <c r="AS3549">
        <v>0.50576310000000002</v>
      </c>
    </row>
    <row r="3550" spans="1:45" x14ac:dyDescent="0.25">
      <c r="A3550">
        <v>610</v>
      </c>
      <c r="B3550">
        <v>1997</v>
      </c>
      <c r="C3550" s="8">
        <v>0</v>
      </c>
      <c r="D3550">
        <v>-0.11940149999999999</v>
      </c>
      <c r="E3550">
        <v>-0.60560610000000004</v>
      </c>
      <c r="F3550">
        <v>1.8099500000000001E-2</v>
      </c>
      <c r="G3550">
        <v>0.33939710000000001</v>
      </c>
      <c r="H3550">
        <v>0.74023720000000004</v>
      </c>
      <c r="Q3550" s="10">
        <f t="shared" si="130"/>
        <v>0.12572568443852761</v>
      </c>
      <c r="AI3550">
        <v>-8.5673399999999997E-2</v>
      </c>
      <c r="AJ3550">
        <f t="shared" si="129"/>
        <v>-8.5673399999999997E-2</v>
      </c>
      <c r="AO3550">
        <v>-8.5673399999999997E-2</v>
      </c>
      <c r="AR3550" s="8">
        <v>0</v>
      </c>
      <c r="AS3550">
        <v>0.49933460000000002</v>
      </c>
    </row>
    <row r="3551" spans="1:45" x14ac:dyDescent="0.25">
      <c r="A3551">
        <v>610</v>
      </c>
      <c r="B3551">
        <v>1998</v>
      </c>
      <c r="C3551" s="8">
        <v>0</v>
      </c>
      <c r="D3551">
        <v>-6.1882899999999998E-2</v>
      </c>
      <c r="E3551">
        <v>-0.4922762</v>
      </c>
      <c r="F3551">
        <v>3.00594E-2</v>
      </c>
      <c r="G3551">
        <v>0.28594389999999997</v>
      </c>
      <c r="H3551">
        <v>0.6709001</v>
      </c>
      <c r="Q3551" s="10">
        <f t="shared" si="130"/>
        <v>0.10586469539613845</v>
      </c>
      <c r="AI3551">
        <v>-3.9843999999999997E-2</v>
      </c>
      <c r="AJ3551">
        <f t="shared" si="129"/>
        <v>-3.9843999999999997E-2</v>
      </c>
      <c r="AO3551">
        <v>-3.9843999999999997E-2</v>
      </c>
      <c r="AR3551" s="8">
        <v>0</v>
      </c>
      <c r="AS3551">
        <v>0.46114830000000001</v>
      </c>
    </row>
    <row r="3552" spans="1:45" x14ac:dyDescent="0.25">
      <c r="A3552">
        <v>610</v>
      </c>
      <c r="B3552">
        <v>1999</v>
      </c>
      <c r="C3552" s="8">
        <v>0</v>
      </c>
      <c r="D3552">
        <v>-8.5673399999999997E-2</v>
      </c>
      <c r="E3552">
        <v>-0.41143770000000002</v>
      </c>
      <c r="F3552">
        <v>5.4256899999999997E-2</v>
      </c>
      <c r="G3552">
        <v>0.2649994</v>
      </c>
      <c r="H3552">
        <v>0.7289099</v>
      </c>
      <c r="Q3552" s="10">
        <f t="shared" si="130"/>
        <v>8.4298596816077848E-2</v>
      </c>
      <c r="AI3552">
        <v>-2.0712499999999998E-2</v>
      </c>
      <c r="AJ3552">
        <f t="shared" si="129"/>
        <v>-2.0712499999999998E-2</v>
      </c>
      <c r="AO3552">
        <v>-2.0712499999999998E-2</v>
      </c>
      <c r="AR3552" s="8">
        <v>0</v>
      </c>
      <c r="AS3552">
        <v>0.33939710000000001</v>
      </c>
    </row>
    <row r="3553" spans="1:45" x14ac:dyDescent="0.25">
      <c r="A3553">
        <v>610</v>
      </c>
      <c r="B3553">
        <v>2000</v>
      </c>
      <c r="C3553" s="8">
        <v>0</v>
      </c>
      <c r="D3553">
        <v>-3.9843999999999997E-2</v>
      </c>
      <c r="E3553">
        <v>-0.36734529999999999</v>
      </c>
      <c r="F3553">
        <v>4.3784799999999999E-2</v>
      </c>
      <c r="G3553">
        <v>0.38166539999999999</v>
      </c>
      <c r="H3553">
        <v>0.76081810000000005</v>
      </c>
      <c r="Q3553" s="10">
        <f t="shared" si="130"/>
        <v>7.496417893546406E-2</v>
      </c>
      <c r="AI3553">
        <v>-1.22647E-2</v>
      </c>
      <c r="AJ3553">
        <f t="shared" si="129"/>
        <v>-1.22647E-2</v>
      </c>
      <c r="AO3553">
        <v>-1.22647E-2</v>
      </c>
      <c r="AR3553" s="8">
        <v>0</v>
      </c>
      <c r="AS3553">
        <v>0.28594389999999997</v>
      </c>
    </row>
    <row r="3554" spans="1:45" x14ac:dyDescent="0.25">
      <c r="A3554">
        <v>610</v>
      </c>
      <c r="B3554">
        <v>2001</v>
      </c>
      <c r="C3554" s="8">
        <v>0</v>
      </c>
      <c r="D3554">
        <v>-2.0712499999999998E-2</v>
      </c>
      <c r="E3554">
        <v>-0.3179883</v>
      </c>
      <c r="F3554">
        <v>4.9202200000000001E-2</v>
      </c>
      <c r="G3554">
        <v>0.48343700000000001</v>
      </c>
      <c r="H3554">
        <v>0.81235000000000002</v>
      </c>
      <c r="Q3554" s="10">
        <f t="shared" si="130"/>
        <v>6.0073010212351549E-2</v>
      </c>
      <c r="AI3554">
        <v>-2.8196200000000001E-2</v>
      </c>
      <c r="AJ3554">
        <f t="shared" si="129"/>
        <v>-2.8196200000000001E-2</v>
      </c>
      <c r="AO3554">
        <v>-2.8196200000000001E-2</v>
      </c>
      <c r="AR3554" s="8">
        <v>0</v>
      </c>
      <c r="AS3554">
        <v>0.2649994</v>
      </c>
    </row>
    <row r="3555" spans="1:45" x14ac:dyDescent="0.25">
      <c r="A3555">
        <v>610</v>
      </c>
      <c r="B3555">
        <v>2002</v>
      </c>
      <c r="C3555" s="8">
        <v>0</v>
      </c>
      <c r="D3555">
        <v>-1.22647E-2</v>
      </c>
      <c r="E3555">
        <v>-0.3013557</v>
      </c>
      <c r="F3555">
        <v>3.5212599999999997E-2</v>
      </c>
      <c r="G3555">
        <v>0.29704770000000003</v>
      </c>
      <c r="H3555">
        <v>0.84453250000000002</v>
      </c>
      <c r="Q3555" s="10">
        <f t="shared" si="130"/>
        <v>8.7699898490372782E-2</v>
      </c>
      <c r="AI3555">
        <v>-7.4080199999999999E-2</v>
      </c>
      <c r="AJ3555">
        <f t="shared" si="129"/>
        <v>-7.4080199999999999E-2</v>
      </c>
      <c r="AO3555">
        <v>-7.4080199999999999E-2</v>
      </c>
      <c r="AR3555" s="8">
        <v>0</v>
      </c>
      <c r="AS3555">
        <v>0.38166539999999999</v>
      </c>
    </row>
    <row r="3556" spans="1:45" x14ac:dyDescent="0.25">
      <c r="A3556">
        <v>610</v>
      </c>
      <c r="B3556">
        <v>2003</v>
      </c>
      <c r="C3556" s="8">
        <v>0</v>
      </c>
      <c r="D3556">
        <v>-2.8196200000000001E-2</v>
      </c>
      <c r="E3556">
        <v>-0.25228390000000001</v>
      </c>
      <c r="F3556">
        <v>4.3996199999999999E-2</v>
      </c>
      <c r="G3556">
        <v>0.62033439999999995</v>
      </c>
      <c r="H3556">
        <v>0.83712209999999998</v>
      </c>
      <c r="Q3556" s="10">
        <f t="shared" si="130"/>
        <v>4.6974251363075391E-2</v>
      </c>
      <c r="AI3556">
        <v>-1.3871E-2</v>
      </c>
      <c r="AJ3556">
        <f t="shared" si="129"/>
        <v>-1.3871E-2</v>
      </c>
      <c r="AO3556">
        <v>-1.3871E-2</v>
      </c>
      <c r="AR3556" s="8">
        <v>0</v>
      </c>
      <c r="AS3556">
        <v>0.48343700000000001</v>
      </c>
    </row>
    <row r="3557" spans="1:45" x14ac:dyDescent="0.25">
      <c r="A3557">
        <v>610</v>
      </c>
      <c r="B3557">
        <v>2004</v>
      </c>
      <c r="C3557" s="8">
        <v>0</v>
      </c>
      <c r="D3557">
        <v>-7.4080199999999999E-2</v>
      </c>
      <c r="E3557">
        <v>-0.21990000000000001</v>
      </c>
      <c r="F3557">
        <v>4.7175599999999998E-2</v>
      </c>
      <c r="G3557">
        <v>0.97484700000000002</v>
      </c>
      <c r="H3557">
        <v>0.97031780000000001</v>
      </c>
      <c r="Q3557" s="10">
        <f t="shared" si="130"/>
        <v>2.7014891472057344E-2</v>
      </c>
      <c r="AI3557">
        <v>4.1166000000000001E-2</v>
      </c>
      <c r="AJ3557">
        <f t="shared" si="129"/>
        <v>4.1166000000000001E-2</v>
      </c>
      <c r="AO3557">
        <v>4.1166000000000001E-2</v>
      </c>
      <c r="AR3557" s="8">
        <v>0</v>
      </c>
      <c r="AS3557">
        <v>0.29704770000000003</v>
      </c>
    </row>
    <row r="3558" spans="1:45" x14ac:dyDescent="0.25">
      <c r="A3558">
        <v>611</v>
      </c>
      <c r="B3558">
        <v>1995</v>
      </c>
      <c r="C3558" s="8">
        <v>0</v>
      </c>
      <c r="D3558">
        <v>-1.3871E-2</v>
      </c>
      <c r="E3558">
        <v>0.37303350000000002</v>
      </c>
      <c r="F3558">
        <v>5.20744E-2</v>
      </c>
      <c r="G3558">
        <v>1.855639</v>
      </c>
      <c r="H3558">
        <v>0.26588909999999999</v>
      </c>
      <c r="Q3558" s="10">
        <f t="shared" si="130"/>
        <v>1.8319738061383672E-3</v>
      </c>
      <c r="AI3558">
        <v>2.3441900000000002E-2</v>
      </c>
      <c r="AJ3558">
        <f t="shared" si="129"/>
        <v>2.3441900000000002E-2</v>
      </c>
      <c r="AO3558">
        <v>2.3441900000000002E-2</v>
      </c>
      <c r="AR3558" s="8">
        <v>0</v>
      </c>
      <c r="AS3558">
        <v>0.62033439999999995</v>
      </c>
    </row>
    <row r="3559" spans="1:45" x14ac:dyDescent="0.25">
      <c r="A3559">
        <v>611</v>
      </c>
      <c r="B3559">
        <v>1996</v>
      </c>
      <c r="C3559" s="8">
        <v>0</v>
      </c>
      <c r="D3559">
        <v>4.1166000000000001E-2</v>
      </c>
      <c r="E3559">
        <v>0.37575979999999998</v>
      </c>
      <c r="F3559">
        <v>5.1291900000000001E-2</v>
      </c>
      <c r="G3559">
        <v>1.5647249999999999</v>
      </c>
      <c r="H3559">
        <v>0.2547662</v>
      </c>
      <c r="Q3559" s="10">
        <f t="shared" si="130"/>
        <v>2.9626038789193612E-3</v>
      </c>
      <c r="AI3559">
        <v>-3.35132E-2</v>
      </c>
      <c r="AJ3559">
        <f t="shared" si="129"/>
        <v>-3.35132E-2</v>
      </c>
      <c r="AO3559">
        <v>-3.35132E-2</v>
      </c>
      <c r="AR3559" s="8">
        <v>0</v>
      </c>
      <c r="AS3559">
        <v>0.97484700000000002</v>
      </c>
    </row>
    <row r="3560" spans="1:45" x14ac:dyDescent="0.25">
      <c r="A3560">
        <v>611</v>
      </c>
      <c r="B3560">
        <v>1997</v>
      </c>
      <c r="C3560" s="8">
        <v>0</v>
      </c>
      <c r="D3560">
        <v>2.3441900000000002E-2</v>
      </c>
      <c r="E3560">
        <v>0.4146937</v>
      </c>
      <c r="F3560">
        <v>6.9986099999999996E-2</v>
      </c>
      <c r="G3560">
        <v>2.4680840000000002</v>
      </c>
      <c r="H3560">
        <v>0.25143070000000001</v>
      </c>
      <c r="Q3560" s="10">
        <f t="shared" si="130"/>
        <v>5.674071125279592E-4</v>
      </c>
      <c r="AI3560">
        <v>-2.8036700000000001E-2</v>
      </c>
      <c r="AJ3560">
        <f t="shared" si="129"/>
        <v>-2.8036700000000001E-2</v>
      </c>
      <c r="AO3560">
        <v>-2.8036700000000001E-2</v>
      </c>
      <c r="AR3560" s="8">
        <v>0</v>
      </c>
      <c r="AS3560">
        <v>1.855639</v>
      </c>
    </row>
    <row r="3561" spans="1:45" x14ac:dyDescent="0.25">
      <c r="A3561">
        <v>611</v>
      </c>
      <c r="B3561">
        <v>1998</v>
      </c>
      <c r="C3561" s="8">
        <v>0</v>
      </c>
      <c r="D3561">
        <v>-3.35132E-2</v>
      </c>
      <c r="E3561">
        <v>0.45752419999999999</v>
      </c>
      <c r="F3561">
        <v>5.44339E-2</v>
      </c>
      <c r="G3561">
        <v>3.3219590000000001</v>
      </c>
      <c r="H3561">
        <v>0.25344709999999998</v>
      </c>
      <c r="Q3561" s="10">
        <f t="shared" si="130"/>
        <v>1.5149265700655802E-4</v>
      </c>
      <c r="AI3561">
        <v>-3.6276599999999999E-2</v>
      </c>
      <c r="AJ3561">
        <f t="shared" si="129"/>
        <v>-3.6276599999999999E-2</v>
      </c>
      <c r="AO3561">
        <v>-3.6276599999999999E-2</v>
      </c>
      <c r="AR3561" s="8">
        <v>0</v>
      </c>
      <c r="AS3561">
        <v>1.5647249999999999</v>
      </c>
    </row>
    <row r="3562" spans="1:45" x14ac:dyDescent="0.25">
      <c r="A3562">
        <v>611</v>
      </c>
      <c r="B3562">
        <v>1999</v>
      </c>
      <c r="C3562" s="8">
        <v>0</v>
      </c>
      <c r="D3562">
        <v>-2.8036700000000001E-2</v>
      </c>
      <c r="E3562">
        <v>0.44199500000000003</v>
      </c>
      <c r="F3562">
        <v>4.9966999999999998E-2</v>
      </c>
      <c r="G3562">
        <v>2.9114930000000001</v>
      </c>
      <c r="H3562">
        <v>0.24111879999999999</v>
      </c>
      <c r="Q3562" s="10">
        <f t="shared" si="130"/>
        <v>3.0718119147679071E-4</v>
      </c>
      <c r="AI3562">
        <v>5.6452500000000003E-2</v>
      </c>
      <c r="AJ3562">
        <f t="shared" si="129"/>
        <v>5.6452500000000003E-2</v>
      </c>
      <c r="AO3562">
        <v>5.6452500000000003E-2</v>
      </c>
      <c r="AR3562" s="8">
        <v>0</v>
      </c>
      <c r="AS3562">
        <v>2.4680840000000002</v>
      </c>
    </row>
    <row r="3563" spans="1:45" x14ac:dyDescent="0.25">
      <c r="A3563">
        <v>611</v>
      </c>
      <c r="B3563">
        <v>2000</v>
      </c>
      <c r="C3563" s="8">
        <v>0</v>
      </c>
      <c r="D3563">
        <v>-3.6276599999999999E-2</v>
      </c>
      <c r="E3563">
        <v>0.46971350000000001</v>
      </c>
      <c r="F3563">
        <v>6.99679E-2</v>
      </c>
      <c r="G3563">
        <v>5.2523119999999999</v>
      </c>
      <c r="H3563">
        <v>0.24743999999999999</v>
      </c>
      <c r="Q3563" s="10">
        <f t="shared" si="130"/>
        <v>6.0353540333100889E-6</v>
      </c>
      <c r="AI3563">
        <v>0.12805520000000001</v>
      </c>
      <c r="AJ3563">
        <f t="shared" si="129"/>
        <v>0.12805520000000001</v>
      </c>
      <c r="AO3563">
        <v>0.12805520000000001</v>
      </c>
      <c r="AR3563" s="8">
        <v>0</v>
      </c>
      <c r="AS3563">
        <v>3.3219590000000001</v>
      </c>
    </row>
    <row r="3564" spans="1:45" x14ac:dyDescent="0.25">
      <c r="A3564">
        <v>611</v>
      </c>
      <c r="B3564">
        <v>2001</v>
      </c>
      <c r="C3564" s="8">
        <v>0</v>
      </c>
      <c r="D3564">
        <v>5.6452500000000003E-2</v>
      </c>
      <c r="E3564">
        <v>0.39586179999999999</v>
      </c>
      <c r="F3564">
        <v>4.1840299999999997E-2</v>
      </c>
      <c r="G3564">
        <v>2.8817699999999999</v>
      </c>
      <c r="H3564">
        <v>0.16739699999999999</v>
      </c>
      <c r="Q3564" s="10">
        <f t="shared" si="130"/>
        <v>3.6363738554741083E-4</v>
      </c>
      <c r="AI3564">
        <v>9.8109199999999994E-2</v>
      </c>
      <c r="AJ3564">
        <f t="shared" si="129"/>
        <v>9.8109199999999994E-2</v>
      </c>
      <c r="AO3564">
        <v>9.8109199999999994E-2</v>
      </c>
      <c r="AR3564" s="8">
        <v>0</v>
      </c>
      <c r="AS3564">
        <v>2.9114930000000001</v>
      </c>
    </row>
    <row r="3565" spans="1:45" x14ac:dyDescent="0.25">
      <c r="A3565">
        <v>611</v>
      </c>
      <c r="B3565">
        <v>2002</v>
      </c>
      <c r="C3565" s="8">
        <v>0</v>
      </c>
      <c r="D3565">
        <v>0.12805520000000001</v>
      </c>
      <c r="E3565">
        <v>0.40815040000000002</v>
      </c>
      <c r="F3565">
        <v>4.0582699999999999E-2</v>
      </c>
      <c r="G3565">
        <v>2.4108239999999999</v>
      </c>
      <c r="H3565">
        <v>0.19480829999999999</v>
      </c>
      <c r="Q3565" s="10">
        <f t="shared" si="130"/>
        <v>8.0036497417781635E-4</v>
      </c>
      <c r="AI3565">
        <v>2.2756800000000001E-2</v>
      </c>
      <c r="AJ3565">
        <f t="shared" si="129"/>
        <v>2.2756800000000001E-2</v>
      </c>
      <c r="AO3565">
        <v>2.2756800000000001E-2</v>
      </c>
      <c r="AR3565" s="8">
        <v>0</v>
      </c>
      <c r="AS3565">
        <v>5.2523119999999999</v>
      </c>
    </row>
    <row r="3566" spans="1:45" x14ac:dyDescent="0.25">
      <c r="A3566">
        <v>611</v>
      </c>
      <c r="B3566">
        <v>2003</v>
      </c>
      <c r="C3566" s="8">
        <v>0</v>
      </c>
      <c r="D3566">
        <v>9.8109199999999994E-2</v>
      </c>
      <c r="E3566">
        <v>0.4480421</v>
      </c>
      <c r="F3566">
        <v>3.9952599999999998E-2</v>
      </c>
      <c r="G3566">
        <v>2.659116</v>
      </c>
      <c r="H3566">
        <v>0.18607699999999999</v>
      </c>
      <c r="Q3566" s="10">
        <f t="shared" si="130"/>
        <v>5.0215357132135999E-4</v>
      </c>
      <c r="AI3566">
        <v>2.2369799999999999E-2</v>
      </c>
      <c r="AJ3566">
        <f t="shared" si="129"/>
        <v>2.2369799999999999E-2</v>
      </c>
      <c r="AO3566">
        <v>2.2369799999999999E-2</v>
      </c>
      <c r="AR3566" s="8">
        <v>0</v>
      </c>
      <c r="AS3566">
        <v>2.8817699999999999</v>
      </c>
    </row>
    <row r="3567" spans="1:45" x14ac:dyDescent="0.25">
      <c r="A3567">
        <v>611</v>
      </c>
      <c r="B3567">
        <v>2004</v>
      </c>
      <c r="C3567" s="8">
        <v>0</v>
      </c>
      <c r="D3567">
        <v>2.2756800000000001E-2</v>
      </c>
      <c r="E3567">
        <v>0.41883500000000001</v>
      </c>
      <c r="F3567">
        <v>4.8783199999999999E-2</v>
      </c>
      <c r="G3567">
        <v>2.2080479999999998</v>
      </c>
      <c r="H3567">
        <v>0.1876999</v>
      </c>
      <c r="Q3567" s="10">
        <f t="shared" si="130"/>
        <v>9.7152501143430835E-4</v>
      </c>
      <c r="AI3567">
        <v>-4.4327800000000001E-2</v>
      </c>
      <c r="AJ3567">
        <f t="shared" si="129"/>
        <v>-4.4327800000000001E-2</v>
      </c>
      <c r="AO3567">
        <v>-4.4327800000000001E-2</v>
      </c>
      <c r="AR3567" s="8">
        <v>0</v>
      </c>
      <c r="AS3567">
        <v>2.4108239999999999</v>
      </c>
    </row>
    <row r="3568" spans="1:45" x14ac:dyDescent="0.25">
      <c r="A3568">
        <v>612</v>
      </c>
      <c r="B3568">
        <v>1995</v>
      </c>
      <c r="C3568" s="8">
        <v>0</v>
      </c>
      <c r="D3568">
        <v>2.2369799999999999E-2</v>
      </c>
      <c r="E3568">
        <v>3.6093199999999999E-2</v>
      </c>
      <c r="F3568">
        <v>3.8993E-2</v>
      </c>
      <c r="G3568">
        <v>0.40940759999999998</v>
      </c>
      <c r="H3568">
        <v>0.13338459999999999</v>
      </c>
      <c r="Q3568" s="10">
        <f t="shared" si="130"/>
        <v>3.0225945357607822E-2</v>
      </c>
      <c r="AI3568">
        <v>9.0489000000000003E-3</v>
      </c>
      <c r="AJ3568">
        <f t="shared" si="129"/>
        <v>9.0489000000000003E-3</v>
      </c>
      <c r="AO3568">
        <v>9.0489000000000003E-3</v>
      </c>
      <c r="AR3568" s="8">
        <v>0</v>
      </c>
      <c r="AS3568">
        <v>2.659116</v>
      </c>
    </row>
    <row r="3569" spans="1:45" x14ac:dyDescent="0.25">
      <c r="A3569">
        <v>612</v>
      </c>
      <c r="B3569">
        <v>1996</v>
      </c>
      <c r="C3569" s="8">
        <v>0</v>
      </c>
      <c r="D3569">
        <v>-4.4327800000000001E-2</v>
      </c>
      <c r="E3569">
        <v>1.9957599999999999E-2</v>
      </c>
      <c r="F3569">
        <v>7.3155499999999998E-2</v>
      </c>
      <c r="G3569">
        <v>0.4746879</v>
      </c>
      <c r="H3569">
        <v>0.16417709999999999</v>
      </c>
      <c r="Q3569" s="10">
        <f t="shared" si="130"/>
        <v>2.1232617211890292E-2</v>
      </c>
      <c r="AI3569">
        <v>2.4845900000000001E-2</v>
      </c>
      <c r="AJ3569">
        <f t="shared" si="129"/>
        <v>2.4845900000000001E-2</v>
      </c>
      <c r="AO3569">
        <v>2.4845900000000001E-2</v>
      </c>
      <c r="AR3569" s="8">
        <v>0</v>
      </c>
      <c r="AS3569">
        <v>2.2080479999999998</v>
      </c>
    </row>
    <row r="3570" spans="1:45" x14ac:dyDescent="0.25">
      <c r="A3570">
        <v>612</v>
      </c>
      <c r="B3570">
        <v>1997</v>
      </c>
      <c r="C3570" s="8">
        <v>0</v>
      </c>
      <c r="D3570">
        <v>9.0489000000000003E-3</v>
      </c>
      <c r="E3570">
        <v>3.29056E-2</v>
      </c>
      <c r="F3570">
        <v>7.7175099999999996E-2</v>
      </c>
      <c r="G3570">
        <v>0.40277020000000002</v>
      </c>
      <c r="H3570">
        <v>0.15375330000000001</v>
      </c>
      <c r="Q3570" s="10">
        <f t="shared" si="130"/>
        <v>2.2944429070530872E-2</v>
      </c>
      <c r="AI3570">
        <v>1.5595299999999999E-2</v>
      </c>
      <c r="AJ3570">
        <f t="shared" si="129"/>
        <v>1.5595299999999999E-2</v>
      </c>
      <c r="AO3570">
        <v>1.5595299999999999E-2</v>
      </c>
      <c r="AR3570" s="8">
        <v>0</v>
      </c>
      <c r="AS3570">
        <v>0.40940759999999998</v>
      </c>
    </row>
    <row r="3571" spans="1:45" x14ac:dyDescent="0.25">
      <c r="A3571">
        <v>612</v>
      </c>
      <c r="B3571">
        <v>1998</v>
      </c>
      <c r="C3571" s="8">
        <v>0</v>
      </c>
      <c r="D3571">
        <v>2.4845900000000001E-2</v>
      </c>
      <c r="E3571">
        <v>4.2906399999999997E-2</v>
      </c>
      <c r="F3571">
        <v>6.7617099999999999E-2</v>
      </c>
      <c r="G3571">
        <v>0.63625069999999995</v>
      </c>
      <c r="H3571">
        <v>0.19991100000000001</v>
      </c>
      <c r="Q3571" s="10">
        <f t="shared" si="130"/>
        <v>1.7524477227152824E-2</v>
      </c>
      <c r="AI3571">
        <v>-1.0216299999999999E-2</v>
      </c>
      <c r="AJ3571">
        <f t="shared" si="129"/>
        <v>-1.0216299999999999E-2</v>
      </c>
      <c r="AO3571">
        <v>-1.0216299999999999E-2</v>
      </c>
      <c r="AR3571" s="8">
        <v>0</v>
      </c>
      <c r="AS3571">
        <v>0.4746879</v>
      </c>
    </row>
    <row r="3572" spans="1:45" x14ac:dyDescent="0.25">
      <c r="A3572">
        <v>612</v>
      </c>
      <c r="B3572">
        <v>1999</v>
      </c>
      <c r="C3572" s="8">
        <v>0</v>
      </c>
      <c r="D3572">
        <v>1.5595299999999999E-2</v>
      </c>
      <c r="E3572">
        <v>5.7675999999999998E-2</v>
      </c>
      <c r="F3572">
        <v>5.66013E-2</v>
      </c>
      <c r="G3572">
        <v>0.52242319999999998</v>
      </c>
      <c r="H3572">
        <v>0.16421259999999999</v>
      </c>
      <c r="Q3572" s="10">
        <f t="shared" si="130"/>
        <v>2.1787347297019807E-2</v>
      </c>
      <c r="AI3572">
        <v>-7.0484500000000005E-2</v>
      </c>
      <c r="AJ3572">
        <f t="shared" si="129"/>
        <v>-7.0484500000000005E-2</v>
      </c>
      <c r="AO3572">
        <v>-7.0484500000000005E-2</v>
      </c>
      <c r="AR3572" s="8">
        <v>0</v>
      </c>
      <c r="AS3572">
        <v>0.40277020000000002</v>
      </c>
    </row>
    <row r="3573" spans="1:45" x14ac:dyDescent="0.25">
      <c r="A3573">
        <v>612</v>
      </c>
      <c r="B3573">
        <v>2000</v>
      </c>
      <c r="C3573" s="8">
        <v>0</v>
      </c>
      <c r="D3573">
        <v>-1.0216299999999999E-2</v>
      </c>
      <c r="E3573">
        <v>4.1475600000000001E-2</v>
      </c>
      <c r="F3573">
        <v>5.7278000000000003E-2</v>
      </c>
      <c r="G3573">
        <v>0.43062980000000001</v>
      </c>
      <c r="H3573">
        <v>0.17679039999999999</v>
      </c>
      <c r="Q3573" s="10">
        <f t="shared" si="130"/>
        <v>2.5509223824614749E-2</v>
      </c>
      <c r="AI3573">
        <v>1.0057E-3</v>
      </c>
      <c r="AJ3573">
        <f t="shared" si="129"/>
        <v>1.0057E-3</v>
      </c>
      <c r="AO3573">
        <v>1.0057E-3</v>
      </c>
      <c r="AR3573" s="8">
        <v>0</v>
      </c>
      <c r="AS3573">
        <v>0.63625069999999995</v>
      </c>
    </row>
    <row r="3574" spans="1:45" x14ac:dyDescent="0.25">
      <c r="A3574">
        <v>612</v>
      </c>
      <c r="B3574">
        <v>2001</v>
      </c>
      <c r="C3574" s="8">
        <v>0</v>
      </c>
      <c r="D3574">
        <v>-7.0484500000000005E-2</v>
      </c>
      <c r="E3574">
        <v>5.4219000000000003E-2</v>
      </c>
      <c r="F3574">
        <v>6.3299300000000003E-2</v>
      </c>
      <c r="G3574">
        <v>0.4268516</v>
      </c>
      <c r="H3574">
        <v>0.19058800000000001</v>
      </c>
      <c r="Q3574" s="10">
        <f t="shared" si="130"/>
        <v>2.3661223558907846E-2</v>
      </c>
      <c r="AI3574">
        <v>1.38957E-2</v>
      </c>
      <c r="AJ3574">
        <f t="shared" si="129"/>
        <v>1.38957E-2</v>
      </c>
      <c r="AO3574">
        <v>1.38957E-2</v>
      </c>
      <c r="AR3574" s="8">
        <v>0</v>
      </c>
      <c r="AS3574">
        <v>0.52242319999999998</v>
      </c>
    </row>
    <row r="3575" spans="1:45" x14ac:dyDescent="0.25">
      <c r="A3575">
        <v>612</v>
      </c>
      <c r="B3575">
        <v>2002</v>
      </c>
      <c r="C3575" s="8">
        <v>0</v>
      </c>
      <c r="D3575">
        <v>1.0057E-3</v>
      </c>
      <c r="E3575">
        <v>5.6660500000000003E-2</v>
      </c>
      <c r="F3575">
        <v>5.0184399999999997E-2</v>
      </c>
      <c r="G3575">
        <v>0.46638750000000001</v>
      </c>
      <c r="H3575">
        <v>0.17062469999999999</v>
      </c>
      <c r="Q3575" s="10">
        <f t="shared" si="130"/>
        <v>2.4980403226997898E-2</v>
      </c>
      <c r="AI3575">
        <v>2.9066999999999999E-3</v>
      </c>
      <c r="AJ3575">
        <f t="shared" si="129"/>
        <v>2.9066999999999999E-3</v>
      </c>
      <c r="AO3575">
        <v>2.9066999999999999E-3</v>
      </c>
      <c r="AR3575" s="8">
        <v>0</v>
      </c>
      <c r="AS3575">
        <v>0.43062980000000001</v>
      </c>
    </row>
    <row r="3576" spans="1:45" x14ac:dyDescent="0.25">
      <c r="A3576">
        <v>612</v>
      </c>
      <c r="B3576">
        <v>2003</v>
      </c>
      <c r="C3576" s="8">
        <v>0</v>
      </c>
      <c r="D3576">
        <v>1.38957E-2</v>
      </c>
      <c r="E3576">
        <v>5.3414099999999999E-2</v>
      </c>
      <c r="F3576">
        <v>6.3169100000000006E-2</v>
      </c>
      <c r="G3576">
        <v>0.42118870000000003</v>
      </c>
      <c r="H3576">
        <v>0.1609631</v>
      </c>
      <c r="Q3576" s="10">
        <f t="shared" si="130"/>
        <v>2.4313053724739315E-2</v>
      </c>
      <c r="AI3576">
        <v>-3.2726600000000002E-2</v>
      </c>
      <c r="AJ3576">
        <f t="shared" si="129"/>
        <v>-3.2726600000000002E-2</v>
      </c>
      <c r="AO3576">
        <v>-3.2726600000000002E-2</v>
      </c>
      <c r="AR3576" s="8">
        <v>0</v>
      </c>
      <c r="AS3576">
        <v>0.4268516</v>
      </c>
    </row>
    <row r="3577" spans="1:45" x14ac:dyDescent="0.25">
      <c r="A3577">
        <v>612</v>
      </c>
      <c r="B3577">
        <v>2004</v>
      </c>
      <c r="C3577" s="8">
        <v>0</v>
      </c>
      <c r="D3577">
        <v>2.9066999999999999E-3</v>
      </c>
      <c r="E3577">
        <v>6.5823199999999998E-2</v>
      </c>
      <c r="F3577">
        <v>5.4986100000000003E-2</v>
      </c>
      <c r="G3577">
        <v>0.44040889999999999</v>
      </c>
      <c r="H3577">
        <v>0.19428100000000001</v>
      </c>
      <c r="Q3577" s="10">
        <f t="shared" si="130"/>
        <v>2.5105303266352616E-2</v>
      </c>
      <c r="AI3577">
        <v>-4.1873599999999997E-2</v>
      </c>
      <c r="AJ3577">
        <f t="shared" si="129"/>
        <v>-4.1873599999999997E-2</v>
      </c>
      <c r="AO3577">
        <v>-4.1873599999999997E-2</v>
      </c>
      <c r="AR3577" s="8">
        <v>0</v>
      </c>
      <c r="AS3577">
        <v>0.46638750000000001</v>
      </c>
    </row>
    <row r="3578" spans="1:45" x14ac:dyDescent="0.25">
      <c r="A3578">
        <v>613</v>
      </c>
      <c r="B3578">
        <v>1995</v>
      </c>
      <c r="C3578" s="8">
        <v>0</v>
      </c>
      <c r="D3578">
        <v>-3.2726600000000002E-2</v>
      </c>
      <c r="E3578">
        <v>3.6854100000000001E-2</v>
      </c>
      <c r="F3578">
        <v>7.5854699999999997E-2</v>
      </c>
      <c r="G3578">
        <v>2.2449469999999998</v>
      </c>
      <c r="H3578">
        <v>0.1885899</v>
      </c>
      <c r="Q3578" s="10">
        <f t="shared" si="130"/>
        <v>1.2566449098832312E-3</v>
      </c>
      <c r="AI3578">
        <v>-1.6864899999999999E-2</v>
      </c>
      <c r="AJ3578">
        <f t="shared" si="129"/>
        <v>-1.6864899999999999E-2</v>
      </c>
      <c r="AO3578">
        <v>-1.6864899999999999E-2</v>
      </c>
      <c r="AR3578" s="8">
        <v>0</v>
      </c>
      <c r="AS3578">
        <v>0.42118870000000003</v>
      </c>
    </row>
    <row r="3579" spans="1:45" x14ac:dyDescent="0.25">
      <c r="A3579">
        <v>613</v>
      </c>
      <c r="B3579">
        <v>1997</v>
      </c>
      <c r="C3579" s="8">
        <v>0</v>
      </c>
      <c r="D3579">
        <v>-4.1873599999999997E-2</v>
      </c>
      <c r="E3579">
        <v>3.5026399999999999E-2</v>
      </c>
      <c r="F3579">
        <v>6.9459099999999996E-2</v>
      </c>
      <c r="G3579">
        <v>2.1166649999999998</v>
      </c>
      <c r="H3579">
        <v>0.20364380000000001</v>
      </c>
      <c r="Q3579" s="10">
        <f t="shared" si="130"/>
        <v>1.6353398767953657E-3</v>
      </c>
      <c r="AI3579">
        <v>-6.00616E-2</v>
      </c>
      <c r="AJ3579">
        <f t="shared" si="129"/>
        <v>-6.00616E-2</v>
      </c>
      <c r="AO3579">
        <v>-6.00616E-2</v>
      </c>
      <c r="AR3579" s="8">
        <v>0</v>
      </c>
      <c r="AS3579">
        <v>0.44040889999999999</v>
      </c>
    </row>
    <row r="3580" spans="1:45" x14ac:dyDescent="0.25">
      <c r="A3580">
        <v>613</v>
      </c>
      <c r="B3580">
        <v>1998</v>
      </c>
      <c r="C3580" s="8">
        <v>0</v>
      </c>
      <c r="D3580">
        <v>-1.6864899999999999E-2</v>
      </c>
      <c r="E3580">
        <v>0.1038741</v>
      </c>
      <c r="F3580">
        <v>6.5206100000000003E-2</v>
      </c>
      <c r="G3580">
        <v>3.277685</v>
      </c>
      <c r="H3580">
        <v>0.18547739999999999</v>
      </c>
      <c r="Q3580" s="10">
        <f t="shared" si="130"/>
        <v>2.407662286070125E-4</v>
      </c>
      <c r="AI3580">
        <v>-5.4101700000000003E-2</v>
      </c>
      <c r="AJ3580">
        <f t="shared" si="129"/>
        <v>-5.4101700000000003E-2</v>
      </c>
      <c r="AO3580">
        <v>-5.4101700000000003E-2</v>
      </c>
      <c r="AR3580" s="8">
        <v>0</v>
      </c>
      <c r="AS3580">
        <v>2.2449469999999998</v>
      </c>
    </row>
    <row r="3581" spans="1:45" x14ac:dyDescent="0.25">
      <c r="A3581">
        <v>613</v>
      </c>
      <c r="B3581">
        <v>1999</v>
      </c>
      <c r="C3581" s="8">
        <v>0</v>
      </c>
      <c r="D3581">
        <v>-6.00616E-2</v>
      </c>
      <c r="E3581">
        <v>0.19026650000000001</v>
      </c>
      <c r="F3581">
        <v>5.3033200000000003E-2</v>
      </c>
      <c r="G3581">
        <v>2.9745979999999999</v>
      </c>
      <c r="H3581">
        <v>0.19736719999999999</v>
      </c>
      <c r="Q3581" s="10">
        <f t="shared" si="130"/>
        <v>3.7537022867138248E-4</v>
      </c>
      <c r="AI3581">
        <v>-8.9431899999999995E-2</v>
      </c>
      <c r="AJ3581">
        <f t="shared" si="129"/>
        <v>-8.9431899999999995E-2</v>
      </c>
      <c r="AO3581">
        <v>-8.9431899999999995E-2</v>
      </c>
      <c r="AR3581" s="8">
        <v>0</v>
      </c>
      <c r="AS3581">
        <v>2.1166649999999998</v>
      </c>
    </row>
    <row r="3582" spans="1:45" x14ac:dyDescent="0.25">
      <c r="A3582">
        <v>613</v>
      </c>
      <c r="B3582">
        <v>2000</v>
      </c>
      <c r="C3582" s="8">
        <v>0</v>
      </c>
      <c r="D3582">
        <v>-5.4101700000000003E-2</v>
      </c>
      <c r="E3582">
        <v>0.2021926</v>
      </c>
      <c r="F3582">
        <v>5.6684999999999999E-2</v>
      </c>
      <c r="G3582">
        <v>2.3993769999999999</v>
      </c>
      <c r="H3582">
        <v>0.142178</v>
      </c>
      <c r="Q3582" s="10">
        <f t="shared" si="130"/>
        <v>8.676645378121533E-4</v>
      </c>
      <c r="AI3582">
        <v>1.52891E-2</v>
      </c>
      <c r="AJ3582">
        <f t="shared" si="129"/>
        <v>1.52891E-2</v>
      </c>
      <c r="AO3582">
        <v>1.52891E-2</v>
      </c>
      <c r="AR3582" s="8">
        <v>0</v>
      </c>
      <c r="AS3582">
        <v>3.277685</v>
      </c>
    </row>
    <row r="3583" spans="1:45" x14ac:dyDescent="0.25">
      <c r="A3583">
        <v>613</v>
      </c>
      <c r="B3583">
        <v>2001</v>
      </c>
      <c r="C3583" s="8">
        <v>0</v>
      </c>
      <c r="D3583">
        <v>-8.9431899999999995E-2</v>
      </c>
      <c r="E3583">
        <v>0.23508370000000001</v>
      </c>
      <c r="F3583">
        <v>5.9466100000000001E-2</v>
      </c>
      <c r="G3583">
        <v>2.0822790000000002</v>
      </c>
      <c r="H3583">
        <v>0.15041109999999999</v>
      </c>
      <c r="Q3583" s="10">
        <f t="shared" si="130"/>
        <v>1.3275115062120497E-3</v>
      </c>
      <c r="AI3583">
        <v>2.61587E-2</v>
      </c>
      <c r="AJ3583">
        <f t="shared" si="129"/>
        <v>2.61587E-2</v>
      </c>
      <c r="AO3583">
        <v>2.61587E-2</v>
      </c>
      <c r="AR3583" s="8">
        <v>0</v>
      </c>
      <c r="AS3583">
        <v>2.9745979999999999</v>
      </c>
    </row>
    <row r="3584" spans="1:45" x14ac:dyDescent="0.25">
      <c r="A3584">
        <v>613</v>
      </c>
      <c r="B3584">
        <v>2002</v>
      </c>
      <c r="C3584" s="8">
        <v>0</v>
      </c>
      <c r="D3584">
        <v>1.52891E-2</v>
      </c>
      <c r="E3584">
        <v>0.2486969</v>
      </c>
      <c r="F3584">
        <v>5.3202199999999998E-2</v>
      </c>
      <c r="G3584">
        <v>1.49542</v>
      </c>
      <c r="H3584">
        <v>0.15353420000000001</v>
      </c>
      <c r="Q3584" s="10">
        <f t="shared" si="130"/>
        <v>3.6394994192634469E-3</v>
      </c>
      <c r="AI3584">
        <v>-6.8545499999999995E-2</v>
      </c>
      <c r="AJ3584">
        <f t="shared" si="129"/>
        <v>-6.8545499999999995E-2</v>
      </c>
      <c r="AO3584">
        <v>-6.8545499999999995E-2</v>
      </c>
      <c r="AR3584" s="8">
        <v>0</v>
      </c>
      <c r="AS3584">
        <v>2.3993769999999999</v>
      </c>
    </row>
    <row r="3585" spans="1:45" x14ac:dyDescent="0.25">
      <c r="A3585">
        <v>613</v>
      </c>
      <c r="B3585">
        <v>2003</v>
      </c>
      <c r="C3585" s="8">
        <v>0</v>
      </c>
      <c r="D3585">
        <v>2.61587E-2</v>
      </c>
      <c r="E3585">
        <v>0.28882229999999998</v>
      </c>
      <c r="F3585">
        <v>3.11729E-2</v>
      </c>
      <c r="G3585">
        <v>1.418229</v>
      </c>
      <c r="H3585">
        <v>0.13618230000000001</v>
      </c>
      <c r="Q3585" s="10">
        <f t="shared" si="130"/>
        <v>4.597518886756983E-3</v>
      </c>
      <c r="AI3585">
        <v>6.9751300000000002E-2</v>
      </c>
      <c r="AJ3585">
        <f t="shared" si="129"/>
        <v>6.9751300000000002E-2</v>
      </c>
      <c r="AO3585">
        <v>6.9751300000000002E-2</v>
      </c>
      <c r="AR3585" s="8">
        <v>0</v>
      </c>
      <c r="AS3585">
        <v>2.0822790000000002</v>
      </c>
    </row>
    <row r="3586" spans="1:45" x14ac:dyDescent="0.25">
      <c r="A3586">
        <v>613</v>
      </c>
      <c r="B3586">
        <v>2004</v>
      </c>
      <c r="C3586" s="8">
        <v>0</v>
      </c>
      <c r="D3586">
        <v>-6.8545499999999995E-2</v>
      </c>
      <c r="E3586">
        <v>0.29928080000000001</v>
      </c>
      <c r="F3586">
        <v>3.9164499999999998E-2</v>
      </c>
      <c r="G3586">
        <v>1.2730669999999999</v>
      </c>
      <c r="H3586">
        <v>0.1073691</v>
      </c>
      <c r="Q3586" s="10">
        <f t="shared" si="130"/>
        <v>5.0538704969974183E-3</v>
      </c>
      <c r="AI3586">
        <v>7.8202300000000002E-2</v>
      </c>
      <c r="AJ3586">
        <f t="shared" si="129"/>
        <v>7.8202300000000002E-2</v>
      </c>
      <c r="AO3586">
        <v>7.8202300000000002E-2</v>
      </c>
      <c r="AR3586" s="8">
        <v>0</v>
      </c>
      <c r="AS3586">
        <v>1.49542</v>
      </c>
    </row>
    <row r="3587" spans="1:45" x14ac:dyDescent="0.25">
      <c r="A3587">
        <v>614</v>
      </c>
      <c r="B3587">
        <v>1995</v>
      </c>
      <c r="C3587" s="8">
        <v>0</v>
      </c>
      <c r="D3587">
        <v>6.9751300000000002E-2</v>
      </c>
      <c r="E3587">
        <v>0.38789119999999999</v>
      </c>
      <c r="F3587">
        <v>3.6217800000000001E-2</v>
      </c>
      <c r="G3587">
        <v>0.88557149999999996</v>
      </c>
      <c r="H3587">
        <v>0.10576969999999999</v>
      </c>
      <c r="Q3587" s="10">
        <f t="shared" si="130"/>
        <v>8.8893174115623232E-3</v>
      </c>
      <c r="AI3587">
        <v>9.2496599999999998E-2</v>
      </c>
      <c r="AJ3587">
        <f t="shared" si="129"/>
        <v>9.2496599999999998E-2</v>
      </c>
      <c r="AO3587">
        <v>9.2496599999999998E-2</v>
      </c>
      <c r="AR3587" s="8">
        <v>0</v>
      </c>
      <c r="AS3587">
        <v>1.418229</v>
      </c>
    </row>
    <row r="3588" spans="1:45" x14ac:dyDescent="0.25">
      <c r="A3588">
        <v>614</v>
      </c>
      <c r="B3588">
        <v>1996</v>
      </c>
      <c r="C3588" s="8">
        <v>0</v>
      </c>
      <c r="D3588">
        <v>7.8202300000000002E-2</v>
      </c>
      <c r="E3588">
        <v>0.34956199999999998</v>
      </c>
      <c r="F3588">
        <v>4.9530900000000003E-2</v>
      </c>
      <c r="G3588">
        <v>0.85751690000000003</v>
      </c>
      <c r="H3588">
        <v>0.13308039999999999</v>
      </c>
      <c r="Q3588" s="10">
        <f t="shared" si="130"/>
        <v>9.0168535834370348E-3</v>
      </c>
      <c r="AI3588">
        <v>7.0106600000000005E-2</v>
      </c>
      <c r="AJ3588">
        <f t="shared" si="129"/>
        <v>7.0106600000000005E-2</v>
      </c>
      <c r="AO3588">
        <v>7.0106600000000005E-2</v>
      </c>
      <c r="AR3588" s="8">
        <v>0</v>
      </c>
      <c r="AS3588">
        <v>1.2730669999999999</v>
      </c>
    </row>
    <row r="3589" spans="1:45" x14ac:dyDescent="0.25">
      <c r="A3589">
        <v>614</v>
      </c>
      <c r="B3589">
        <v>1997</v>
      </c>
      <c r="C3589" s="8">
        <v>0</v>
      </c>
      <c r="D3589">
        <v>9.2496599999999998E-2</v>
      </c>
      <c r="E3589">
        <v>0.3489273</v>
      </c>
      <c r="F3589">
        <v>5.8543699999999997E-2</v>
      </c>
      <c r="G3589">
        <v>0.67897660000000004</v>
      </c>
      <c r="H3589">
        <v>0.152561</v>
      </c>
      <c r="Q3589" s="10">
        <f t="shared" si="130"/>
        <v>1.1337285471224919E-2</v>
      </c>
      <c r="AI3589">
        <v>4.4956599999999999E-2</v>
      </c>
      <c r="AJ3589">
        <f t="shared" ref="AJ3589:AJ3652" si="131">MAX(MIN(AI3589,AM$5),AM$4)</f>
        <v>4.4956599999999999E-2</v>
      </c>
      <c r="AO3589">
        <v>4.4956599999999999E-2</v>
      </c>
      <c r="AR3589" s="8">
        <v>0</v>
      </c>
      <c r="AS3589">
        <v>0.88557149999999996</v>
      </c>
    </row>
    <row r="3590" spans="1:45" x14ac:dyDescent="0.25">
      <c r="A3590">
        <v>614</v>
      </c>
      <c r="B3590">
        <v>1998</v>
      </c>
      <c r="C3590" s="8">
        <v>0</v>
      </c>
      <c r="D3590">
        <v>7.0106600000000005E-2</v>
      </c>
      <c r="E3590">
        <v>0.32272669999999998</v>
      </c>
      <c r="F3590">
        <v>4.7430899999999998E-2</v>
      </c>
      <c r="G3590">
        <v>0.42802050000000003</v>
      </c>
      <c r="H3590">
        <v>0.13209480000000001</v>
      </c>
      <c r="Q3590" s="10">
        <f t="shared" si="130"/>
        <v>1.86458901730535E-2</v>
      </c>
      <c r="AI3590">
        <v>-0.1440854</v>
      </c>
      <c r="AJ3590">
        <f t="shared" si="131"/>
        <v>-0.113345184</v>
      </c>
      <c r="AO3590">
        <v>-0.113345184</v>
      </c>
      <c r="AR3590" s="8">
        <v>0</v>
      </c>
      <c r="AS3590">
        <v>0.85751690000000003</v>
      </c>
    </row>
    <row r="3591" spans="1:45" x14ac:dyDescent="0.25">
      <c r="A3591">
        <v>614</v>
      </c>
      <c r="B3591">
        <v>1999</v>
      </c>
      <c r="C3591" s="8">
        <v>0</v>
      </c>
      <c r="D3591">
        <v>4.4956599999999999E-2</v>
      </c>
      <c r="E3591">
        <v>0.3171909</v>
      </c>
      <c r="F3591">
        <v>6.1511499999999997E-2</v>
      </c>
      <c r="G3591">
        <v>0.38403369999999998</v>
      </c>
      <c r="H3591">
        <v>0.16354679999999999</v>
      </c>
      <c r="Q3591" s="10">
        <f t="shared" ref="Q3591:Q3654" si="132">1/(1+EXP(-(J$6+SUMPRODUCT(K$6:O$6,D3591:H3591))))</f>
        <v>1.8186470900217497E-2</v>
      </c>
      <c r="AI3591">
        <v>5.1743200000000003E-2</v>
      </c>
      <c r="AJ3591">
        <f t="shared" si="131"/>
        <v>5.1743200000000003E-2</v>
      </c>
      <c r="AO3591">
        <v>5.1743200000000003E-2</v>
      </c>
      <c r="AR3591" s="8">
        <v>0</v>
      </c>
      <c r="AS3591">
        <v>0.67897660000000004</v>
      </c>
    </row>
    <row r="3592" spans="1:45" x14ac:dyDescent="0.25">
      <c r="A3592">
        <v>614</v>
      </c>
      <c r="B3592">
        <v>2000</v>
      </c>
      <c r="C3592" s="8">
        <v>0</v>
      </c>
      <c r="D3592">
        <v>-0.1440854</v>
      </c>
      <c r="E3592">
        <v>0.23315520000000001</v>
      </c>
      <c r="F3592">
        <v>6.7397899999999997E-2</v>
      </c>
      <c r="G3592">
        <v>0.49774410000000002</v>
      </c>
      <c r="H3592">
        <v>0.18511639999999999</v>
      </c>
      <c r="Q3592" s="10">
        <f t="shared" si="132"/>
        <v>1.5370755515462148E-2</v>
      </c>
      <c r="AI3592">
        <v>2.4863199999999998E-2</v>
      </c>
      <c r="AJ3592">
        <f t="shared" si="131"/>
        <v>2.4863199999999998E-2</v>
      </c>
      <c r="AO3592">
        <v>2.4863199999999998E-2</v>
      </c>
      <c r="AR3592" s="8">
        <v>0</v>
      </c>
      <c r="AS3592">
        <v>0.42802050000000003</v>
      </c>
    </row>
    <row r="3593" spans="1:45" x14ac:dyDescent="0.25">
      <c r="A3593">
        <v>614</v>
      </c>
      <c r="B3593">
        <v>2001</v>
      </c>
      <c r="C3593" s="8">
        <v>0</v>
      </c>
      <c r="D3593">
        <v>5.1743200000000003E-2</v>
      </c>
      <c r="E3593">
        <v>0.27194580000000002</v>
      </c>
      <c r="F3593">
        <v>5.6479099999999997E-2</v>
      </c>
      <c r="G3593">
        <v>0.5045655</v>
      </c>
      <c r="H3593">
        <v>0.12546930000000001</v>
      </c>
      <c r="Q3593" s="10">
        <f t="shared" si="132"/>
        <v>1.6374088575332593E-2</v>
      </c>
      <c r="AI3593">
        <v>5.4361100000000002E-2</v>
      </c>
      <c r="AJ3593">
        <f t="shared" si="131"/>
        <v>5.4361100000000002E-2</v>
      </c>
      <c r="AO3593">
        <v>5.4361100000000002E-2</v>
      </c>
      <c r="AR3593" s="8">
        <v>0</v>
      </c>
      <c r="AS3593">
        <v>0.38403369999999998</v>
      </c>
    </row>
    <row r="3594" spans="1:45" x14ac:dyDescent="0.25">
      <c r="A3594">
        <v>614</v>
      </c>
      <c r="B3594">
        <v>2002</v>
      </c>
      <c r="C3594" s="8">
        <v>0</v>
      </c>
      <c r="D3594">
        <v>2.4863199999999998E-2</v>
      </c>
      <c r="E3594">
        <v>0.28313319999999997</v>
      </c>
      <c r="F3594">
        <v>4.3860799999999998E-2</v>
      </c>
      <c r="G3594">
        <v>0.54396529999999998</v>
      </c>
      <c r="H3594">
        <v>0.1274612</v>
      </c>
      <c r="Q3594" s="10">
        <f t="shared" si="132"/>
        <v>1.6568095715380916E-2</v>
      </c>
      <c r="AI3594">
        <v>4.1775399999999997E-2</v>
      </c>
      <c r="AJ3594">
        <f t="shared" si="131"/>
        <v>4.1775399999999997E-2</v>
      </c>
      <c r="AO3594">
        <v>4.1775399999999997E-2</v>
      </c>
      <c r="AR3594" s="8">
        <v>0</v>
      </c>
      <c r="AS3594">
        <v>0.49774410000000002</v>
      </c>
    </row>
    <row r="3595" spans="1:45" x14ac:dyDescent="0.25">
      <c r="A3595">
        <v>614</v>
      </c>
      <c r="B3595">
        <v>2003</v>
      </c>
      <c r="C3595" s="8">
        <v>0</v>
      </c>
      <c r="D3595">
        <v>5.4361100000000002E-2</v>
      </c>
      <c r="E3595">
        <v>0.29902649999999997</v>
      </c>
      <c r="F3595">
        <v>7.5509800000000002E-2</v>
      </c>
      <c r="G3595">
        <v>1.576357</v>
      </c>
      <c r="H3595">
        <v>0.12543219999999999</v>
      </c>
      <c r="Q3595" s="10">
        <f t="shared" si="132"/>
        <v>2.4872481132757729E-3</v>
      </c>
      <c r="AI3595">
        <v>2.4184600000000001E-2</v>
      </c>
      <c r="AJ3595">
        <f t="shared" si="131"/>
        <v>2.4184600000000001E-2</v>
      </c>
      <c r="AO3595">
        <v>2.4184600000000001E-2</v>
      </c>
      <c r="AR3595" s="8">
        <v>0</v>
      </c>
      <c r="AS3595">
        <v>0.5045655</v>
      </c>
    </row>
    <row r="3596" spans="1:45" x14ac:dyDescent="0.25">
      <c r="A3596">
        <v>614</v>
      </c>
      <c r="B3596">
        <v>2004</v>
      </c>
      <c r="C3596" s="8">
        <v>0</v>
      </c>
      <c r="D3596">
        <v>4.1775399999999997E-2</v>
      </c>
      <c r="E3596">
        <v>0.31290489999999999</v>
      </c>
      <c r="F3596">
        <v>8.8006899999999999E-2</v>
      </c>
      <c r="G3596">
        <v>2.6553749999999998</v>
      </c>
      <c r="H3596">
        <v>0.1494277</v>
      </c>
      <c r="Q3596" s="10">
        <f t="shared" si="132"/>
        <v>3.9982076348666701E-4</v>
      </c>
      <c r="AI3596">
        <v>-8.8082000000000004E-3</v>
      </c>
      <c r="AJ3596">
        <f t="shared" si="131"/>
        <v>-8.8082000000000004E-3</v>
      </c>
      <c r="AO3596">
        <v>-8.8082000000000004E-3</v>
      </c>
      <c r="AR3596" s="8">
        <v>0</v>
      </c>
      <c r="AS3596">
        <v>0.54396529999999998</v>
      </c>
    </row>
    <row r="3597" spans="1:45" x14ac:dyDescent="0.25">
      <c r="A3597">
        <v>615</v>
      </c>
      <c r="B3597">
        <v>1995</v>
      </c>
      <c r="C3597" s="8">
        <v>0</v>
      </c>
      <c r="D3597">
        <v>2.4184600000000001E-2</v>
      </c>
      <c r="E3597">
        <v>0.23262360000000001</v>
      </c>
      <c r="F3597">
        <v>7.9702499999999996E-2</v>
      </c>
      <c r="G3597">
        <v>1.131731</v>
      </c>
      <c r="H3597">
        <v>0.16146550000000001</v>
      </c>
      <c r="Q3597" s="10">
        <f t="shared" si="132"/>
        <v>5.4174631375551755E-3</v>
      </c>
      <c r="AI3597">
        <v>0.1064782</v>
      </c>
      <c r="AJ3597">
        <f t="shared" si="131"/>
        <v>0.1064782</v>
      </c>
      <c r="AO3597">
        <v>0.1064782</v>
      </c>
      <c r="AR3597" s="8">
        <v>0</v>
      </c>
      <c r="AS3597">
        <v>1.576357</v>
      </c>
    </row>
    <row r="3598" spans="1:45" x14ac:dyDescent="0.25">
      <c r="A3598">
        <v>615</v>
      </c>
      <c r="B3598">
        <v>1996</v>
      </c>
      <c r="C3598" s="8">
        <v>0</v>
      </c>
      <c r="D3598">
        <v>-8.8082000000000004E-3</v>
      </c>
      <c r="E3598">
        <v>0.21232970000000001</v>
      </c>
      <c r="F3598">
        <v>7.0344500000000004E-2</v>
      </c>
      <c r="G3598">
        <v>1.09321</v>
      </c>
      <c r="H3598">
        <v>0.1605946</v>
      </c>
      <c r="Q3598" s="10">
        <f t="shared" si="132"/>
        <v>6.2982995091208369E-3</v>
      </c>
      <c r="AI3598">
        <v>0.19317309999999999</v>
      </c>
      <c r="AJ3598">
        <f t="shared" si="131"/>
        <v>0.19317309999999999</v>
      </c>
      <c r="AO3598">
        <v>0.19317309999999999</v>
      </c>
      <c r="AR3598" s="8">
        <v>0</v>
      </c>
      <c r="AS3598">
        <v>2.6553749999999998</v>
      </c>
    </row>
    <row r="3599" spans="1:45" x14ac:dyDescent="0.25">
      <c r="A3599">
        <v>616</v>
      </c>
      <c r="B3599">
        <v>1995</v>
      </c>
      <c r="C3599" s="8">
        <v>0</v>
      </c>
      <c r="D3599">
        <v>0.1064782</v>
      </c>
      <c r="E3599">
        <v>8.0794000000000005E-2</v>
      </c>
      <c r="F3599">
        <v>5.8535700000000003E-2</v>
      </c>
      <c r="G3599">
        <v>0.15136269999999999</v>
      </c>
      <c r="H3599">
        <v>0.53770180000000001</v>
      </c>
      <c r="Q3599" s="10">
        <f t="shared" si="132"/>
        <v>4.7741072354097629E-2</v>
      </c>
      <c r="AI3599">
        <v>0.28723029999999999</v>
      </c>
      <c r="AJ3599">
        <f t="shared" si="131"/>
        <v>0.28723029999999999</v>
      </c>
      <c r="AO3599">
        <v>0.28723029999999999</v>
      </c>
      <c r="AR3599" s="8">
        <v>0</v>
      </c>
      <c r="AS3599">
        <v>1.131731</v>
      </c>
    </row>
    <row r="3600" spans="1:45" x14ac:dyDescent="0.25">
      <c r="A3600">
        <v>616</v>
      </c>
      <c r="B3600">
        <v>1996</v>
      </c>
      <c r="C3600" s="8">
        <v>0</v>
      </c>
      <c r="D3600">
        <v>0.19317309999999999</v>
      </c>
      <c r="E3600">
        <v>9.3138799999999994E-2</v>
      </c>
      <c r="F3600">
        <v>5.9603099999999999E-2</v>
      </c>
      <c r="G3600">
        <v>0.281615</v>
      </c>
      <c r="H3600">
        <v>0.60676070000000004</v>
      </c>
      <c r="Q3600" s="10">
        <f t="shared" si="132"/>
        <v>4.1155201218484358E-2</v>
      </c>
      <c r="AI3600">
        <v>0.24381610000000001</v>
      </c>
      <c r="AJ3600">
        <f t="shared" si="131"/>
        <v>0.24381610000000001</v>
      </c>
      <c r="AO3600">
        <v>0.24381610000000001</v>
      </c>
      <c r="AR3600" s="8">
        <v>0</v>
      </c>
      <c r="AS3600">
        <v>1.09321</v>
      </c>
    </row>
    <row r="3601" spans="1:45" x14ac:dyDescent="0.25">
      <c r="A3601">
        <v>616</v>
      </c>
      <c r="B3601">
        <v>1997</v>
      </c>
      <c r="C3601" s="8">
        <v>0</v>
      </c>
      <c r="D3601">
        <v>0.28723029999999999</v>
      </c>
      <c r="E3601">
        <v>8.6664900000000003E-2</v>
      </c>
      <c r="F3601">
        <v>4.7043500000000002E-2</v>
      </c>
      <c r="G3601">
        <v>0.32304929999999998</v>
      </c>
      <c r="H3601">
        <v>0.66716399999999998</v>
      </c>
      <c r="Q3601" s="10">
        <f t="shared" si="132"/>
        <v>4.6171539234866874E-2</v>
      </c>
      <c r="AI3601">
        <v>0.27625860000000002</v>
      </c>
      <c r="AJ3601">
        <f t="shared" si="131"/>
        <v>0.27625860000000002</v>
      </c>
      <c r="AO3601">
        <v>0.27625860000000002</v>
      </c>
      <c r="AR3601" s="8">
        <v>0</v>
      </c>
      <c r="AS3601">
        <v>0.15136269999999999</v>
      </c>
    </row>
    <row r="3602" spans="1:45" x14ac:dyDescent="0.25">
      <c r="A3602">
        <v>616</v>
      </c>
      <c r="B3602">
        <v>1998</v>
      </c>
      <c r="C3602" s="8">
        <v>0</v>
      </c>
      <c r="D3602">
        <v>0.24381610000000001</v>
      </c>
      <c r="E3602">
        <v>8.4020200000000003E-2</v>
      </c>
      <c r="F3602">
        <v>2.7362000000000001E-2</v>
      </c>
      <c r="G3602">
        <v>0.1128875</v>
      </c>
      <c r="H3602">
        <v>0.40513860000000002</v>
      </c>
      <c r="Q3602" s="10">
        <f t="shared" si="132"/>
        <v>6.2251341449551065E-2</v>
      </c>
      <c r="AI3602">
        <v>0.31829020000000002</v>
      </c>
      <c r="AJ3602">
        <f t="shared" si="131"/>
        <v>0.31829020000000002</v>
      </c>
      <c r="AO3602">
        <v>0.31829020000000002</v>
      </c>
      <c r="AR3602" s="8">
        <v>0</v>
      </c>
      <c r="AS3602">
        <v>0.281615</v>
      </c>
    </row>
    <row r="3603" spans="1:45" x14ac:dyDescent="0.25">
      <c r="A3603">
        <v>616</v>
      </c>
      <c r="B3603">
        <v>1999</v>
      </c>
      <c r="C3603" s="8">
        <v>0</v>
      </c>
      <c r="D3603">
        <v>0.27625860000000002</v>
      </c>
      <c r="E3603">
        <v>9.2591400000000004E-2</v>
      </c>
      <c r="F3603">
        <v>4.9429899999999999E-2</v>
      </c>
      <c r="G3603">
        <v>9.4060099999999994E-2</v>
      </c>
      <c r="H3603">
        <v>0.4547426</v>
      </c>
      <c r="Q3603" s="10">
        <f t="shared" si="132"/>
        <v>5.5877233813732864E-2</v>
      </c>
      <c r="AI3603">
        <v>0.31422620000000001</v>
      </c>
      <c r="AJ3603">
        <f t="shared" si="131"/>
        <v>0.31422620000000001</v>
      </c>
      <c r="AO3603">
        <v>0.31422620000000001</v>
      </c>
      <c r="AR3603" s="8">
        <v>0</v>
      </c>
      <c r="AS3603">
        <v>0.32304929999999998</v>
      </c>
    </row>
    <row r="3604" spans="1:45" x14ac:dyDescent="0.25">
      <c r="A3604">
        <v>616</v>
      </c>
      <c r="B3604">
        <v>2000</v>
      </c>
      <c r="C3604" s="8">
        <v>0</v>
      </c>
      <c r="D3604">
        <v>0.31829020000000002</v>
      </c>
      <c r="E3604">
        <v>0.13087969999999999</v>
      </c>
      <c r="F3604">
        <v>5.1798200000000003E-2</v>
      </c>
      <c r="G3604">
        <v>0.32544050000000002</v>
      </c>
      <c r="H3604">
        <v>0.44428679999999998</v>
      </c>
      <c r="Q3604" s="10">
        <f t="shared" si="132"/>
        <v>3.6986878528250999E-2</v>
      </c>
      <c r="AI3604">
        <v>0.27278989999999997</v>
      </c>
      <c r="AJ3604">
        <f t="shared" si="131"/>
        <v>0.27278989999999997</v>
      </c>
      <c r="AO3604">
        <v>0.27278989999999997</v>
      </c>
      <c r="AR3604" s="8">
        <v>0</v>
      </c>
      <c r="AS3604">
        <v>0.1128875</v>
      </c>
    </row>
    <row r="3605" spans="1:45" x14ac:dyDescent="0.25">
      <c r="A3605">
        <v>616</v>
      </c>
      <c r="B3605">
        <v>2001</v>
      </c>
      <c r="C3605" s="8">
        <v>0</v>
      </c>
      <c r="D3605">
        <v>0.31422620000000001</v>
      </c>
      <c r="E3605">
        <v>0.16743259999999999</v>
      </c>
      <c r="F3605">
        <v>6.17802E-2</v>
      </c>
      <c r="G3605">
        <v>0.59270610000000001</v>
      </c>
      <c r="H3605">
        <v>0.43736340000000001</v>
      </c>
      <c r="Q3605" s="10">
        <f t="shared" si="132"/>
        <v>2.1365376032816564E-2</v>
      </c>
      <c r="AI3605">
        <v>0.2401461</v>
      </c>
      <c r="AJ3605">
        <f t="shared" si="131"/>
        <v>0.2401461</v>
      </c>
      <c r="AO3605">
        <v>0.2401461</v>
      </c>
      <c r="AR3605" s="8">
        <v>0</v>
      </c>
      <c r="AS3605">
        <v>9.4060099999999994E-2</v>
      </c>
    </row>
    <row r="3606" spans="1:45" x14ac:dyDescent="0.25">
      <c r="A3606">
        <v>616</v>
      </c>
      <c r="B3606">
        <v>2002</v>
      </c>
      <c r="C3606" s="8">
        <v>0</v>
      </c>
      <c r="D3606">
        <v>0.27278989999999997</v>
      </c>
      <c r="E3606">
        <v>0.2104193</v>
      </c>
      <c r="F3606">
        <v>6.3880699999999999E-2</v>
      </c>
      <c r="G3606">
        <v>0.44196150000000001</v>
      </c>
      <c r="H3606">
        <v>0.3551899</v>
      </c>
      <c r="Q3606" s="10">
        <f t="shared" si="132"/>
        <v>2.3394950249628541E-2</v>
      </c>
      <c r="AI3606">
        <v>0.40141850000000001</v>
      </c>
      <c r="AJ3606">
        <f t="shared" si="131"/>
        <v>0.40141850000000001</v>
      </c>
      <c r="AO3606">
        <v>0.40141850000000001</v>
      </c>
      <c r="AR3606" s="8">
        <v>0</v>
      </c>
      <c r="AS3606">
        <v>0.32544050000000002</v>
      </c>
    </row>
    <row r="3607" spans="1:45" x14ac:dyDescent="0.25">
      <c r="A3607">
        <v>616</v>
      </c>
      <c r="B3607">
        <v>2003</v>
      </c>
      <c r="C3607" s="8">
        <v>0</v>
      </c>
      <c r="D3607">
        <v>0.2401461</v>
      </c>
      <c r="E3607">
        <v>0.1805167</v>
      </c>
      <c r="F3607">
        <v>3.39408E-2</v>
      </c>
      <c r="G3607">
        <v>0.44559470000000001</v>
      </c>
      <c r="H3607">
        <v>0.26884780000000003</v>
      </c>
      <c r="Q3607" s="10">
        <f t="shared" si="132"/>
        <v>2.8708947850541885E-2</v>
      </c>
      <c r="AI3607">
        <v>0.37121969999999999</v>
      </c>
      <c r="AJ3607">
        <f t="shared" si="131"/>
        <v>0.37121969999999999</v>
      </c>
      <c r="AO3607">
        <v>0.37121969999999999</v>
      </c>
      <c r="AR3607" s="8">
        <v>0</v>
      </c>
      <c r="AS3607">
        <v>0.59270610000000001</v>
      </c>
    </row>
    <row r="3608" spans="1:45" x14ac:dyDescent="0.25">
      <c r="A3608">
        <v>617</v>
      </c>
      <c r="B3608">
        <v>1999</v>
      </c>
      <c r="C3608" s="8">
        <v>0</v>
      </c>
      <c r="D3608">
        <v>0.40141850000000001</v>
      </c>
      <c r="E3608">
        <v>0.36276330000000001</v>
      </c>
      <c r="F3608">
        <v>-1.2010699999999999E-2</v>
      </c>
      <c r="G3608">
        <v>0.62756020000000001</v>
      </c>
      <c r="H3608">
        <v>0.18074989999999999</v>
      </c>
      <c r="Q3608" s="10">
        <f t="shared" si="132"/>
        <v>2.4207586581979766E-2</v>
      </c>
      <c r="AI3608">
        <v>0.47456930000000003</v>
      </c>
      <c r="AJ3608">
        <f t="shared" si="131"/>
        <v>0.47456930000000003</v>
      </c>
      <c r="AO3608">
        <v>0.47456930000000003</v>
      </c>
      <c r="AR3608" s="8">
        <v>0</v>
      </c>
      <c r="AS3608">
        <v>0.44196150000000001</v>
      </c>
    </row>
    <row r="3609" spans="1:45" x14ac:dyDescent="0.25">
      <c r="A3609">
        <v>617</v>
      </c>
      <c r="B3609">
        <v>2000</v>
      </c>
      <c r="C3609" s="8">
        <v>0</v>
      </c>
      <c r="D3609">
        <v>0.37121969999999999</v>
      </c>
      <c r="E3609">
        <v>0.38582949999999999</v>
      </c>
      <c r="F3609">
        <v>2.5599899999999998E-2</v>
      </c>
      <c r="G3609">
        <v>0.28366350000000001</v>
      </c>
      <c r="H3609">
        <v>0.23996609999999999</v>
      </c>
      <c r="Q3609" s="10">
        <f t="shared" si="132"/>
        <v>3.0508781470652384E-2</v>
      </c>
      <c r="AI3609">
        <v>0.31368639999999998</v>
      </c>
      <c r="AJ3609">
        <f t="shared" si="131"/>
        <v>0.31368639999999998</v>
      </c>
      <c r="AO3609">
        <v>0.31368639999999998</v>
      </c>
      <c r="AR3609" s="8">
        <v>0</v>
      </c>
      <c r="AS3609">
        <v>0.44559470000000001</v>
      </c>
    </row>
    <row r="3610" spans="1:45" x14ac:dyDescent="0.25">
      <c r="A3610">
        <v>617</v>
      </c>
      <c r="B3610">
        <v>2001</v>
      </c>
      <c r="C3610" s="8">
        <v>0</v>
      </c>
      <c r="D3610">
        <v>0.47456930000000003</v>
      </c>
      <c r="E3610">
        <v>0.36952459999999998</v>
      </c>
      <c r="F3610">
        <v>1.8059599999999999E-2</v>
      </c>
      <c r="G3610">
        <v>0.56773660000000004</v>
      </c>
      <c r="H3610">
        <v>0.2268385</v>
      </c>
      <c r="Q3610" s="10">
        <f t="shared" si="132"/>
        <v>2.2037212523641419E-2</v>
      </c>
      <c r="AI3610">
        <v>0.30928919999999999</v>
      </c>
      <c r="AJ3610">
        <f t="shared" si="131"/>
        <v>0.30928919999999999</v>
      </c>
      <c r="AO3610">
        <v>0.30928919999999999</v>
      </c>
      <c r="AR3610" s="8">
        <v>0</v>
      </c>
      <c r="AS3610">
        <v>0.62756020000000001</v>
      </c>
    </row>
    <row r="3611" spans="1:45" x14ac:dyDescent="0.25">
      <c r="A3611">
        <v>617</v>
      </c>
      <c r="B3611">
        <v>2002</v>
      </c>
      <c r="C3611" s="8">
        <v>0</v>
      </c>
      <c r="D3611">
        <v>0.31368639999999998</v>
      </c>
      <c r="E3611">
        <v>0.32737769999999999</v>
      </c>
      <c r="F3611">
        <v>4.5504799999999998E-2</v>
      </c>
      <c r="G3611">
        <v>0.5168121</v>
      </c>
      <c r="H3611">
        <v>0.24167839999999999</v>
      </c>
      <c r="Q3611" s="10">
        <f t="shared" si="132"/>
        <v>1.9316089707040896E-2</v>
      </c>
      <c r="AI3611">
        <v>0.32353340000000003</v>
      </c>
      <c r="AJ3611">
        <f t="shared" si="131"/>
        <v>0.32353340000000003</v>
      </c>
      <c r="AO3611">
        <v>0.32353340000000003</v>
      </c>
      <c r="AR3611" s="8">
        <v>0</v>
      </c>
      <c r="AS3611">
        <v>0.28366350000000001</v>
      </c>
    </row>
    <row r="3612" spans="1:45" x14ac:dyDescent="0.25">
      <c r="A3612">
        <v>617</v>
      </c>
      <c r="B3612">
        <v>2003</v>
      </c>
      <c r="C3612" s="8">
        <v>0</v>
      </c>
      <c r="D3612">
        <v>0.30928919999999999</v>
      </c>
      <c r="E3612">
        <v>0.24485170000000001</v>
      </c>
      <c r="F3612">
        <v>2.6652200000000001E-2</v>
      </c>
      <c r="G3612">
        <v>0.52892950000000005</v>
      </c>
      <c r="H3612">
        <v>0.25888719999999998</v>
      </c>
      <c r="Q3612" s="10">
        <f t="shared" si="132"/>
        <v>2.4916765443472648E-2</v>
      </c>
      <c r="AI3612">
        <v>0.34911730000000002</v>
      </c>
      <c r="AJ3612">
        <f t="shared" si="131"/>
        <v>0.34911730000000002</v>
      </c>
      <c r="AO3612">
        <v>0.34911730000000002</v>
      </c>
      <c r="AR3612" s="8">
        <v>0</v>
      </c>
      <c r="AS3612">
        <v>0.56773660000000004</v>
      </c>
    </row>
    <row r="3613" spans="1:45" x14ac:dyDescent="0.25">
      <c r="A3613">
        <v>617</v>
      </c>
      <c r="B3613">
        <v>2004</v>
      </c>
      <c r="C3613" s="8">
        <v>0</v>
      </c>
      <c r="D3613">
        <v>0.32353340000000003</v>
      </c>
      <c r="E3613">
        <v>0.2296774</v>
      </c>
      <c r="F3613">
        <v>6.8021000000000002E-3</v>
      </c>
      <c r="G3613">
        <v>0.73939480000000002</v>
      </c>
      <c r="H3613">
        <v>0.3078591</v>
      </c>
      <c r="Q3613" s="10">
        <f t="shared" si="132"/>
        <v>2.2198526599890352E-2</v>
      </c>
      <c r="AI3613">
        <v>0.35333059999999999</v>
      </c>
      <c r="AJ3613">
        <f t="shared" si="131"/>
        <v>0.35333059999999999</v>
      </c>
      <c r="AO3613">
        <v>0.35333059999999999</v>
      </c>
      <c r="AR3613" s="8">
        <v>0</v>
      </c>
      <c r="AS3613">
        <v>0.5168121</v>
      </c>
    </row>
    <row r="3614" spans="1:45" x14ac:dyDescent="0.25">
      <c r="A3614">
        <v>618</v>
      </c>
      <c r="B3614">
        <v>1995</v>
      </c>
      <c r="C3614" s="8">
        <v>0</v>
      </c>
      <c r="D3614">
        <v>0.34911730000000002</v>
      </c>
      <c r="E3614">
        <v>0.39633750000000001</v>
      </c>
      <c r="F3614">
        <v>6.4956399999999997E-2</v>
      </c>
      <c r="G3614">
        <v>2.4692440000000002</v>
      </c>
      <c r="H3614">
        <v>0.43444519999999998</v>
      </c>
      <c r="Q3614" s="10">
        <f t="shared" si="132"/>
        <v>7.7612891931062996E-4</v>
      </c>
      <c r="AI3614">
        <v>0.25437300000000002</v>
      </c>
      <c r="AJ3614">
        <f t="shared" si="131"/>
        <v>0.25437300000000002</v>
      </c>
      <c r="AO3614">
        <v>0.25437300000000002</v>
      </c>
      <c r="AR3614" s="8">
        <v>0</v>
      </c>
      <c r="AS3614">
        <v>0.52892950000000005</v>
      </c>
    </row>
    <row r="3615" spans="1:45" x14ac:dyDescent="0.25">
      <c r="A3615">
        <v>618</v>
      </c>
      <c r="B3615">
        <v>1996</v>
      </c>
      <c r="C3615" s="8">
        <v>0</v>
      </c>
      <c r="D3615">
        <v>0.35333059999999999</v>
      </c>
      <c r="E3615">
        <v>0.42044799999999999</v>
      </c>
      <c r="F3615">
        <v>8.2797800000000005E-2</v>
      </c>
      <c r="G3615">
        <v>2.7519</v>
      </c>
      <c r="H3615">
        <v>0.44701590000000002</v>
      </c>
      <c r="Q3615" s="10">
        <f t="shared" si="132"/>
        <v>4.1821786516379539E-4</v>
      </c>
      <c r="AI3615">
        <v>0.23510519999999999</v>
      </c>
      <c r="AJ3615">
        <f t="shared" si="131"/>
        <v>0.23510519999999999</v>
      </c>
      <c r="AO3615">
        <v>0.23510519999999999</v>
      </c>
      <c r="AR3615" s="8">
        <v>0</v>
      </c>
      <c r="AS3615">
        <v>0.73939480000000002</v>
      </c>
    </row>
    <row r="3616" spans="1:45" x14ac:dyDescent="0.25">
      <c r="A3616">
        <v>618</v>
      </c>
      <c r="B3616">
        <v>1997</v>
      </c>
      <c r="C3616" s="8">
        <v>0</v>
      </c>
      <c r="D3616">
        <v>0.25437300000000002</v>
      </c>
      <c r="E3616">
        <v>0.3086372</v>
      </c>
      <c r="F3616">
        <v>6.4825599999999997E-2</v>
      </c>
      <c r="G3616">
        <v>3.6593369999999998</v>
      </c>
      <c r="H3616">
        <v>0.42639490000000002</v>
      </c>
      <c r="Q3616" s="10">
        <f t="shared" si="132"/>
        <v>1.2681848817168066E-4</v>
      </c>
      <c r="AI3616">
        <v>0.2352629</v>
      </c>
      <c r="AJ3616">
        <f t="shared" si="131"/>
        <v>0.2352629</v>
      </c>
      <c r="AO3616">
        <v>0.2352629</v>
      </c>
      <c r="AR3616" s="8">
        <v>0</v>
      </c>
      <c r="AS3616">
        <v>2.4692440000000002</v>
      </c>
    </row>
    <row r="3617" spans="1:45" x14ac:dyDescent="0.25">
      <c r="A3617">
        <v>618</v>
      </c>
      <c r="B3617">
        <v>1998</v>
      </c>
      <c r="C3617" s="8">
        <v>0</v>
      </c>
      <c r="D3617">
        <v>0.23510519999999999</v>
      </c>
      <c r="E3617">
        <v>0.30799090000000001</v>
      </c>
      <c r="F3617">
        <v>6.3584500000000002E-2</v>
      </c>
      <c r="G3617">
        <v>1.981382</v>
      </c>
      <c r="H3617">
        <v>0.38394869999999998</v>
      </c>
      <c r="Q3617" s="10">
        <f t="shared" si="132"/>
        <v>1.7930019048176342E-3</v>
      </c>
      <c r="AI3617">
        <v>0.23811640000000001</v>
      </c>
      <c r="AJ3617">
        <f t="shared" si="131"/>
        <v>0.23811640000000001</v>
      </c>
      <c r="AO3617">
        <v>0.23811640000000001</v>
      </c>
      <c r="AR3617" s="8">
        <v>0</v>
      </c>
      <c r="AS3617">
        <v>2.7519</v>
      </c>
    </row>
    <row r="3618" spans="1:45" x14ac:dyDescent="0.25">
      <c r="A3618">
        <v>618</v>
      </c>
      <c r="B3618">
        <v>1999</v>
      </c>
      <c r="C3618" s="8">
        <v>0</v>
      </c>
      <c r="D3618">
        <v>0.2352629</v>
      </c>
      <c r="E3618">
        <v>0.36767240000000001</v>
      </c>
      <c r="F3618">
        <v>6.0595700000000002E-2</v>
      </c>
      <c r="G3618">
        <v>2.3590420000000001</v>
      </c>
      <c r="H3618">
        <v>0.39380579999999998</v>
      </c>
      <c r="Q3618" s="10">
        <f t="shared" si="132"/>
        <v>9.2887901834493144E-4</v>
      </c>
      <c r="AI3618">
        <v>0.17852799999999999</v>
      </c>
      <c r="AJ3618">
        <f t="shared" si="131"/>
        <v>0.17852799999999999</v>
      </c>
      <c r="AO3618">
        <v>0.17852799999999999</v>
      </c>
      <c r="AR3618" s="8">
        <v>0</v>
      </c>
      <c r="AS3618">
        <v>3.6593369999999998</v>
      </c>
    </row>
    <row r="3619" spans="1:45" x14ac:dyDescent="0.25">
      <c r="A3619">
        <v>618</v>
      </c>
      <c r="B3619">
        <v>2000</v>
      </c>
      <c r="C3619" s="8">
        <v>0</v>
      </c>
      <c r="D3619">
        <v>0.23811640000000001</v>
      </c>
      <c r="E3619">
        <v>0.41483560000000003</v>
      </c>
      <c r="F3619">
        <v>8.0760200000000004E-2</v>
      </c>
      <c r="G3619">
        <v>2.357901</v>
      </c>
      <c r="H3619">
        <v>0.37899149999999998</v>
      </c>
      <c r="Q3619" s="10">
        <f t="shared" si="132"/>
        <v>7.337149212569208E-4</v>
      </c>
      <c r="AI3619">
        <v>0.2440872</v>
      </c>
      <c r="AJ3619">
        <f t="shared" si="131"/>
        <v>0.2440872</v>
      </c>
      <c r="AO3619">
        <v>0.2440872</v>
      </c>
      <c r="AR3619" s="8">
        <v>0</v>
      </c>
      <c r="AS3619">
        <v>1.981382</v>
      </c>
    </row>
    <row r="3620" spans="1:45" x14ac:dyDescent="0.25">
      <c r="A3620">
        <v>618</v>
      </c>
      <c r="B3620">
        <v>2001</v>
      </c>
      <c r="C3620" s="8">
        <v>0</v>
      </c>
      <c r="D3620">
        <v>0.17852799999999999</v>
      </c>
      <c r="E3620">
        <v>0.54402220000000001</v>
      </c>
      <c r="F3620">
        <v>8.2282300000000003E-2</v>
      </c>
      <c r="G3620">
        <v>3.2878029999999998</v>
      </c>
      <c r="H3620">
        <v>0.33888360000000001</v>
      </c>
      <c r="Q3620" s="10">
        <f t="shared" si="132"/>
        <v>1.2996614551743E-4</v>
      </c>
      <c r="AI3620">
        <v>0.2121596</v>
      </c>
      <c r="AJ3620">
        <f t="shared" si="131"/>
        <v>0.2121596</v>
      </c>
      <c r="AO3620">
        <v>0.2121596</v>
      </c>
      <c r="AR3620" s="8">
        <v>0</v>
      </c>
      <c r="AS3620">
        <v>2.3590420000000001</v>
      </c>
    </row>
    <row r="3621" spans="1:45" x14ac:dyDescent="0.25">
      <c r="A3621">
        <v>618</v>
      </c>
      <c r="B3621">
        <v>2002</v>
      </c>
      <c r="C3621" s="8">
        <v>0</v>
      </c>
      <c r="D3621">
        <v>0.2440872</v>
      </c>
      <c r="E3621">
        <v>0.49788680000000002</v>
      </c>
      <c r="F3621">
        <v>5.7183199999999997E-2</v>
      </c>
      <c r="G3621">
        <v>2.1640809999999999</v>
      </c>
      <c r="H3621">
        <v>0.28962379999999999</v>
      </c>
      <c r="Q3621" s="10">
        <f t="shared" si="132"/>
        <v>1.0139789189346168E-3</v>
      </c>
      <c r="AI3621">
        <v>0.2154536</v>
      </c>
      <c r="AJ3621">
        <f t="shared" si="131"/>
        <v>0.2154536</v>
      </c>
      <c r="AO3621">
        <v>0.2154536</v>
      </c>
      <c r="AR3621" s="8">
        <v>0</v>
      </c>
      <c r="AS3621">
        <v>2.357901</v>
      </c>
    </row>
    <row r="3622" spans="1:45" x14ac:dyDescent="0.25">
      <c r="A3622">
        <v>618</v>
      </c>
      <c r="B3622">
        <v>2003</v>
      </c>
      <c r="C3622" s="8">
        <v>0</v>
      </c>
      <c r="D3622">
        <v>0.2121596</v>
      </c>
      <c r="E3622">
        <v>0.49035139999999999</v>
      </c>
      <c r="F3622">
        <v>6.4847000000000002E-2</v>
      </c>
      <c r="G3622">
        <v>1.994019</v>
      </c>
      <c r="H3622">
        <v>0.32162600000000002</v>
      </c>
      <c r="Q3622" s="10">
        <f t="shared" si="132"/>
        <v>1.2723791458542542E-3</v>
      </c>
      <c r="AI3622">
        <v>0.34776459999999998</v>
      </c>
      <c r="AJ3622">
        <f t="shared" si="131"/>
        <v>0.34776459999999998</v>
      </c>
      <c r="AO3622">
        <v>0.34776459999999998</v>
      </c>
      <c r="AR3622" s="8">
        <v>0</v>
      </c>
      <c r="AS3622">
        <v>3.2878029999999998</v>
      </c>
    </row>
    <row r="3623" spans="1:45" x14ac:dyDescent="0.25">
      <c r="A3623">
        <v>618</v>
      </c>
      <c r="B3623">
        <v>2004</v>
      </c>
      <c r="C3623" s="8">
        <v>0</v>
      </c>
      <c r="D3623">
        <v>0.2154536</v>
      </c>
      <c r="E3623">
        <v>0.54311149999999997</v>
      </c>
      <c r="F3623">
        <v>6.4734E-2</v>
      </c>
      <c r="G3623">
        <v>2.5056910000000001</v>
      </c>
      <c r="H3623">
        <v>0.30652620000000003</v>
      </c>
      <c r="Q3623" s="10">
        <f t="shared" si="132"/>
        <v>5.1811547747557089E-4</v>
      </c>
      <c r="AI3623">
        <v>-0.115107</v>
      </c>
      <c r="AJ3623">
        <f t="shared" si="131"/>
        <v>-0.113345184</v>
      </c>
      <c r="AO3623">
        <v>-0.113345184</v>
      </c>
      <c r="AR3623" s="8">
        <v>0</v>
      </c>
      <c r="AS3623">
        <v>2.1640809999999999</v>
      </c>
    </row>
    <row r="3624" spans="1:45" x14ac:dyDescent="0.25">
      <c r="A3624">
        <v>619</v>
      </c>
      <c r="B3624">
        <v>1995</v>
      </c>
      <c r="C3624" s="8">
        <v>0</v>
      </c>
      <c r="D3624">
        <v>0.34776459999999998</v>
      </c>
      <c r="E3624">
        <v>2.8606699999999999E-2</v>
      </c>
      <c r="F3624">
        <v>8.1103400000000006E-2</v>
      </c>
      <c r="G3624">
        <v>3.311404</v>
      </c>
      <c r="H3624">
        <v>0.25483749999999999</v>
      </c>
      <c r="Q3624" s="10">
        <f t="shared" si="132"/>
        <v>2.7216860805909812E-4</v>
      </c>
      <c r="AI3624">
        <v>0.25682339999999998</v>
      </c>
      <c r="AJ3624">
        <f t="shared" si="131"/>
        <v>0.25682339999999998</v>
      </c>
      <c r="AO3624">
        <v>0.25682339999999998</v>
      </c>
      <c r="AR3624" s="8">
        <v>0</v>
      </c>
      <c r="AS3624">
        <v>1.994019</v>
      </c>
    </row>
    <row r="3625" spans="1:45" x14ac:dyDescent="0.25">
      <c r="A3625">
        <v>620</v>
      </c>
      <c r="B3625">
        <v>1995</v>
      </c>
      <c r="C3625" s="8">
        <v>0</v>
      </c>
      <c r="D3625">
        <v>-0.115107</v>
      </c>
      <c r="E3625">
        <v>2.9238900000000002E-2</v>
      </c>
      <c r="F3625">
        <v>3.7574299999999998E-2</v>
      </c>
      <c r="G3625">
        <v>0.59971540000000001</v>
      </c>
      <c r="H3625">
        <v>0.47764040000000002</v>
      </c>
      <c r="Q3625" s="10">
        <f t="shared" si="132"/>
        <v>2.6754116830475461E-2</v>
      </c>
      <c r="AI3625">
        <v>0.24322669999999999</v>
      </c>
      <c r="AJ3625">
        <f t="shared" si="131"/>
        <v>0.24322669999999999</v>
      </c>
      <c r="AO3625">
        <v>0.24322669999999999</v>
      </c>
      <c r="AR3625" s="8">
        <v>0</v>
      </c>
      <c r="AS3625">
        <v>2.5056910000000001</v>
      </c>
    </row>
    <row r="3626" spans="1:45" x14ac:dyDescent="0.25">
      <c r="A3626">
        <v>621</v>
      </c>
      <c r="B3626">
        <v>1995</v>
      </c>
      <c r="C3626" s="8">
        <v>0</v>
      </c>
      <c r="D3626">
        <v>0.25682339999999998</v>
      </c>
      <c r="E3626">
        <v>-0.1999059</v>
      </c>
      <c r="F3626">
        <v>4.2226600000000003E-2</v>
      </c>
      <c r="G3626">
        <v>1.397186</v>
      </c>
      <c r="H3626">
        <v>0.34109929999999999</v>
      </c>
      <c r="Q3626" s="10">
        <f t="shared" si="132"/>
        <v>1.0994363820771305E-2</v>
      </c>
      <c r="AI3626">
        <v>0.20264599999999999</v>
      </c>
      <c r="AJ3626">
        <f t="shared" si="131"/>
        <v>0.20264599999999999</v>
      </c>
      <c r="AO3626">
        <v>0.20264599999999999</v>
      </c>
      <c r="AR3626" s="8">
        <v>0</v>
      </c>
      <c r="AS3626">
        <v>3.311404</v>
      </c>
    </row>
    <row r="3627" spans="1:45" x14ac:dyDescent="0.25">
      <c r="A3627">
        <v>622</v>
      </c>
      <c r="B3627">
        <v>1995</v>
      </c>
      <c r="C3627" s="8">
        <v>0</v>
      </c>
      <c r="D3627">
        <v>0.24322669999999999</v>
      </c>
      <c r="E3627">
        <v>0.14765919999999999</v>
      </c>
      <c r="F3627">
        <v>6.7526000000000003E-2</v>
      </c>
      <c r="G3627">
        <v>0.82455080000000003</v>
      </c>
      <c r="H3627">
        <v>0.62291969999999997</v>
      </c>
      <c r="Q3627" s="10">
        <f t="shared" si="132"/>
        <v>1.5898695088861069E-2</v>
      </c>
      <c r="AI3627">
        <v>0.22311549999999999</v>
      </c>
      <c r="AJ3627">
        <f t="shared" si="131"/>
        <v>0.22311549999999999</v>
      </c>
      <c r="AO3627">
        <v>0.22311549999999999</v>
      </c>
      <c r="AR3627" s="8">
        <v>0</v>
      </c>
      <c r="AS3627">
        <v>0.59971540000000001</v>
      </c>
    </row>
    <row r="3628" spans="1:45" x14ac:dyDescent="0.25">
      <c r="A3628">
        <v>623</v>
      </c>
      <c r="B3628">
        <v>1995</v>
      </c>
      <c r="C3628" s="8">
        <v>0</v>
      </c>
      <c r="D3628">
        <v>0.20264599999999999</v>
      </c>
      <c r="E3628">
        <v>0.24530750000000001</v>
      </c>
      <c r="F3628">
        <v>3.7505999999999998E-2</v>
      </c>
      <c r="G3628">
        <v>0.3104073</v>
      </c>
      <c r="H3628">
        <v>0.26125029999999999</v>
      </c>
      <c r="Q3628" s="10">
        <f t="shared" si="132"/>
        <v>3.0799978443134677E-2</v>
      </c>
      <c r="AI3628">
        <v>0.23801620000000001</v>
      </c>
      <c r="AJ3628">
        <f t="shared" si="131"/>
        <v>0.23801620000000001</v>
      </c>
      <c r="AO3628">
        <v>0.23801620000000001</v>
      </c>
      <c r="AR3628" s="8">
        <v>0</v>
      </c>
      <c r="AS3628">
        <v>1.397186</v>
      </c>
    </row>
    <row r="3629" spans="1:45" x14ac:dyDescent="0.25">
      <c r="A3629">
        <v>623</v>
      </c>
      <c r="B3629">
        <v>1996</v>
      </c>
      <c r="C3629" s="8">
        <v>0</v>
      </c>
      <c r="D3629">
        <v>0.22311549999999999</v>
      </c>
      <c r="E3629">
        <v>0.26335350000000002</v>
      </c>
      <c r="F3629">
        <v>5.7480299999999998E-2</v>
      </c>
      <c r="G3629">
        <v>0.450268</v>
      </c>
      <c r="H3629">
        <v>0.27493119999999999</v>
      </c>
      <c r="Q3629" s="10">
        <f t="shared" si="132"/>
        <v>2.1022974416851432E-2</v>
      </c>
      <c r="AI3629">
        <v>0.2575923</v>
      </c>
      <c r="AJ3629">
        <f t="shared" si="131"/>
        <v>0.2575923</v>
      </c>
      <c r="AO3629">
        <v>0.2575923</v>
      </c>
      <c r="AR3629" s="8">
        <v>0</v>
      </c>
      <c r="AS3629">
        <v>0.82455080000000003</v>
      </c>
    </row>
    <row r="3630" spans="1:45" x14ac:dyDescent="0.25">
      <c r="A3630">
        <v>623</v>
      </c>
      <c r="B3630">
        <v>1997</v>
      </c>
      <c r="C3630" s="8">
        <v>0</v>
      </c>
      <c r="D3630">
        <v>0.23801620000000001</v>
      </c>
      <c r="E3630">
        <v>0.28070260000000002</v>
      </c>
      <c r="F3630">
        <v>3.9550099999999998E-2</v>
      </c>
      <c r="G3630">
        <v>0.68309770000000003</v>
      </c>
      <c r="H3630">
        <v>0.29040050000000001</v>
      </c>
      <c r="Q3630" s="10">
        <f t="shared" si="132"/>
        <v>1.6659608820519211E-2</v>
      </c>
      <c r="AI3630">
        <v>0.2533474</v>
      </c>
      <c r="AJ3630">
        <f t="shared" si="131"/>
        <v>0.2533474</v>
      </c>
      <c r="AO3630">
        <v>0.2533474</v>
      </c>
      <c r="AR3630" s="8">
        <v>0</v>
      </c>
      <c r="AS3630">
        <v>0.3104073</v>
      </c>
    </row>
    <row r="3631" spans="1:45" x14ac:dyDescent="0.25">
      <c r="A3631">
        <v>623</v>
      </c>
      <c r="B3631">
        <v>1998</v>
      </c>
      <c r="C3631" s="8">
        <v>0</v>
      </c>
      <c r="D3631">
        <v>0.2575923</v>
      </c>
      <c r="E3631">
        <v>0.30009950000000002</v>
      </c>
      <c r="F3631">
        <v>3.11741E-2</v>
      </c>
      <c r="G3631">
        <v>0.71655219999999997</v>
      </c>
      <c r="H3631">
        <v>0.30612990000000001</v>
      </c>
      <c r="Q3631" s="10">
        <f t="shared" si="132"/>
        <v>1.6714475596793774E-2</v>
      </c>
      <c r="AI3631">
        <v>0.2472163</v>
      </c>
      <c r="AJ3631">
        <f t="shared" si="131"/>
        <v>0.2472163</v>
      </c>
      <c r="AO3631">
        <v>0.2472163</v>
      </c>
      <c r="AR3631" s="8">
        <v>0</v>
      </c>
      <c r="AS3631">
        <v>0.450268</v>
      </c>
    </row>
    <row r="3632" spans="1:45" x14ac:dyDescent="0.25">
      <c r="A3632">
        <v>623</v>
      </c>
      <c r="B3632">
        <v>1999</v>
      </c>
      <c r="C3632" s="8">
        <v>0</v>
      </c>
      <c r="D3632">
        <v>0.2533474</v>
      </c>
      <c r="E3632">
        <v>0.2966782</v>
      </c>
      <c r="F3632">
        <v>3.5922999999999997E-2</v>
      </c>
      <c r="G3632">
        <v>0.60530720000000005</v>
      </c>
      <c r="H3632">
        <v>0.29531499999999999</v>
      </c>
      <c r="Q3632" s="10">
        <f t="shared" si="132"/>
        <v>1.9099321871584207E-2</v>
      </c>
      <c r="AI3632">
        <v>0.3014481</v>
      </c>
      <c r="AJ3632">
        <f t="shared" si="131"/>
        <v>0.3014481</v>
      </c>
      <c r="AO3632">
        <v>0.3014481</v>
      </c>
      <c r="AR3632" s="8">
        <v>0</v>
      </c>
      <c r="AS3632">
        <v>0.68309770000000003</v>
      </c>
    </row>
    <row r="3633" spans="1:45" x14ac:dyDescent="0.25">
      <c r="A3633">
        <v>623</v>
      </c>
      <c r="B3633">
        <v>2000</v>
      </c>
      <c r="C3633" s="8">
        <v>0</v>
      </c>
      <c r="D3633">
        <v>0.2472163</v>
      </c>
      <c r="E3633">
        <v>0.29377819999999999</v>
      </c>
      <c r="F3633">
        <v>4.9697499999999999E-2</v>
      </c>
      <c r="G3633">
        <v>0.4435212</v>
      </c>
      <c r="H3633">
        <v>0.30451410000000001</v>
      </c>
      <c r="Q3633" s="10">
        <f t="shared" si="132"/>
        <v>2.2230617116565543E-2</v>
      </c>
      <c r="AI3633">
        <v>0.29213670000000003</v>
      </c>
      <c r="AJ3633">
        <f t="shared" si="131"/>
        <v>0.29213670000000003</v>
      </c>
      <c r="AO3633">
        <v>0.29213670000000003</v>
      </c>
      <c r="AR3633" s="8">
        <v>0</v>
      </c>
      <c r="AS3633">
        <v>0.71655219999999997</v>
      </c>
    </row>
    <row r="3634" spans="1:45" x14ac:dyDescent="0.25">
      <c r="A3634">
        <v>623</v>
      </c>
      <c r="B3634">
        <v>2001</v>
      </c>
      <c r="C3634" s="8">
        <v>0</v>
      </c>
      <c r="D3634">
        <v>0.3014481</v>
      </c>
      <c r="E3634">
        <v>0.2753891</v>
      </c>
      <c r="F3634">
        <v>2.4592800000000001E-2</v>
      </c>
      <c r="G3634">
        <v>0.4465286</v>
      </c>
      <c r="H3634">
        <v>0.27191539999999997</v>
      </c>
      <c r="Q3634" s="10">
        <f t="shared" si="132"/>
        <v>2.7685444641792185E-2</v>
      </c>
      <c r="AI3634">
        <v>0.36555209999999999</v>
      </c>
      <c r="AJ3634">
        <f t="shared" si="131"/>
        <v>0.36555209999999999</v>
      </c>
      <c r="AO3634">
        <v>0.36555209999999999</v>
      </c>
      <c r="AR3634" s="8">
        <v>0</v>
      </c>
      <c r="AS3634">
        <v>0.60530720000000005</v>
      </c>
    </row>
    <row r="3635" spans="1:45" x14ac:dyDescent="0.25">
      <c r="A3635">
        <v>623</v>
      </c>
      <c r="B3635">
        <v>2002</v>
      </c>
      <c r="C3635" s="8">
        <v>0</v>
      </c>
      <c r="D3635">
        <v>0.29213670000000003</v>
      </c>
      <c r="E3635">
        <v>0.17451130000000001</v>
      </c>
      <c r="F3635">
        <v>3.4021599999999999E-2</v>
      </c>
      <c r="G3635">
        <v>0.3563714</v>
      </c>
      <c r="H3635">
        <v>0.25983450000000002</v>
      </c>
      <c r="Q3635" s="10">
        <f t="shared" si="132"/>
        <v>3.3725717038679423E-2</v>
      </c>
      <c r="AI3635">
        <v>2.1335E-2</v>
      </c>
      <c r="AJ3635">
        <f t="shared" si="131"/>
        <v>2.1335E-2</v>
      </c>
      <c r="AO3635">
        <v>2.1335E-2</v>
      </c>
      <c r="AR3635" s="8">
        <v>0</v>
      </c>
      <c r="AS3635">
        <v>0.4435212</v>
      </c>
    </row>
    <row r="3636" spans="1:45" x14ac:dyDescent="0.25">
      <c r="A3636">
        <v>623</v>
      </c>
      <c r="B3636">
        <v>2004</v>
      </c>
      <c r="C3636" s="8">
        <v>0</v>
      </c>
      <c r="D3636">
        <v>0.36555209999999999</v>
      </c>
      <c r="E3636">
        <v>0.25389390000000001</v>
      </c>
      <c r="F3636">
        <v>4.5864000000000002E-2</v>
      </c>
      <c r="G3636">
        <v>0.53665300000000005</v>
      </c>
      <c r="H3636">
        <v>0.26364850000000001</v>
      </c>
      <c r="Q3636" s="10">
        <f t="shared" si="132"/>
        <v>2.1460476028363228E-2</v>
      </c>
      <c r="AI3636">
        <v>-2.6633799999999999E-2</v>
      </c>
      <c r="AJ3636">
        <f t="shared" si="131"/>
        <v>-2.6633799999999999E-2</v>
      </c>
      <c r="AO3636">
        <v>-2.6633799999999999E-2</v>
      </c>
      <c r="AR3636" s="8">
        <v>0</v>
      </c>
      <c r="AS3636">
        <v>0.4465286</v>
      </c>
    </row>
    <row r="3637" spans="1:45" x14ac:dyDescent="0.25">
      <c r="A3637">
        <v>624</v>
      </c>
      <c r="B3637">
        <v>1995</v>
      </c>
      <c r="C3637" s="8">
        <v>0</v>
      </c>
      <c r="D3637">
        <v>2.1335E-2</v>
      </c>
      <c r="E3637">
        <v>0.31518420000000003</v>
      </c>
      <c r="F3637">
        <v>4.1044600000000001E-2</v>
      </c>
      <c r="G3637">
        <v>0.61519800000000002</v>
      </c>
      <c r="H3637">
        <v>0.42465009999999997</v>
      </c>
      <c r="Q3637" s="10">
        <f t="shared" si="132"/>
        <v>1.7319528844116649E-2</v>
      </c>
      <c r="AI3637">
        <v>-2.6603700000000001E-2</v>
      </c>
      <c r="AJ3637">
        <f t="shared" si="131"/>
        <v>-2.6603700000000001E-2</v>
      </c>
      <c r="AO3637">
        <v>-2.6603700000000001E-2</v>
      </c>
      <c r="AR3637" s="8">
        <v>0</v>
      </c>
      <c r="AS3637">
        <v>0.3563714</v>
      </c>
    </row>
    <row r="3638" spans="1:45" x14ac:dyDescent="0.25">
      <c r="A3638">
        <v>624</v>
      </c>
      <c r="B3638">
        <v>1996</v>
      </c>
      <c r="C3638" s="8">
        <v>0</v>
      </c>
      <c r="D3638">
        <v>-2.6633799999999999E-2</v>
      </c>
      <c r="E3638">
        <v>0.2886146</v>
      </c>
      <c r="F3638">
        <v>2.0030599999999999E-2</v>
      </c>
      <c r="G3638">
        <v>0.53859210000000002</v>
      </c>
      <c r="H3638">
        <v>0.54913860000000003</v>
      </c>
      <c r="Q3638" s="10">
        <f t="shared" si="132"/>
        <v>2.5274116173589687E-2</v>
      </c>
      <c r="AI3638">
        <v>-1.7530199999999999E-2</v>
      </c>
      <c r="AJ3638">
        <f t="shared" si="131"/>
        <v>-1.7530199999999999E-2</v>
      </c>
      <c r="AO3638">
        <v>-1.7530199999999999E-2</v>
      </c>
      <c r="AR3638" s="8">
        <v>0</v>
      </c>
      <c r="AS3638">
        <v>0.53665300000000005</v>
      </c>
    </row>
    <row r="3639" spans="1:45" x14ac:dyDescent="0.25">
      <c r="A3639">
        <v>624</v>
      </c>
      <c r="B3639">
        <v>1997</v>
      </c>
      <c r="C3639" s="8">
        <v>0</v>
      </c>
      <c r="D3639">
        <v>-2.6603700000000001E-2</v>
      </c>
      <c r="E3639">
        <v>0.34201369999999998</v>
      </c>
      <c r="F3639">
        <v>3.16402E-2</v>
      </c>
      <c r="G3639">
        <v>0.95814969999999999</v>
      </c>
      <c r="H3639">
        <v>0.49280170000000001</v>
      </c>
      <c r="Q3639" s="10">
        <f t="shared" si="132"/>
        <v>1.0703852539917916E-2</v>
      </c>
      <c r="AI3639">
        <v>-2.8759900000000001E-2</v>
      </c>
      <c r="AJ3639">
        <f t="shared" si="131"/>
        <v>-2.8759900000000001E-2</v>
      </c>
      <c r="AO3639">
        <v>-2.8759900000000001E-2</v>
      </c>
      <c r="AR3639" s="8">
        <v>0</v>
      </c>
      <c r="AS3639">
        <v>0.61519800000000002</v>
      </c>
    </row>
    <row r="3640" spans="1:45" x14ac:dyDescent="0.25">
      <c r="A3640">
        <v>624</v>
      </c>
      <c r="B3640">
        <v>1998</v>
      </c>
      <c r="C3640" s="8">
        <v>0</v>
      </c>
      <c r="D3640">
        <v>-1.7530199999999999E-2</v>
      </c>
      <c r="E3640">
        <v>0.3706738</v>
      </c>
      <c r="F3640">
        <v>4.8782800000000001E-2</v>
      </c>
      <c r="G3640">
        <v>1.0486</v>
      </c>
      <c r="H3640">
        <v>0.3717898</v>
      </c>
      <c r="Q3640" s="10">
        <f t="shared" si="132"/>
        <v>7.2421999115898483E-3</v>
      </c>
      <c r="AI3640">
        <v>4.1812200000000001E-2</v>
      </c>
      <c r="AJ3640">
        <f t="shared" si="131"/>
        <v>4.1812200000000001E-2</v>
      </c>
      <c r="AO3640">
        <v>4.1812200000000001E-2</v>
      </c>
      <c r="AR3640" s="8">
        <v>0</v>
      </c>
      <c r="AS3640">
        <v>0.53859210000000002</v>
      </c>
    </row>
    <row r="3641" spans="1:45" x14ac:dyDescent="0.25">
      <c r="A3641">
        <v>624</v>
      </c>
      <c r="B3641">
        <v>1999</v>
      </c>
      <c r="C3641" s="8">
        <v>0</v>
      </c>
      <c r="D3641">
        <v>-2.8759900000000001E-2</v>
      </c>
      <c r="E3641">
        <v>0.33244030000000002</v>
      </c>
      <c r="F3641">
        <v>2.3721200000000001E-2</v>
      </c>
      <c r="G3641">
        <v>0.58566680000000004</v>
      </c>
      <c r="H3641">
        <v>0.54588510000000001</v>
      </c>
      <c r="Q3641" s="10">
        <f t="shared" si="132"/>
        <v>2.1383179334548995E-2</v>
      </c>
      <c r="AI3641">
        <v>-2.0617099999999999E-2</v>
      </c>
      <c r="AJ3641">
        <f t="shared" si="131"/>
        <v>-2.0617099999999999E-2</v>
      </c>
      <c r="AO3641">
        <v>-2.0617099999999999E-2</v>
      </c>
      <c r="AR3641" s="8">
        <v>0</v>
      </c>
      <c r="AS3641">
        <v>0.95814969999999999</v>
      </c>
    </row>
    <row r="3642" spans="1:45" x14ac:dyDescent="0.25">
      <c r="A3642">
        <v>624</v>
      </c>
      <c r="B3642">
        <v>2000</v>
      </c>
      <c r="C3642" s="8">
        <v>0</v>
      </c>
      <c r="D3642">
        <v>4.1812200000000001E-2</v>
      </c>
      <c r="E3642">
        <v>0.3869785</v>
      </c>
      <c r="F3642">
        <v>6.7379099999999997E-2</v>
      </c>
      <c r="G3642">
        <v>0.79729410000000001</v>
      </c>
      <c r="H3642">
        <v>0.63090999999999997</v>
      </c>
      <c r="Q3642" s="10">
        <f t="shared" si="132"/>
        <v>1.0907156640355927E-2</v>
      </c>
      <c r="AI3642">
        <v>4.50049E-2</v>
      </c>
      <c r="AJ3642">
        <f t="shared" si="131"/>
        <v>4.50049E-2</v>
      </c>
      <c r="AO3642">
        <v>4.50049E-2</v>
      </c>
      <c r="AR3642" s="8">
        <v>0</v>
      </c>
      <c r="AS3642">
        <v>1.0486</v>
      </c>
    </row>
    <row r="3643" spans="1:45" x14ac:dyDescent="0.25">
      <c r="A3643">
        <v>624</v>
      </c>
      <c r="B3643">
        <v>2001</v>
      </c>
      <c r="C3643" s="8">
        <v>0</v>
      </c>
      <c r="D3643">
        <v>-2.0617099999999999E-2</v>
      </c>
      <c r="E3643">
        <v>0.41246189999999999</v>
      </c>
      <c r="F3643">
        <v>4.11283E-2</v>
      </c>
      <c r="G3643">
        <v>0.71600209999999997</v>
      </c>
      <c r="H3643">
        <v>0.45742939999999999</v>
      </c>
      <c r="Q3643" s="10">
        <f t="shared" si="132"/>
        <v>1.2890706528687308E-2</v>
      </c>
      <c r="AI3643">
        <v>3.11157E-2</v>
      </c>
      <c r="AJ3643">
        <f t="shared" si="131"/>
        <v>3.11157E-2</v>
      </c>
      <c r="AO3643">
        <v>3.11157E-2</v>
      </c>
      <c r="AR3643" s="8">
        <v>0</v>
      </c>
      <c r="AS3643">
        <v>0.58566680000000004</v>
      </c>
    </row>
    <row r="3644" spans="1:45" x14ac:dyDescent="0.25">
      <c r="A3644">
        <v>624</v>
      </c>
      <c r="B3644">
        <v>2002</v>
      </c>
      <c r="C3644" s="8">
        <v>0</v>
      </c>
      <c r="D3644">
        <v>4.50049E-2</v>
      </c>
      <c r="E3644">
        <v>0.31621840000000001</v>
      </c>
      <c r="F3644">
        <v>6.7466200000000004E-2</v>
      </c>
      <c r="G3644">
        <v>0.52409609999999995</v>
      </c>
      <c r="H3644">
        <v>0.60082400000000002</v>
      </c>
      <c r="Q3644" s="10">
        <f t="shared" si="132"/>
        <v>1.821486860519381E-2</v>
      </c>
      <c r="AI3644">
        <v>-3.0570199999999999E-2</v>
      </c>
      <c r="AJ3644">
        <f t="shared" si="131"/>
        <v>-3.0570199999999999E-2</v>
      </c>
      <c r="AO3644">
        <v>-3.0570199999999999E-2</v>
      </c>
      <c r="AR3644" s="8">
        <v>0</v>
      </c>
      <c r="AS3644">
        <v>0.79729410000000001</v>
      </c>
    </row>
    <row r="3645" spans="1:45" x14ac:dyDescent="0.25">
      <c r="A3645">
        <v>624</v>
      </c>
      <c r="B3645">
        <v>2003</v>
      </c>
      <c r="C3645" s="8">
        <v>0</v>
      </c>
      <c r="D3645">
        <v>3.11157E-2</v>
      </c>
      <c r="E3645">
        <v>0.3572053</v>
      </c>
      <c r="F3645">
        <v>3.6897899999999997E-2</v>
      </c>
      <c r="G3645">
        <v>0.76752909999999996</v>
      </c>
      <c r="H3645">
        <v>0.60799449999999999</v>
      </c>
      <c r="Q3645" s="10">
        <f t="shared" si="132"/>
        <v>1.4898887781935899E-2</v>
      </c>
      <c r="AI3645">
        <v>0.2253975</v>
      </c>
      <c r="AJ3645">
        <f t="shared" si="131"/>
        <v>0.2253975</v>
      </c>
      <c r="AO3645">
        <v>0.2253975</v>
      </c>
      <c r="AR3645" s="8">
        <v>0</v>
      </c>
      <c r="AS3645">
        <v>0.71600209999999997</v>
      </c>
    </row>
    <row r="3646" spans="1:45" x14ac:dyDescent="0.25">
      <c r="A3646">
        <v>624</v>
      </c>
      <c r="B3646">
        <v>2004</v>
      </c>
      <c r="C3646" s="8">
        <v>0</v>
      </c>
      <c r="D3646">
        <v>-3.0570199999999999E-2</v>
      </c>
      <c r="E3646">
        <v>0.36474800000000002</v>
      </c>
      <c r="F3646">
        <v>6.5530699999999997E-2</v>
      </c>
      <c r="G3646">
        <v>0.96015200000000001</v>
      </c>
      <c r="H3646">
        <v>0.85902420000000002</v>
      </c>
      <c r="Q3646" s="10">
        <f t="shared" si="132"/>
        <v>9.869211038020782E-3</v>
      </c>
      <c r="AI3646">
        <v>0.28130129999999998</v>
      </c>
      <c r="AJ3646">
        <f t="shared" si="131"/>
        <v>0.28130129999999998</v>
      </c>
      <c r="AO3646">
        <v>0.28130129999999998</v>
      </c>
      <c r="AR3646" s="8">
        <v>0</v>
      </c>
      <c r="AS3646">
        <v>0.52409609999999995</v>
      </c>
    </row>
    <row r="3647" spans="1:45" x14ac:dyDescent="0.25">
      <c r="A3647">
        <v>625</v>
      </c>
      <c r="B3647">
        <v>1995</v>
      </c>
      <c r="C3647" s="8">
        <v>0</v>
      </c>
      <c r="D3647">
        <v>0.2253975</v>
      </c>
      <c r="E3647">
        <v>0.41559810000000003</v>
      </c>
      <c r="F3647">
        <v>8.1810999999999995E-2</v>
      </c>
      <c r="G3647">
        <v>1.994113</v>
      </c>
      <c r="H3647">
        <v>0.27647339999999998</v>
      </c>
      <c r="Q3647" s="10">
        <f t="shared" si="132"/>
        <v>1.2108236446326849E-3</v>
      </c>
      <c r="AI3647">
        <v>0.26913789999999999</v>
      </c>
      <c r="AJ3647">
        <f t="shared" si="131"/>
        <v>0.26913789999999999</v>
      </c>
      <c r="AO3647">
        <v>0.26913789999999999</v>
      </c>
      <c r="AR3647" s="8">
        <v>0</v>
      </c>
      <c r="AS3647">
        <v>0.76752909999999996</v>
      </c>
    </row>
    <row r="3648" spans="1:45" x14ac:dyDescent="0.25">
      <c r="A3648">
        <v>625</v>
      </c>
      <c r="B3648">
        <v>1996</v>
      </c>
      <c r="C3648" s="8">
        <v>0</v>
      </c>
      <c r="D3648">
        <v>0.28130129999999998</v>
      </c>
      <c r="E3648">
        <v>0.44795960000000001</v>
      </c>
      <c r="F3648">
        <v>9.03312E-2</v>
      </c>
      <c r="G3648">
        <v>2.4030330000000002</v>
      </c>
      <c r="H3648">
        <v>0.28880990000000001</v>
      </c>
      <c r="Q3648" s="10">
        <f t="shared" si="132"/>
        <v>5.8035391177051838E-4</v>
      </c>
      <c r="AI3648">
        <v>0.23044990000000001</v>
      </c>
      <c r="AJ3648">
        <f t="shared" si="131"/>
        <v>0.23044990000000001</v>
      </c>
      <c r="AO3648">
        <v>0.23044990000000001</v>
      </c>
      <c r="AR3648" s="8">
        <v>0</v>
      </c>
      <c r="AS3648">
        <v>0.96015200000000001</v>
      </c>
    </row>
    <row r="3649" spans="1:45" x14ac:dyDescent="0.25">
      <c r="A3649">
        <v>625</v>
      </c>
      <c r="B3649">
        <v>1997</v>
      </c>
      <c r="C3649" s="8">
        <v>0</v>
      </c>
      <c r="D3649">
        <v>0.26913789999999999</v>
      </c>
      <c r="E3649">
        <v>0.51131800000000005</v>
      </c>
      <c r="F3649">
        <v>9.0575100000000006E-2</v>
      </c>
      <c r="G3649">
        <v>2.5490539999999999</v>
      </c>
      <c r="H3649">
        <v>0.30306349999999999</v>
      </c>
      <c r="Q3649" s="10">
        <f t="shared" si="132"/>
        <v>4.2023644023021431E-4</v>
      </c>
      <c r="AI3649">
        <v>7.05485E-2</v>
      </c>
      <c r="AJ3649">
        <f t="shared" si="131"/>
        <v>7.05485E-2</v>
      </c>
      <c r="AO3649">
        <v>7.05485E-2</v>
      </c>
      <c r="AR3649" s="8">
        <v>0</v>
      </c>
      <c r="AS3649">
        <v>1.994113</v>
      </c>
    </row>
    <row r="3650" spans="1:45" x14ac:dyDescent="0.25">
      <c r="A3650">
        <v>625</v>
      </c>
      <c r="B3650">
        <v>1998</v>
      </c>
      <c r="C3650" s="8">
        <v>0</v>
      </c>
      <c r="D3650">
        <v>0.23044990000000001</v>
      </c>
      <c r="E3650">
        <v>0.56157670000000004</v>
      </c>
      <c r="F3650">
        <v>8.6639099999999997E-2</v>
      </c>
      <c r="G3650">
        <v>2.2849849999999998</v>
      </c>
      <c r="H3650">
        <v>0.32115149999999998</v>
      </c>
      <c r="Q3650" s="10">
        <f t="shared" si="132"/>
        <v>6.1095912267114983E-4</v>
      </c>
      <c r="AI3650">
        <v>9.0094199999999999E-2</v>
      </c>
      <c r="AJ3650">
        <f t="shared" si="131"/>
        <v>9.0094199999999999E-2</v>
      </c>
      <c r="AO3650">
        <v>9.0094199999999999E-2</v>
      </c>
      <c r="AR3650" s="8">
        <v>0</v>
      </c>
      <c r="AS3650">
        <v>2.4030330000000002</v>
      </c>
    </row>
    <row r="3651" spans="1:45" x14ac:dyDescent="0.25">
      <c r="A3651">
        <v>626</v>
      </c>
      <c r="B3651">
        <v>1995</v>
      </c>
      <c r="C3651" s="8">
        <v>0</v>
      </c>
      <c r="D3651">
        <v>7.05485E-2</v>
      </c>
      <c r="E3651">
        <v>0.3436226</v>
      </c>
      <c r="F3651">
        <v>4.9752699999999997E-2</v>
      </c>
      <c r="G3651">
        <v>0.75069520000000001</v>
      </c>
      <c r="H3651">
        <v>0.94984939999999995</v>
      </c>
      <c r="Q3651" s="10">
        <f t="shared" si="132"/>
        <v>1.7644783163124747E-2</v>
      </c>
      <c r="AI3651">
        <v>7.1322399999999994E-2</v>
      </c>
      <c r="AJ3651">
        <f t="shared" si="131"/>
        <v>7.1322399999999994E-2</v>
      </c>
      <c r="AO3651">
        <v>7.1322399999999994E-2</v>
      </c>
      <c r="AR3651" s="8">
        <v>0</v>
      </c>
      <c r="AS3651">
        <v>2.5490539999999999</v>
      </c>
    </row>
    <row r="3652" spans="1:45" x14ac:dyDescent="0.25">
      <c r="A3652">
        <v>626</v>
      </c>
      <c r="B3652">
        <v>1996</v>
      </c>
      <c r="C3652" s="8">
        <v>0</v>
      </c>
      <c r="D3652">
        <v>9.0094199999999999E-2</v>
      </c>
      <c r="E3652">
        <v>0.36763970000000001</v>
      </c>
      <c r="F3652">
        <v>5.46629E-2</v>
      </c>
      <c r="G3652">
        <v>0.73480000000000001</v>
      </c>
      <c r="H3652">
        <v>0.94726909999999998</v>
      </c>
      <c r="Q3652" s="10">
        <f t="shared" si="132"/>
        <v>1.6925224747045279E-2</v>
      </c>
      <c r="AI3652">
        <v>3.8820599999999997E-2</v>
      </c>
      <c r="AJ3652">
        <f t="shared" si="131"/>
        <v>3.8820599999999997E-2</v>
      </c>
      <c r="AO3652">
        <v>3.8820599999999997E-2</v>
      </c>
      <c r="AR3652" s="8">
        <v>0</v>
      </c>
      <c r="AS3652">
        <v>2.2849849999999998</v>
      </c>
    </row>
    <row r="3653" spans="1:45" x14ac:dyDescent="0.25">
      <c r="A3653">
        <v>626</v>
      </c>
      <c r="B3653">
        <v>1997</v>
      </c>
      <c r="C3653" s="8">
        <v>0</v>
      </c>
      <c r="D3653">
        <v>7.1322399999999994E-2</v>
      </c>
      <c r="E3653">
        <v>0.42188360000000003</v>
      </c>
      <c r="F3653">
        <v>5.7741000000000001E-2</v>
      </c>
      <c r="G3653">
        <v>1.026918</v>
      </c>
      <c r="H3653">
        <v>1.0667420000000001</v>
      </c>
      <c r="Q3653" s="10">
        <f t="shared" si="132"/>
        <v>1.0306399543119498E-2</v>
      </c>
      <c r="AI3653">
        <v>-2.83174E-2</v>
      </c>
      <c r="AJ3653">
        <f t="shared" ref="AJ3653:AJ3716" si="133">MAX(MIN(AI3653,AM$5),AM$4)</f>
        <v>-2.83174E-2</v>
      </c>
      <c r="AO3653">
        <v>-2.83174E-2</v>
      </c>
      <c r="AR3653" s="8">
        <v>0</v>
      </c>
      <c r="AS3653">
        <v>0.75069520000000001</v>
      </c>
    </row>
    <row r="3654" spans="1:45" x14ac:dyDescent="0.25">
      <c r="A3654">
        <v>626</v>
      </c>
      <c r="B3654">
        <v>1998</v>
      </c>
      <c r="C3654" s="8">
        <v>0</v>
      </c>
      <c r="D3654">
        <v>3.8820599999999997E-2</v>
      </c>
      <c r="E3654">
        <v>0.42521150000000002</v>
      </c>
      <c r="F3654">
        <v>5.2589499999999997E-2</v>
      </c>
      <c r="G3654">
        <v>1.0029490000000001</v>
      </c>
      <c r="H3654">
        <v>1.0107269999999999</v>
      </c>
      <c r="Q3654" s="10">
        <f t="shared" si="132"/>
        <v>1.0579016774096976E-2</v>
      </c>
      <c r="AI3654">
        <v>-1.7588900000000001E-2</v>
      </c>
      <c r="AJ3654">
        <f t="shared" si="133"/>
        <v>-1.7588900000000001E-2</v>
      </c>
      <c r="AO3654">
        <v>-1.7588900000000001E-2</v>
      </c>
      <c r="AR3654" s="8">
        <v>0</v>
      </c>
      <c r="AS3654">
        <v>0.73480000000000001</v>
      </c>
    </row>
    <row r="3655" spans="1:45" x14ac:dyDescent="0.25">
      <c r="A3655">
        <v>626</v>
      </c>
      <c r="B3655">
        <v>1999</v>
      </c>
      <c r="C3655" s="8">
        <v>0</v>
      </c>
      <c r="D3655">
        <v>-2.83174E-2</v>
      </c>
      <c r="E3655">
        <v>0.30623489999999998</v>
      </c>
      <c r="F3655">
        <v>4.9108199999999998E-2</v>
      </c>
      <c r="G3655">
        <v>0.52572909999999995</v>
      </c>
      <c r="H3655">
        <v>0.87578869999999998</v>
      </c>
      <c r="Q3655" s="10">
        <f t="shared" ref="Q3655:Q3718" si="134">1/(1+EXP(-(J$6+SUMPRODUCT(K$6:O$6,D3655:H3655))))</f>
        <v>2.4402687405343293E-2</v>
      </c>
      <c r="AI3655">
        <v>3.9399999999999998E-4</v>
      </c>
      <c r="AJ3655">
        <f t="shared" si="133"/>
        <v>3.9399999999999998E-4</v>
      </c>
      <c r="AO3655">
        <v>3.9399999999999998E-4</v>
      </c>
      <c r="AR3655" s="8">
        <v>0</v>
      </c>
      <c r="AS3655">
        <v>1.026918</v>
      </c>
    </row>
    <row r="3656" spans="1:45" x14ac:dyDescent="0.25">
      <c r="A3656">
        <v>626</v>
      </c>
      <c r="B3656">
        <v>2000</v>
      </c>
      <c r="C3656" s="8">
        <v>0</v>
      </c>
      <c r="D3656">
        <v>-1.7588900000000001E-2</v>
      </c>
      <c r="E3656">
        <v>0.31424489999999999</v>
      </c>
      <c r="F3656">
        <v>4.6289799999999999E-2</v>
      </c>
      <c r="G3656">
        <v>0.4355926</v>
      </c>
      <c r="H3656">
        <v>0.89454460000000002</v>
      </c>
      <c r="Q3656" s="10">
        <f t="shared" si="134"/>
        <v>2.8811427705235711E-2</v>
      </c>
      <c r="AI3656">
        <v>4.3217800000000001E-2</v>
      </c>
      <c r="AJ3656">
        <f t="shared" si="133"/>
        <v>4.3217800000000001E-2</v>
      </c>
      <c r="AO3656">
        <v>4.3217800000000001E-2</v>
      </c>
      <c r="AR3656" s="8">
        <v>0</v>
      </c>
      <c r="AS3656">
        <v>1.0029490000000001</v>
      </c>
    </row>
    <row r="3657" spans="1:45" x14ac:dyDescent="0.25">
      <c r="A3657">
        <v>626</v>
      </c>
      <c r="B3657">
        <v>2001</v>
      </c>
      <c r="C3657" s="8">
        <v>0</v>
      </c>
      <c r="D3657">
        <v>3.9399999999999998E-4</v>
      </c>
      <c r="E3657">
        <v>0.37160149999999997</v>
      </c>
      <c r="F3657">
        <v>4.6068600000000001E-2</v>
      </c>
      <c r="G3657">
        <v>0.91368499999999997</v>
      </c>
      <c r="H3657">
        <v>0.8059887</v>
      </c>
      <c r="Q3657" s="10">
        <f t="shared" si="134"/>
        <v>1.2024756891931087E-2</v>
      </c>
      <c r="AI3657">
        <v>5.7882400000000001E-2</v>
      </c>
      <c r="AJ3657">
        <f t="shared" si="133"/>
        <v>5.7882400000000001E-2</v>
      </c>
      <c r="AO3657">
        <v>5.7882400000000001E-2</v>
      </c>
      <c r="AR3657" s="8">
        <v>0</v>
      </c>
      <c r="AS3657">
        <v>0.52572909999999995</v>
      </c>
    </row>
    <row r="3658" spans="1:45" x14ac:dyDescent="0.25">
      <c r="A3658">
        <v>626</v>
      </c>
      <c r="B3658">
        <v>2002</v>
      </c>
      <c r="C3658" s="8">
        <v>0</v>
      </c>
      <c r="D3658">
        <v>4.3217800000000001E-2</v>
      </c>
      <c r="E3658">
        <v>0.3794032</v>
      </c>
      <c r="F3658">
        <v>6.1462799999999998E-2</v>
      </c>
      <c r="G3658">
        <v>0.50690579999999996</v>
      </c>
      <c r="H3658">
        <v>0.81670339999999997</v>
      </c>
      <c r="Q3658" s="10">
        <f t="shared" si="134"/>
        <v>2.0421262827793576E-2</v>
      </c>
      <c r="AI3658">
        <v>0.1105198</v>
      </c>
      <c r="AJ3658">
        <f t="shared" si="133"/>
        <v>0.1105198</v>
      </c>
      <c r="AO3658">
        <v>0.1105198</v>
      </c>
      <c r="AR3658" s="8">
        <v>0</v>
      </c>
      <c r="AS3658">
        <v>0.4355926</v>
      </c>
    </row>
    <row r="3659" spans="1:45" x14ac:dyDescent="0.25">
      <c r="A3659">
        <v>626</v>
      </c>
      <c r="B3659">
        <v>2003</v>
      </c>
      <c r="C3659" s="8">
        <v>0</v>
      </c>
      <c r="D3659">
        <v>5.7882400000000001E-2</v>
      </c>
      <c r="E3659">
        <v>0.39911829999999998</v>
      </c>
      <c r="F3659">
        <v>6.3931799999999997E-2</v>
      </c>
      <c r="G3659">
        <v>0.99121230000000005</v>
      </c>
      <c r="H3659">
        <v>0.84329109999999996</v>
      </c>
      <c r="Q3659" s="10">
        <f t="shared" si="134"/>
        <v>9.3018557590846106E-3</v>
      </c>
      <c r="AI3659">
        <v>0.241124</v>
      </c>
      <c r="AJ3659">
        <f t="shared" si="133"/>
        <v>0.241124</v>
      </c>
      <c r="AO3659">
        <v>0.241124</v>
      </c>
      <c r="AR3659" s="8">
        <v>0</v>
      </c>
      <c r="AS3659">
        <v>0.91368499999999997</v>
      </c>
    </row>
    <row r="3660" spans="1:45" x14ac:dyDescent="0.25">
      <c r="A3660">
        <v>626</v>
      </c>
      <c r="B3660">
        <v>2004</v>
      </c>
      <c r="C3660" s="8">
        <v>0</v>
      </c>
      <c r="D3660">
        <v>0.1105198</v>
      </c>
      <c r="E3660">
        <v>0.44781300000000002</v>
      </c>
      <c r="F3660">
        <v>6.5311999999999995E-2</v>
      </c>
      <c r="G3660">
        <v>1.163176</v>
      </c>
      <c r="H3660">
        <v>0.75942560000000003</v>
      </c>
      <c r="Q3660" s="10">
        <f t="shared" si="134"/>
        <v>6.3417392325382611E-3</v>
      </c>
      <c r="AI3660">
        <v>2.4102100000000001E-2</v>
      </c>
      <c r="AJ3660">
        <f t="shared" si="133"/>
        <v>2.4102100000000001E-2</v>
      </c>
      <c r="AO3660">
        <v>2.4102100000000001E-2</v>
      </c>
      <c r="AR3660" s="8">
        <v>0</v>
      </c>
      <c r="AS3660">
        <v>0.50690579999999996</v>
      </c>
    </row>
    <row r="3661" spans="1:45" x14ac:dyDescent="0.25">
      <c r="A3661">
        <v>627</v>
      </c>
      <c r="B3661">
        <v>1996</v>
      </c>
      <c r="C3661" s="8">
        <v>0</v>
      </c>
      <c r="D3661">
        <v>0.241124</v>
      </c>
      <c r="E3661">
        <v>0.160798</v>
      </c>
      <c r="F3661">
        <v>7.5188400000000002E-2</v>
      </c>
      <c r="G3661">
        <v>2.7380640000000001</v>
      </c>
      <c r="H3661">
        <v>9.9312200000000003E-2</v>
      </c>
      <c r="Q3661" s="10">
        <f t="shared" si="134"/>
        <v>5.0998800827301884E-4</v>
      </c>
      <c r="AI3661">
        <v>5.4075600000000001E-2</v>
      </c>
      <c r="AJ3661">
        <f t="shared" si="133"/>
        <v>5.4075600000000001E-2</v>
      </c>
      <c r="AO3661">
        <v>5.4075600000000001E-2</v>
      </c>
      <c r="AR3661" s="8">
        <v>0</v>
      </c>
      <c r="AS3661">
        <v>0.99121230000000005</v>
      </c>
    </row>
    <row r="3662" spans="1:45" x14ac:dyDescent="0.25">
      <c r="A3662">
        <v>627</v>
      </c>
      <c r="B3662">
        <v>1997</v>
      </c>
      <c r="C3662" s="8">
        <v>0</v>
      </c>
      <c r="D3662">
        <v>2.4102100000000001E-2</v>
      </c>
      <c r="E3662">
        <v>8.7559100000000001E-2</v>
      </c>
      <c r="F3662">
        <v>6.9399500000000003E-2</v>
      </c>
      <c r="G3662">
        <v>1.9589989999999999</v>
      </c>
      <c r="H3662">
        <v>9.4811000000000006E-2</v>
      </c>
      <c r="Q3662" s="10">
        <f t="shared" si="134"/>
        <v>1.8717177619748913E-3</v>
      </c>
      <c r="AI3662">
        <v>7.1010500000000004E-2</v>
      </c>
      <c r="AJ3662">
        <f t="shared" si="133"/>
        <v>7.1010500000000004E-2</v>
      </c>
      <c r="AO3662">
        <v>7.1010500000000004E-2</v>
      </c>
      <c r="AR3662" s="8">
        <v>0</v>
      </c>
      <c r="AS3662">
        <v>1.163176</v>
      </c>
    </row>
    <row r="3663" spans="1:45" x14ac:dyDescent="0.25">
      <c r="A3663">
        <v>627</v>
      </c>
      <c r="B3663">
        <v>1998</v>
      </c>
      <c r="C3663" s="8">
        <v>0</v>
      </c>
      <c r="D3663">
        <v>5.4075600000000001E-2</v>
      </c>
      <c r="E3663">
        <v>-3.7486899999999997E-2</v>
      </c>
      <c r="F3663">
        <v>5.6572299999999999E-2</v>
      </c>
      <c r="G3663">
        <v>0.434888</v>
      </c>
      <c r="H3663">
        <v>9.6695299999999998E-2</v>
      </c>
      <c r="Q3663" s="10">
        <f t="shared" si="134"/>
        <v>2.7862998257081471E-2</v>
      </c>
      <c r="AI3663">
        <v>-1.9810899999999999E-2</v>
      </c>
      <c r="AJ3663">
        <f t="shared" si="133"/>
        <v>-1.9810899999999999E-2</v>
      </c>
      <c r="AO3663">
        <v>-1.9810899999999999E-2</v>
      </c>
      <c r="AR3663" s="8">
        <v>0</v>
      </c>
      <c r="AS3663">
        <v>2.7380640000000001</v>
      </c>
    </row>
    <row r="3664" spans="1:45" x14ac:dyDescent="0.25">
      <c r="A3664">
        <v>627</v>
      </c>
      <c r="B3664">
        <v>1999</v>
      </c>
      <c r="C3664" s="8">
        <v>0</v>
      </c>
      <c r="D3664">
        <v>7.1010500000000004E-2</v>
      </c>
      <c r="E3664">
        <v>3.4716E-3</v>
      </c>
      <c r="F3664">
        <v>6.2749799999999994E-2</v>
      </c>
      <c r="G3664">
        <v>0.90971440000000003</v>
      </c>
      <c r="H3664">
        <v>9.3597899999999998E-2</v>
      </c>
      <c r="Q3664" s="10">
        <f t="shared" si="134"/>
        <v>1.1976639965795732E-2</v>
      </c>
      <c r="AI3664">
        <v>-1.6893999999999999E-2</v>
      </c>
      <c r="AJ3664">
        <f t="shared" si="133"/>
        <v>-1.6893999999999999E-2</v>
      </c>
      <c r="AO3664">
        <v>-1.6893999999999999E-2</v>
      </c>
      <c r="AR3664" s="8">
        <v>0</v>
      </c>
      <c r="AS3664">
        <v>1.9589989999999999</v>
      </c>
    </row>
    <row r="3665" spans="1:45" x14ac:dyDescent="0.25">
      <c r="A3665">
        <v>627</v>
      </c>
      <c r="B3665">
        <v>2000</v>
      </c>
      <c r="C3665" s="8">
        <v>0</v>
      </c>
      <c r="D3665">
        <v>-1.9810899999999999E-2</v>
      </c>
      <c r="E3665">
        <v>0.1267421</v>
      </c>
      <c r="F3665">
        <v>9.3412200000000001E-2</v>
      </c>
      <c r="G3665">
        <v>3.3881429999999999</v>
      </c>
      <c r="H3665">
        <v>0.13831479999999999</v>
      </c>
      <c r="Q3665" s="10">
        <f t="shared" si="134"/>
        <v>1.5119487282618956E-4</v>
      </c>
      <c r="AI3665">
        <v>1.1302E-2</v>
      </c>
      <c r="AJ3665">
        <f t="shared" si="133"/>
        <v>1.1302E-2</v>
      </c>
      <c r="AO3665">
        <v>1.1302E-2</v>
      </c>
      <c r="AR3665" s="8">
        <v>0</v>
      </c>
      <c r="AS3665">
        <v>0.434888</v>
      </c>
    </row>
    <row r="3666" spans="1:45" x14ac:dyDescent="0.25">
      <c r="A3666">
        <v>627</v>
      </c>
      <c r="B3666">
        <v>2001</v>
      </c>
      <c r="C3666" s="8">
        <v>0</v>
      </c>
      <c r="D3666">
        <v>-1.6893999999999999E-2</v>
      </c>
      <c r="E3666">
        <v>5.56631E-2</v>
      </c>
      <c r="F3666">
        <v>3.8875300000000002E-2</v>
      </c>
      <c r="G3666">
        <v>1.4235930000000001</v>
      </c>
      <c r="H3666">
        <v>6.8312899999999996E-2</v>
      </c>
      <c r="Q3666" s="10">
        <f t="shared" si="134"/>
        <v>5.6599007804725675E-3</v>
      </c>
      <c r="AI3666">
        <v>-6.9779000000000004E-3</v>
      </c>
      <c r="AJ3666">
        <f t="shared" si="133"/>
        <v>-6.9779000000000004E-3</v>
      </c>
      <c r="AO3666">
        <v>-6.9779000000000004E-3</v>
      </c>
      <c r="AR3666" s="8">
        <v>0</v>
      </c>
      <c r="AS3666">
        <v>0.90971440000000003</v>
      </c>
    </row>
    <row r="3667" spans="1:45" x14ac:dyDescent="0.25">
      <c r="A3667">
        <v>627</v>
      </c>
      <c r="B3667">
        <v>2002</v>
      </c>
      <c r="C3667" s="8">
        <v>0</v>
      </c>
      <c r="D3667">
        <v>1.1302E-2</v>
      </c>
      <c r="E3667">
        <v>7.4583800000000006E-2</v>
      </c>
      <c r="F3667">
        <v>4.3577299999999999E-2</v>
      </c>
      <c r="G3667">
        <v>0.6787512</v>
      </c>
      <c r="H3667">
        <v>6.9777800000000001E-2</v>
      </c>
      <c r="Q3667" s="10">
        <f t="shared" si="134"/>
        <v>1.7391521344232726E-2</v>
      </c>
      <c r="AI3667">
        <v>2.0575800000000002E-2</v>
      </c>
      <c r="AJ3667">
        <f t="shared" si="133"/>
        <v>2.0575800000000002E-2</v>
      </c>
      <c r="AO3667">
        <v>2.0575800000000002E-2</v>
      </c>
      <c r="AR3667" s="8">
        <v>0</v>
      </c>
      <c r="AS3667">
        <v>3.3881429999999999</v>
      </c>
    </row>
    <row r="3668" spans="1:45" x14ac:dyDescent="0.25">
      <c r="A3668">
        <v>627</v>
      </c>
      <c r="B3668">
        <v>2003</v>
      </c>
      <c r="C3668" s="8">
        <v>0</v>
      </c>
      <c r="D3668">
        <v>-6.9779000000000004E-3</v>
      </c>
      <c r="E3668">
        <v>0.1039529</v>
      </c>
      <c r="F3668">
        <v>4.9554300000000003E-2</v>
      </c>
      <c r="G3668">
        <v>1.0249299999999999</v>
      </c>
      <c r="H3668">
        <v>7.5859499999999996E-2</v>
      </c>
      <c r="Q3668" s="10">
        <f t="shared" si="134"/>
        <v>9.1917356745811613E-3</v>
      </c>
      <c r="AI3668">
        <v>0.31222879999999997</v>
      </c>
      <c r="AJ3668">
        <f t="shared" si="133"/>
        <v>0.31222879999999997</v>
      </c>
      <c r="AO3668">
        <v>0.31222879999999997</v>
      </c>
      <c r="AR3668" s="8">
        <v>0</v>
      </c>
      <c r="AS3668">
        <v>1.4235930000000001</v>
      </c>
    </row>
    <row r="3669" spans="1:45" x14ac:dyDescent="0.25">
      <c r="A3669">
        <v>627</v>
      </c>
      <c r="B3669">
        <v>2004</v>
      </c>
      <c r="C3669" s="8">
        <v>0</v>
      </c>
      <c r="D3669">
        <v>2.0575800000000002E-2</v>
      </c>
      <c r="E3669">
        <v>0.174789</v>
      </c>
      <c r="F3669">
        <v>8.5997000000000004E-2</v>
      </c>
      <c r="G3669">
        <v>1.6007530000000001</v>
      </c>
      <c r="H3669">
        <v>0.13994219999999999</v>
      </c>
      <c r="Q3669" s="10">
        <f t="shared" si="134"/>
        <v>2.6219345974572796E-3</v>
      </c>
      <c r="AI3669">
        <v>0.29758879999999999</v>
      </c>
      <c r="AJ3669">
        <f t="shared" si="133"/>
        <v>0.29758879999999999</v>
      </c>
      <c r="AO3669">
        <v>0.29758879999999999</v>
      </c>
      <c r="AR3669" s="8">
        <v>0</v>
      </c>
      <c r="AS3669">
        <v>0.6787512</v>
      </c>
    </row>
    <row r="3670" spans="1:45" x14ac:dyDescent="0.25">
      <c r="A3670">
        <v>628</v>
      </c>
      <c r="B3670">
        <v>1995</v>
      </c>
      <c r="C3670" s="8">
        <v>0</v>
      </c>
      <c r="D3670">
        <v>0.31222879999999997</v>
      </c>
      <c r="E3670">
        <v>0.4691207</v>
      </c>
      <c r="F3670">
        <v>6.73406E-2</v>
      </c>
      <c r="G3670">
        <v>3.2261350000000002</v>
      </c>
      <c r="H3670">
        <v>1.053749</v>
      </c>
      <c r="Q3670" s="10">
        <f t="shared" si="134"/>
        <v>2.9655442772190941E-4</v>
      </c>
      <c r="AI3670">
        <v>0.2803911</v>
      </c>
      <c r="AJ3670">
        <f t="shared" si="133"/>
        <v>0.2803911</v>
      </c>
      <c r="AO3670">
        <v>0.2803911</v>
      </c>
      <c r="AR3670" s="8">
        <v>0</v>
      </c>
      <c r="AS3670">
        <v>1.0249299999999999</v>
      </c>
    </row>
    <row r="3671" spans="1:45" x14ac:dyDescent="0.25">
      <c r="A3671">
        <v>628</v>
      </c>
      <c r="B3671">
        <v>1996</v>
      </c>
      <c r="C3671" s="8">
        <v>0</v>
      </c>
      <c r="D3671">
        <v>0.29758879999999999</v>
      </c>
      <c r="E3671">
        <v>0.4978514</v>
      </c>
      <c r="F3671">
        <v>6.9784499999999999E-2</v>
      </c>
      <c r="G3671">
        <v>3.3641640000000002</v>
      </c>
      <c r="H3671">
        <v>1.0937220000000001</v>
      </c>
      <c r="Q3671" s="10">
        <f t="shared" si="134"/>
        <v>2.2808502520151096E-4</v>
      </c>
      <c r="AI3671">
        <v>0.25517980000000001</v>
      </c>
      <c r="AJ3671">
        <f t="shared" si="133"/>
        <v>0.25517980000000001</v>
      </c>
      <c r="AO3671">
        <v>0.25517980000000001</v>
      </c>
      <c r="AR3671" s="8">
        <v>0</v>
      </c>
      <c r="AS3671">
        <v>1.6007530000000001</v>
      </c>
    </row>
    <row r="3672" spans="1:45" x14ac:dyDescent="0.25">
      <c r="A3672">
        <v>628</v>
      </c>
      <c r="B3672">
        <v>1997</v>
      </c>
      <c r="C3672" s="8">
        <v>0</v>
      </c>
      <c r="D3672">
        <v>0.2803911</v>
      </c>
      <c r="E3672">
        <v>0.54174920000000004</v>
      </c>
      <c r="F3672">
        <v>6.6996600000000003E-2</v>
      </c>
      <c r="G3672">
        <v>3.120924</v>
      </c>
      <c r="H3672">
        <v>1.113583</v>
      </c>
      <c r="Q3672" s="10">
        <f t="shared" si="134"/>
        <v>3.2405143667824126E-4</v>
      </c>
      <c r="AI3672">
        <v>0.27308650000000001</v>
      </c>
      <c r="AJ3672">
        <f t="shared" si="133"/>
        <v>0.27308650000000001</v>
      </c>
      <c r="AO3672">
        <v>0.27308650000000001</v>
      </c>
      <c r="AR3672" s="8">
        <v>0</v>
      </c>
      <c r="AS3672">
        <v>3.2261350000000002</v>
      </c>
    </row>
    <row r="3673" spans="1:45" x14ac:dyDescent="0.25">
      <c r="A3673">
        <v>628</v>
      </c>
      <c r="B3673">
        <v>1998</v>
      </c>
      <c r="C3673" s="8">
        <v>0</v>
      </c>
      <c r="D3673">
        <v>0.25517980000000001</v>
      </c>
      <c r="E3673">
        <v>0.51290769999999997</v>
      </c>
      <c r="F3673">
        <v>6.46066E-2</v>
      </c>
      <c r="G3673">
        <v>3.594986</v>
      </c>
      <c r="H3673">
        <v>1.0889359999999999</v>
      </c>
      <c r="Q3673" s="10">
        <f t="shared" si="134"/>
        <v>1.5773846402825472E-4</v>
      </c>
      <c r="AI3673">
        <v>0.22527929999999999</v>
      </c>
      <c r="AJ3673">
        <f t="shared" si="133"/>
        <v>0.22527929999999999</v>
      </c>
      <c r="AO3673">
        <v>0.22527929999999999</v>
      </c>
      <c r="AR3673" s="8">
        <v>0</v>
      </c>
      <c r="AS3673">
        <v>3.3641640000000002</v>
      </c>
    </row>
    <row r="3674" spans="1:45" x14ac:dyDescent="0.25">
      <c r="A3674">
        <v>628</v>
      </c>
      <c r="B3674">
        <v>1999</v>
      </c>
      <c r="C3674" s="8">
        <v>0</v>
      </c>
      <c r="D3674">
        <v>0.27308650000000001</v>
      </c>
      <c r="E3674">
        <v>0.53574580000000005</v>
      </c>
      <c r="F3674">
        <v>8.3574800000000005E-2</v>
      </c>
      <c r="G3674">
        <v>3.7259679999999999</v>
      </c>
      <c r="H3674">
        <v>1.211681</v>
      </c>
      <c r="Q3674" s="10">
        <f t="shared" si="134"/>
        <v>1.1567696334985945E-4</v>
      </c>
      <c r="AI3674">
        <v>0.18068909999999999</v>
      </c>
      <c r="AJ3674">
        <f t="shared" si="133"/>
        <v>0.18068909999999999</v>
      </c>
      <c r="AO3674">
        <v>0.18068909999999999</v>
      </c>
      <c r="AR3674" s="8">
        <v>0</v>
      </c>
      <c r="AS3674">
        <v>3.120924</v>
      </c>
    </row>
    <row r="3675" spans="1:45" x14ac:dyDescent="0.25">
      <c r="A3675">
        <v>628</v>
      </c>
      <c r="B3675">
        <v>2000</v>
      </c>
      <c r="C3675" s="8">
        <v>0</v>
      </c>
      <c r="D3675">
        <v>0.22527929999999999</v>
      </c>
      <c r="E3675">
        <v>0.52021200000000001</v>
      </c>
      <c r="F3675">
        <v>6.8674899999999997E-2</v>
      </c>
      <c r="G3675">
        <v>4.6227390000000002</v>
      </c>
      <c r="H3675">
        <v>1.13195</v>
      </c>
      <c r="Q3675" s="10">
        <f t="shared" si="134"/>
        <v>2.9795220589823106E-5</v>
      </c>
      <c r="AI3675">
        <v>0.19293479999999999</v>
      </c>
      <c r="AJ3675">
        <f t="shared" si="133"/>
        <v>0.19293479999999999</v>
      </c>
      <c r="AO3675">
        <v>0.19293479999999999</v>
      </c>
      <c r="AR3675" s="8">
        <v>0</v>
      </c>
      <c r="AS3675">
        <v>3.594986</v>
      </c>
    </row>
    <row r="3676" spans="1:45" x14ac:dyDescent="0.25">
      <c r="A3676">
        <v>628</v>
      </c>
      <c r="B3676">
        <v>2001</v>
      </c>
      <c r="C3676" s="8">
        <v>0</v>
      </c>
      <c r="D3676">
        <v>0.18068909999999999</v>
      </c>
      <c r="E3676">
        <v>0.47508980000000001</v>
      </c>
      <c r="F3676">
        <v>9.3819E-2</v>
      </c>
      <c r="G3676">
        <v>5.5351020000000002</v>
      </c>
      <c r="H3676">
        <v>1.09491</v>
      </c>
      <c r="Q3676" s="10">
        <f t="shared" si="134"/>
        <v>5.8327153887046039E-6</v>
      </c>
      <c r="AI3676">
        <v>0.15794340000000001</v>
      </c>
      <c r="AJ3676">
        <f t="shared" si="133"/>
        <v>0.15794340000000001</v>
      </c>
      <c r="AO3676">
        <v>0.15794340000000001</v>
      </c>
      <c r="AR3676" s="8">
        <v>0</v>
      </c>
      <c r="AS3676">
        <v>3.7259679999999999</v>
      </c>
    </row>
    <row r="3677" spans="1:45" x14ac:dyDescent="0.25">
      <c r="A3677">
        <v>628</v>
      </c>
      <c r="B3677">
        <v>2002</v>
      </c>
      <c r="C3677" s="8">
        <v>0</v>
      </c>
      <c r="D3677">
        <v>0.19293479999999999</v>
      </c>
      <c r="E3677">
        <v>0.49561939999999999</v>
      </c>
      <c r="F3677">
        <v>7.3752200000000004E-2</v>
      </c>
      <c r="G3677">
        <v>4.7019169999999999</v>
      </c>
      <c r="H3677">
        <v>1.0957079999999999</v>
      </c>
      <c r="Q3677" s="10">
        <f t="shared" si="134"/>
        <v>2.5215432529652121E-5</v>
      </c>
      <c r="AI3677">
        <v>0.1163602</v>
      </c>
      <c r="AJ3677">
        <f t="shared" si="133"/>
        <v>0.1163602</v>
      </c>
      <c r="AO3677">
        <v>0.1163602</v>
      </c>
      <c r="AR3677" s="8">
        <v>0</v>
      </c>
      <c r="AS3677">
        <v>4.6227390000000002</v>
      </c>
    </row>
    <row r="3678" spans="1:45" x14ac:dyDescent="0.25">
      <c r="A3678">
        <v>628</v>
      </c>
      <c r="B3678">
        <v>2003</v>
      </c>
      <c r="C3678" s="8">
        <v>0</v>
      </c>
      <c r="D3678">
        <v>0.15794340000000001</v>
      </c>
      <c r="E3678">
        <v>0.49028080000000002</v>
      </c>
      <c r="F3678">
        <v>9.6851699999999999E-2</v>
      </c>
      <c r="G3678">
        <v>4.1621579999999998</v>
      </c>
      <c r="H3678">
        <v>1.0404340000000001</v>
      </c>
      <c r="Q3678" s="10">
        <f t="shared" si="134"/>
        <v>4.7552015418419262E-5</v>
      </c>
      <c r="AI3678">
        <v>0.45088270000000003</v>
      </c>
      <c r="AJ3678">
        <f t="shared" si="133"/>
        <v>0.45088270000000003</v>
      </c>
      <c r="AO3678">
        <v>0.45088270000000003</v>
      </c>
      <c r="AR3678" s="8">
        <v>0</v>
      </c>
      <c r="AS3678">
        <v>5.5351020000000002</v>
      </c>
    </row>
    <row r="3679" spans="1:45" x14ac:dyDescent="0.25">
      <c r="A3679">
        <v>628</v>
      </c>
      <c r="B3679">
        <v>2004</v>
      </c>
      <c r="C3679" s="8">
        <v>0</v>
      </c>
      <c r="D3679">
        <v>0.1163602</v>
      </c>
      <c r="E3679">
        <v>0.55142930000000001</v>
      </c>
      <c r="F3679">
        <v>0.1007907</v>
      </c>
      <c r="G3679">
        <v>4.375051</v>
      </c>
      <c r="H3679">
        <v>1.061733</v>
      </c>
      <c r="Q3679" s="10">
        <f t="shared" si="134"/>
        <v>2.9907966670694605E-5</v>
      </c>
      <c r="AI3679">
        <v>0.44299290000000002</v>
      </c>
      <c r="AJ3679">
        <f t="shared" si="133"/>
        <v>0.44299290000000002</v>
      </c>
      <c r="AO3679">
        <v>0.44299290000000002</v>
      </c>
      <c r="AR3679" s="8">
        <v>0</v>
      </c>
      <c r="AS3679">
        <v>4.7019169999999999</v>
      </c>
    </row>
    <row r="3680" spans="1:45" x14ac:dyDescent="0.25">
      <c r="A3680">
        <v>629</v>
      </c>
      <c r="B3680">
        <v>1995</v>
      </c>
      <c r="C3680" s="8">
        <v>0</v>
      </c>
      <c r="D3680">
        <v>0.45088270000000003</v>
      </c>
      <c r="E3680">
        <v>0.23848829999999999</v>
      </c>
      <c r="F3680">
        <v>4.77536E-2</v>
      </c>
      <c r="G3680">
        <v>5.8184769999999997</v>
      </c>
      <c r="H3680">
        <v>0.35592430000000003</v>
      </c>
      <c r="Q3680" s="10">
        <f t="shared" si="134"/>
        <v>5.3569970444305557E-6</v>
      </c>
      <c r="AI3680">
        <v>-5.0547099999999998E-2</v>
      </c>
      <c r="AJ3680">
        <f t="shared" si="133"/>
        <v>-5.0547099999999998E-2</v>
      </c>
      <c r="AO3680">
        <v>-5.0547099999999998E-2</v>
      </c>
      <c r="AR3680" s="8">
        <v>0</v>
      </c>
      <c r="AS3680">
        <v>4.1621579999999998</v>
      </c>
    </row>
    <row r="3681" spans="1:45" x14ac:dyDescent="0.25">
      <c r="A3681">
        <v>629</v>
      </c>
      <c r="B3681">
        <v>1996</v>
      </c>
      <c r="C3681" s="8">
        <v>0</v>
      </c>
      <c r="D3681">
        <v>0.44299290000000002</v>
      </c>
      <c r="E3681">
        <v>0.26654329999999998</v>
      </c>
      <c r="F3681">
        <v>7.7143400000000001E-2</v>
      </c>
      <c r="G3681">
        <v>2.6339809999999999</v>
      </c>
      <c r="H3681">
        <v>0.38717590000000002</v>
      </c>
      <c r="Q3681" s="10">
        <f t="shared" si="134"/>
        <v>6.6034156130646273E-4</v>
      </c>
      <c r="AI3681">
        <v>-4.9220899999999998E-2</v>
      </c>
      <c r="AJ3681">
        <f t="shared" si="133"/>
        <v>-4.9220899999999998E-2</v>
      </c>
      <c r="AO3681">
        <v>-4.9220899999999998E-2</v>
      </c>
      <c r="AR3681" s="8">
        <v>0</v>
      </c>
      <c r="AS3681">
        <v>4.375051</v>
      </c>
    </row>
    <row r="3682" spans="1:45" x14ac:dyDescent="0.25">
      <c r="A3682">
        <v>630</v>
      </c>
      <c r="B3682">
        <v>1995</v>
      </c>
      <c r="C3682" s="8">
        <v>0</v>
      </c>
      <c r="D3682">
        <v>-5.0547099999999998E-2</v>
      </c>
      <c r="E3682">
        <v>0.2635458</v>
      </c>
      <c r="F3682">
        <v>6.1919599999999998E-2</v>
      </c>
      <c r="G3682">
        <v>1.3646860000000001</v>
      </c>
      <c r="H3682">
        <v>0.1232781</v>
      </c>
      <c r="Q3682" s="10">
        <f t="shared" si="134"/>
        <v>3.9061855088579345E-3</v>
      </c>
      <c r="AI3682">
        <v>-6.0512799999999999E-2</v>
      </c>
      <c r="AJ3682">
        <f t="shared" si="133"/>
        <v>-6.0512799999999999E-2</v>
      </c>
      <c r="AO3682">
        <v>-6.0512799999999999E-2</v>
      </c>
      <c r="AR3682" s="8">
        <v>0</v>
      </c>
      <c r="AS3682">
        <v>5.8184769999999997</v>
      </c>
    </row>
    <row r="3683" spans="1:45" x14ac:dyDescent="0.25">
      <c r="A3683">
        <v>630</v>
      </c>
      <c r="B3683">
        <v>1996</v>
      </c>
      <c r="C3683" s="8">
        <v>0</v>
      </c>
      <c r="D3683">
        <v>-4.9220899999999998E-2</v>
      </c>
      <c r="E3683">
        <v>0.26455770000000001</v>
      </c>
      <c r="F3683">
        <v>6.0198099999999997E-2</v>
      </c>
      <c r="G3683">
        <v>1.2790090000000001</v>
      </c>
      <c r="H3683">
        <v>0.1309736</v>
      </c>
      <c r="Q3683" s="10">
        <f t="shared" si="134"/>
        <v>4.5542577212032706E-3</v>
      </c>
      <c r="AI3683">
        <v>-2.1177000000000001E-2</v>
      </c>
      <c r="AJ3683">
        <f t="shared" si="133"/>
        <v>-2.1177000000000001E-2</v>
      </c>
      <c r="AO3683">
        <v>-2.1177000000000001E-2</v>
      </c>
      <c r="AR3683" s="8">
        <v>0</v>
      </c>
      <c r="AS3683">
        <v>2.6339809999999999</v>
      </c>
    </row>
    <row r="3684" spans="1:45" x14ac:dyDescent="0.25">
      <c r="A3684">
        <v>630</v>
      </c>
      <c r="B3684">
        <v>1997</v>
      </c>
      <c r="C3684" s="8">
        <v>0</v>
      </c>
      <c r="D3684">
        <v>-6.0512799999999999E-2</v>
      </c>
      <c r="E3684">
        <v>0.29259030000000003</v>
      </c>
      <c r="F3684">
        <v>5.35548E-2</v>
      </c>
      <c r="G3684">
        <v>1.4933419999999999</v>
      </c>
      <c r="H3684">
        <v>0.15900400000000001</v>
      </c>
      <c r="Q3684" s="10">
        <f t="shared" si="134"/>
        <v>3.3228104438352345E-3</v>
      </c>
      <c r="AI3684">
        <v>-0.14350499999999999</v>
      </c>
      <c r="AJ3684">
        <f t="shared" si="133"/>
        <v>-0.113345184</v>
      </c>
      <c r="AO3684">
        <v>-0.113345184</v>
      </c>
      <c r="AR3684" s="8">
        <v>0</v>
      </c>
      <c r="AS3684">
        <v>1.3646860000000001</v>
      </c>
    </row>
    <row r="3685" spans="1:45" x14ac:dyDescent="0.25">
      <c r="A3685">
        <v>630</v>
      </c>
      <c r="B3685">
        <v>1998</v>
      </c>
      <c r="C3685" s="8">
        <v>0</v>
      </c>
      <c r="D3685">
        <v>-2.1177000000000001E-2</v>
      </c>
      <c r="E3685">
        <v>0.27046589999999998</v>
      </c>
      <c r="F3685">
        <v>3.8010500000000003E-2</v>
      </c>
      <c r="G3685">
        <v>1.411516</v>
      </c>
      <c r="H3685">
        <v>0.1334506</v>
      </c>
      <c r="Q3685" s="10">
        <f t="shared" si="134"/>
        <v>4.424142326243277E-3</v>
      </c>
      <c r="AI3685">
        <v>-0.15092710000000001</v>
      </c>
      <c r="AJ3685">
        <f t="shared" si="133"/>
        <v>-0.113345184</v>
      </c>
      <c r="AO3685">
        <v>-0.113345184</v>
      </c>
      <c r="AR3685" s="8">
        <v>0</v>
      </c>
      <c r="AS3685">
        <v>1.2790090000000001</v>
      </c>
    </row>
    <row r="3686" spans="1:45" x14ac:dyDescent="0.25">
      <c r="A3686">
        <v>630</v>
      </c>
      <c r="B3686">
        <v>1999</v>
      </c>
      <c r="C3686" s="8">
        <v>0</v>
      </c>
      <c r="D3686">
        <v>-0.14350499999999999</v>
      </c>
      <c r="E3686">
        <v>0.26438450000000002</v>
      </c>
      <c r="F3686">
        <v>4.8529900000000001E-2</v>
      </c>
      <c r="G3686">
        <v>0.74967600000000001</v>
      </c>
      <c r="H3686">
        <v>0.13535849999999999</v>
      </c>
      <c r="Q3686" s="10">
        <f t="shared" si="134"/>
        <v>1.1136228497978714E-2</v>
      </c>
      <c r="AI3686">
        <v>-0.14577039999999999</v>
      </c>
      <c r="AJ3686">
        <f t="shared" si="133"/>
        <v>-0.113345184</v>
      </c>
      <c r="AO3686">
        <v>-0.113345184</v>
      </c>
      <c r="AR3686" s="8">
        <v>0</v>
      </c>
      <c r="AS3686">
        <v>1.4933419999999999</v>
      </c>
    </row>
    <row r="3687" spans="1:45" x14ac:dyDescent="0.25">
      <c r="A3687">
        <v>630</v>
      </c>
      <c r="B3687">
        <v>2000</v>
      </c>
      <c r="C3687" s="8">
        <v>0</v>
      </c>
      <c r="D3687">
        <v>-0.15092710000000001</v>
      </c>
      <c r="E3687">
        <v>0.24287819999999999</v>
      </c>
      <c r="F3687">
        <v>3.5946400000000003E-2</v>
      </c>
      <c r="G3687">
        <v>1.021191</v>
      </c>
      <c r="H3687">
        <v>0.13419149999999999</v>
      </c>
      <c r="Q3687" s="10">
        <f t="shared" si="134"/>
        <v>8.2364948377086564E-3</v>
      </c>
      <c r="AI3687">
        <v>5.1099600000000002E-2</v>
      </c>
      <c r="AJ3687">
        <f t="shared" si="133"/>
        <v>5.1099600000000002E-2</v>
      </c>
      <c r="AO3687">
        <v>5.1099600000000002E-2</v>
      </c>
      <c r="AR3687" s="8">
        <v>0</v>
      </c>
      <c r="AS3687">
        <v>1.411516</v>
      </c>
    </row>
    <row r="3688" spans="1:45" x14ac:dyDescent="0.25">
      <c r="A3688">
        <v>630</v>
      </c>
      <c r="B3688">
        <v>2001</v>
      </c>
      <c r="C3688" s="8">
        <v>0</v>
      </c>
      <c r="D3688">
        <v>-0.14577039999999999</v>
      </c>
      <c r="E3688">
        <v>0.22283900000000001</v>
      </c>
      <c r="F3688">
        <v>4.2775199999999999E-2</v>
      </c>
      <c r="G3688">
        <v>0.80055620000000005</v>
      </c>
      <c r="H3688">
        <v>0.115908</v>
      </c>
      <c r="Q3688" s="10">
        <f t="shared" si="134"/>
        <v>1.1273222678019293E-2</v>
      </c>
      <c r="AI3688">
        <v>-0.11759310000000001</v>
      </c>
      <c r="AJ3688">
        <f t="shared" si="133"/>
        <v>-0.113345184</v>
      </c>
      <c r="AO3688">
        <v>-0.113345184</v>
      </c>
      <c r="AR3688" s="8">
        <v>0</v>
      </c>
      <c r="AS3688">
        <v>0.74967600000000001</v>
      </c>
    </row>
    <row r="3689" spans="1:45" x14ac:dyDescent="0.25">
      <c r="A3689">
        <v>630</v>
      </c>
      <c r="B3689">
        <v>2002</v>
      </c>
      <c r="C3689" s="8">
        <v>0</v>
      </c>
      <c r="D3689">
        <v>5.1099600000000002E-2</v>
      </c>
      <c r="E3689">
        <v>0.1843467</v>
      </c>
      <c r="F3689">
        <v>3.37994E-2</v>
      </c>
      <c r="G3689">
        <v>0.47021079999999998</v>
      </c>
      <c r="H3689">
        <v>0.112371</v>
      </c>
      <c r="Q3689" s="10">
        <f t="shared" si="134"/>
        <v>2.3193989487937602E-2</v>
      </c>
      <c r="AI3689">
        <v>-0.1206009</v>
      </c>
      <c r="AJ3689">
        <f t="shared" si="133"/>
        <v>-0.113345184</v>
      </c>
      <c r="AO3689">
        <v>-0.113345184</v>
      </c>
      <c r="AR3689" s="8">
        <v>0</v>
      </c>
      <c r="AS3689">
        <v>1.021191</v>
      </c>
    </row>
    <row r="3690" spans="1:45" x14ac:dyDescent="0.25">
      <c r="A3690">
        <v>630</v>
      </c>
      <c r="B3690">
        <v>2003</v>
      </c>
      <c r="C3690" s="8">
        <v>0</v>
      </c>
      <c r="D3690">
        <v>-0.11759310000000001</v>
      </c>
      <c r="E3690">
        <v>5.7730299999999998E-2</v>
      </c>
      <c r="F3690">
        <v>3.2225400000000001E-2</v>
      </c>
      <c r="G3690">
        <v>0.31637510000000002</v>
      </c>
      <c r="H3690">
        <v>8.9597099999999999E-2</v>
      </c>
      <c r="Q3690" s="10">
        <f t="shared" si="134"/>
        <v>3.2844704042218849E-2</v>
      </c>
      <c r="AI3690">
        <v>9.3932500000000002E-2</v>
      </c>
      <c r="AJ3690">
        <f t="shared" si="133"/>
        <v>9.3932500000000002E-2</v>
      </c>
      <c r="AO3690">
        <v>9.3932500000000002E-2</v>
      </c>
      <c r="AR3690" s="8">
        <v>0</v>
      </c>
      <c r="AS3690">
        <v>0.80055620000000005</v>
      </c>
    </row>
    <row r="3691" spans="1:45" x14ac:dyDescent="0.25">
      <c r="A3691">
        <v>630</v>
      </c>
      <c r="B3691">
        <v>2004</v>
      </c>
      <c r="C3691" s="8">
        <v>0</v>
      </c>
      <c r="D3691">
        <v>-0.1206009</v>
      </c>
      <c r="E3691">
        <v>-1.6187400000000001E-2</v>
      </c>
      <c r="F3691">
        <v>2.16819E-2</v>
      </c>
      <c r="G3691">
        <v>0.38757619999999998</v>
      </c>
      <c r="H3691">
        <v>8.94258E-2</v>
      </c>
      <c r="Q3691" s="10">
        <f t="shared" si="134"/>
        <v>3.5380570034443573E-2</v>
      </c>
      <c r="AI3691">
        <v>0.14396719999999999</v>
      </c>
      <c r="AJ3691">
        <f t="shared" si="133"/>
        <v>0.14396719999999999</v>
      </c>
      <c r="AO3691">
        <v>0.14396719999999999</v>
      </c>
      <c r="AR3691" s="8">
        <v>0</v>
      </c>
      <c r="AS3691">
        <v>0.47021079999999998</v>
      </c>
    </row>
    <row r="3692" spans="1:45" x14ac:dyDescent="0.25">
      <c r="A3692">
        <v>631</v>
      </c>
      <c r="B3692">
        <v>1995</v>
      </c>
      <c r="C3692" s="8">
        <v>0</v>
      </c>
      <c r="D3692">
        <v>9.3932500000000002E-2</v>
      </c>
      <c r="E3692">
        <v>0.32687579999999999</v>
      </c>
      <c r="F3692">
        <v>5.7868999999999997E-2</v>
      </c>
      <c r="G3692">
        <v>1.376017</v>
      </c>
      <c r="H3692">
        <v>0.42468070000000002</v>
      </c>
      <c r="Q3692" s="10">
        <f t="shared" si="134"/>
        <v>4.6216904895915586E-3</v>
      </c>
      <c r="AI3692">
        <v>-2.57317E-2</v>
      </c>
      <c r="AJ3692">
        <f t="shared" si="133"/>
        <v>-2.57317E-2</v>
      </c>
      <c r="AO3692">
        <v>-2.57317E-2</v>
      </c>
      <c r="AR3692" s="8">
        <v>0</v>
      </c>
      <c r="AS3692">
        <v>0.31637510000000002</v>
      </c>
    </row>
    <row r="3693" spans="1:45" x14ac:dyDescent="0.25">
      <c r="A3693">
        <v>631</v>
      </c>
      <c r="B3693">
        <v>1996</v>
      </c>
      <c r="C3693" s="8">
        <v>0</v>
      </c>
      <c r="D3693">
        <v>0.14396719999999999</v>
      </c>
      <c r="E3693">
        <v>0.37684699999999999</v>
      </c>
      <c r="F3693">
        <v>6.8886100000000006E-2</v>
      </c>
      <c r="G3693">
        <v>1.6167640000000001</v>
      </c>
      <c r="H3693">
        <v>0.43923289999999998</v>
      </c>
      <c r="Q3693" s="10">
        <f t="shared" si="134"/>
        <v>2.7674751373877918E-3</v>
      </c>
      <c r="AI3693">
        <v>-1.45045E-2</v>
      </c>
      <c r="AJ3693">
        <f t="shared" si="133"/>
        <v>-1.45045E-2</v>
      </c>
      <c r="AO3693">
        <v>-1.45045E-2</v>
      </c>
      <c r="AR3693" s="8">
        <v>0</v>
      </c>
      <c r="AS3693">
        <v>0.38757619999999998</v>
      </c>
    </row>
    <row r="3694" spans="1:45" x14ac:dyDescent="0.25">
      <c r="A3694">
        <v>631</v>
      </c>
      <c r="B3694">
        <v>1997</v>
      </c>
      <c r="C3694" s="8">
        <v>0</v>
      </c>
      <c r="D3694">
        <v>-2.57317E-2</v>
      </c>
      <c r="E3694">
        <v>0.2940373</v>
      </c>
      <c r="F3694">
        <v>4.9537999999999999E-2</v>
      </c>
      <c r="G3694">
        <v>1.392784</v>
      </c>
      <c r="H3694">
        <v>0.461787</v>
      </c>
      <c r="Q3694" s="10">
        <f t="shared" si="134"/>
        <v>4.9113318126133175E-3</v>
      </c>
      <c r="AI3694">
        <v>-5.9856800000000002E-2</v>
      </c>
      <c r="AJ3694">
        <f t="shared" si="133"/>
        <v>-5.9856800000000002E-2</v>
      </c>
      <c r="AO3694">
        <v>-5.9856800000000002E-2</v>
      </c>
      <c r="AR3694" s="8">
        <v>0</v>
      </c>
      <c r="AS3694">
        <v>1.376017</v>
      </c>
    </row>
    <row r="3695" spans="1:45" x14ac:dyDescent="0.25">
      <c r="A3695">
        <v>631</v>
      </c>
      <c r="B3695">
        <v>1998</v>
      </c>
      <c r="C3695" s="8">
        <v>0</v>
      </c>
      <c r="D3695">
        <v>-1.45045E-2</v>
      </c>
      <c r="E3695">
        <v>0.30978230000000001</v>
      </c>
      <c r="F3695">
        <v>6.4573199999999997E-2</v>
      </c>
      <c r="G3695">
        <v>1.3035099999999999</v>
      </c>
      <c r="H3695">
        <v>0.431392</v>
      </c>
      <c r="Q3695" s="10">
        <f t="shared" si="134"/>
        <v>4.8381878537620861E-3</v>
      </c>
      <c r="AI3695">
        <v>-7.5242500000000004E-2</v>
      </c>
      <c r="AJ3695">
        <f t="shared" si="133"/>
        <v>-7.5242500000000004E-2</v>
      </c>
      <c r="AO3695">
        <v>-7.5242500000000004E-2</v>
      </c>
      <c r="AR3695" s="8">
        <v>0</v>
      </c>
      <c r="AS3695">
        <v>1.6167640000000001</v>
      </c>
    </row>
    <row r="3696" spans="1:45" x14ac:dyDescent="0.25">
      <c r="A3696">
        <v>631</v>
      </c>
      <c r="B3696">
        <v>1999</v>
      </c>
      <c r="C3696" s="8">
        <v>0</v>
      </c>
      <c r="D3696">
        <v>-5.9856800000000002E-2</v>
      </c>
      <c r="E3696">
        <v>0.18269969999999999</v>
      </c>
      <c r="F3696">
        <v>4.88368E-2</v>
      </c>
      <c r="G3696">
        <v>0.42774669999999998</v>
      </c>
      <c r="H3696">
        <v>0.28108450000000001</v>
      </c>
      <c r="Q3696" s="10">
        <f t="shared" si="134"/>
        <v>2.3384055770040782E-2</v>
      </c>
      <c r="AI3696">
        <v>-9.1328999999999994E-2</v>
      </c>
      <c r="AJ3696">
        <f t="shared" si="133"/>
        <v>-9.1328999999999994E-2</v>
      </c>
      <c r="AO3696">
        <v>-9.1328999999999994E-2</v>
      </c>
      <c r="AR3696" s="8">
        <v>0</v>
      </c>
      <c r="AS3696">
        <v>1.392784</v>
      </c>
    </row>
    <row r="3697" spans="1:45" x14ac:dyDescent="0.25">
      <c r="A3697">
        <v>631</v>
      </c>
      <c r="B3697">
        <v>2000</v>
      </c>
      <c r="C3697" s="8">
        <v>0</v>
      </c>
      <c r="D3697">
        <v>-7.5242500000000004E-2</v>
      </c>
      <c r="E3697">
        <v>0.1884807</v>
      </c>
      <c r="F3697">
        <v>4.76327E-2</v>
      </c>
      <c r="G3697">
        <v>0.36953770000000002</v>
      </c>
      <c r="H3697">
        <v>0.27838220000000002</v>
      </c>
      <c r="Q3697" s="10">
        <f t="shared" si="134"/>
        <v>2.5429127354177034E-2</v>
      </c>
      <c r="AI3697">
        <v>0.30487560000000002</v>
      </c>
      <c r="AJ3697">
        <f t="shared" si="133"/>
        <v>0.30487560000000002</v>
      </c>
      <c r="AO3697">
        <v>0.30487560000000002</v>
      </c>
      <c r="AR3697" s="8">
        <v>0</v>
      </c>
      <c r="AS3697">
        <v>1.3035099999999999</v>
      </c>
    </row>
    <row r="3698" spans="1:45" x14ac:dyDescent="0.25">
      <c r="A3698">
        <v>631</v>
      </c>
      <c r="B3698">
        <v>2001</v>
      </c>
      <c r="C3698" s="8">
        <v>0</v>
      </c>
      <c r="D3698">
        <v>-9.1328999999999994E-2</v>
      </c>
      <c r="E3698">
        <v>0.17593239999999999</v>
      </c>
      <c r="F3698">
        <v>2.4376999999999999E-2</v>
      </c>
      <c r="G3698">
        <v>0.39960449999999997</v>
      </c>
      <c r="H3698">
        <v>0.31888739999999999</v>
      </c>
      <c r="Q3698" s="10">
        <f t="shared" si="134"/>
        <v>3.0139627505995262E-2</v>
      </c>
      <c r="AI3698">
        <v>0.41958990000000002</v>
      </c>
      <c r="AJ3698">
        <f t="shared" si="133"/>
        <v>0.41958990000000002</v>
      </c>
      <c r="AO3698">
        <v>0.41958990000000002</v>
      </c>
      <c r="AR3698" s="8">
        <v>0</v>
      </c>
      <c r="AS3698">
        <v>0.42774669999999998</v>
      </c>
    </row>
    <row r="3699" spans="1:45" x14ac:dyDescent="0.25">
      <c r="A3699">
        <v>632</v>
      </c>
      <c r="B3699">
        <v>1995</v>
      </c>
      <c r="C3699" s="8">
        <v>0</v>
      </c>
      <c r="D3699">
        <v>0.30487560000000002</v>
      </c>
      <c r="E3699">
        <v>-8.05786E-2</v>
      </c>
      <c r="F3699">
        <v>6.2530600000000006E-2</v>
      </c>
      <c r="G3699">
        <v>0.3004637</v>
      </c>
      <c r="H3699">
        <v>0.31699529999999998</v>
      </c>
      <c r="Q3699" s="10">
        <f t="shared" si="134"/>
        <v>4.3833678972287217E-2</v>
      </c>
      <c r="AI3699">
        <v>2.89886E-2</v>
      </c>
      <c r="AJ3699">
        <f t="shared" si="133"/>
        <v>2.89886E-2</v>
      </c>
      <c r="AO3699">
        <v>2.89886E-2</v>
      </c>
      <c r="AR3699" s="8">
        <v>0</v>
      </c>
      <c r="AS3699">
        <v>0.36953770000000002</v>
      </c>
    </row>
    <row r="3700" spans="1:45" x14ac:dyDescent="0.25">
      <c r="A3700">
        <v>632</v>
      </c>
      <c r="B3700">
        <v>1996</v>
      </c>
      <c r="C3700" s="8">
        <v>0</v>
      </c>
      <c r="D3700">
        <v>0.41958990000000002</v>
      </c>
      <c r="E3700">
        <v>-4.6381600000000002E-2</v>
      </c>
      <c r="F3700">
        <v>5.1080500000000001E-2</v>
      </c>
      <c r="G3700">
        <v>0.54750670000000001</v>
      </c>
      <c r="H3700">
        <v>0.42530590000000001</v>
      </c>
      <c r="Q3700" s="10">
        <f t="shared" si="134"/>
        <v>3.4901863247997177E-2</v>
      </c>
      <c r="AI3700">
        <v>-1.8978600000000002E-2</v>
      </c>
      <c r="AJ3700">
        <f t="shared" si="133"/>
        <v>-1.8978600000000002E-2</v>
      </c>
      <c r="AO3700">
        <v>-1.8978600000000002E-2</v>
      </c>
      <c r="AR3700" s="8">
        <v>0</v>
      </c>
      <c r="AS3700">
        <v>0.39960449999999997</v>
      </c>
    </row>
    <row r="3701" spans="1:45" x14ac:dyDescent="0.25">
      <c r="A3701">
        <v>633</v>
      </c>
      <c r="B3701">
        <v>1995</v>
      </c>
      <c r="C3701" s="8">
        <v>0</v>
      </c>
      <c r="D3701">
        <v>2.89886E-2</v>
      </c>
      <c r="E3701">
        <v>1.106948</v>
      </c>
      <c r="F3701">
        <v>0.12284689999999999</v>
      </c>
      <c r="G3701">
        <v>5.5284269999999998</v>
      </c>
      <c r="H3701">
        <v>0.40691349999999998</v>
      </c>
      <c r="Q3701" s="10">
        <f t="shared" si="134"/>
        <v>1.1433520094961051E-6</v>
      </c>
      <c r="AI3701">
        <v>0.4253325</v>
      </c>
      <c r="AJ3701">
        <f t="shared" si="133"/>
        <v>0.4253325</v>
      </c>
      <c r="AO3701">
        <v>0.4253325</v>
      </c>
      <c r="AR3701" s="8">
        <v>0</v>
      </c>
      <c r="AS3701">
        <v>0.3004637</v>
      </c>
    </row>
    <row r="3702" spans="1:45" x14ac:dyDescent="0.25">
      <c r="A3702">
        <v>633</v>
      </c>
      <c r="B3702">
        <v>1996</v>
      </c>
      <c r="C3702" s="8">
        <v>0</v>
      </c>
      <c r="D3702">
        <v>-1.8978600000000002E-2</v>
      </c>
      <c r="E3702">
        <v>1.1170929999999999</v>
      </c>
      <c r="F3702">
        <v>0.13703850000000001</v>
      </c>
      <c r="G3702">
        <v>4.8289840000000002</v>
      </c>
      <c r="H3702">
        <v>0.40242529999999999</v>
      </c>
      <c r="Q3702" s="10">
        <f t="shared" si="134"/>
        <v>2.9971490504758897E-6</v>
      </c>
      <c r="AI3702">
        <v>0.32877269999999997</v>
      </c>
      <c r="AJ3702">
        <f t="shared" si="133"/>
        <v>0.32877269999999997</v>
      </c>
      <c r="AO3702">
        <v>0.32877269999999997</v>
      </c>
      <c r="AR3702" s="8">
        <v>0</v>
      </c>
      <c r="AS3702">
        <v>0.54750670000000001</v>
      </c>
    </row>
    <row r="3703" spans="1:45" x14ac:dyDescent="0.25">
      <c r="A3703">
        <v>634</v>
      </c>
      <c r="B3703">
        <v>1995</v>
      </c>
      <c r="C3703" s="8">
        <v>0</v>
      </c>
      <c r="D3703">
        <v>0.4253325</v>
      </c>
      <c r="E3703">
        <v>0.89146720000000002</v>
      </c>
      <c r="F3703">
        <v>8.02065E-2</v>
      </c>
      <c r="G3703">
        <v>2.3111959999999998</v>
      </c>
      <c r="H3703">
        <v>0.79637069999999999</v>
      </c>
      <c r="Q3703" s="10">
        <f t="shared" si="134"/>
        <v>5.557753288618761E-4</v>
      </c>
      <c r="AI3703">
        <v>0.35494700000000001</v>
      </c>
      <c r="AJ3703">
        <f t="shared" si="133"/>
        <v>0.35494700000000001</v>
      </c>
      <c r="AO3703">
        <v>0.35494700000000001</v>
      </c>
      <c r="AR3703" s="8">
        <v>0</v>
      </c>
      <c r="AS3703">
        <v>5.5284269999999998</v>
      </c>
    </row>
    <row r="3704" spans="1:45" x14ac:dyDescent="0.25">
      <c r="A3704">
        <v>634</v>
      </c>
      <c r="B3704">
        <v>1996</v>
      </c>
      <c r="C3704" s="8">
        <v>0</v>
      </c>
      <c r="D3704">
        <v>0.32877269999999997</v>
      </c>
      <c r="E3704">
        <v>0.87023450000000002</v>
      </c>
      <c r="F3704">
        <v>2.76882E-2</v>
      </c>
      <c r="G3704">
        <v>1.942375</v>
      </c>
      <c r="H3704">
        <v>0.82165160000000004</v>
      </c>
      <c r="Q3704" s="10">
        <f t="shared" si="134"/>
        <v>1.5311308215141743E-3</v>
      </c>
      <c r="AI3704">
        <v>0.243897</v>
      </c>
      <c r="AJ3704">
        <f t="shared" si="133"/>
        <v>0.243897</v>
      </c>
      <c r="AO3704">
        <v>0.243897</v>
      </c>
      <c r="AR3704" s="8">
        <v>0</v>
      </c>
      <c r="AS3704">
        <v>4.8289840000000002</v>
      </c>
    </row>
    <row r="3705" spans="1:45" x14ac:dyDescent="0.25">
      <c r="A3705">
        <v>634</v>
      </c>
      <c r="B3705">
        <v>1997</v>
      </c>
      <c r="C3705" s="8">
        <v>0</v>
      </c>
      <c r="D3705">
        <v>0.35494700000000001</v>
      </c>
      <c r="E3705">
        <v>0.75133749999999999</v>
      </c>
      <c r="F3705">
        <v>0.105489</v>
      </c>
      <c r="G3705">
        <v>3.1572770000000001</v>
      </c>
      <c r="H3705">
        <v>0.7661036</v>
      </c>
      <c r="Q3705" s="10">
        <f t="shared" si="134"/>
        <v>1.3783581079632775E-4</v>
      </c>
      <c r="AI3705">
        <v>0.22879569999999999</v>
      </c>
      <c r="AJ3705">
        <f t="shared" si="133"/>
        <v>0.22879569999999999</v>
      </c>
      <c r="AO3705">
        <v>0.22879569999999999</v>
      </c>
      <c r="AR3705" s="8">
        <v>0</v>
      </c>
      <c r="AS3705">
        <v>2.3111959999999998</v>
      </c>
    </row>
    <row r="3706" spans="1:45" x14ac:dyDescent="0.25">
      <c r="A3706">
        <v>634</v>
      </c>
      <c r="B3706">
        <v>1998</v>
      </c>
      <c r="C3706" s="8">
        <v>0</v>
      </c>
      <c r="D3706">
        <v>0.243897</v>
      </c>
      <c r="E3706">
        <v>0.85761259999999995</v>
      </c>
      <c r="F3706">
        <v>7.2894799999999996E-2</v>
      </c>
      <c r="G3706">
        <v>3.6037949999999999</v>
      </c>
      <c r="H3706">
        <v>0.64025969999999999</v>
      </c>
      <c r="Q3706" s="10">
        <f t="shared" si="134"/>
        <v>6.6470370092265948E-5</v>
      </c>
      <c r="AI3706">
        <v>0.27145079999999999</v>
      </c>
      <c r="AJ3706">
        <f t="shared" si="133"/>
        <v>0.27145079999999999</v>
      </c>
      <c r="AO3706">
        <v>0.27145079999999999</v>
      </c>
      <c r="AR3706" s="8">
        <v>0</v>
      </c>
      <c r="AS3706">
        <v>1.942375</v>
      </c>
    </row>
    <row r="3707" spans="1:45" x14ac:dyDescent="0.25">
      <c r="A3707">
        <v>634</v>
      </c>
      <c r="B3707">
        <v>1999</v>
      </c>
      <c r="C3707" s="8">
        <v>0</v>
      </c>
      <c r="D3707">
        <v>0.22879569999999999</v>
      </c>
      <c r="E3707">
        <v>0.66534079999999995</v>
      </c>
      <c r="F3707">
        <v>0.13535459999999999</v>
      </c>
      <c r="G3707">
        <v>7.3879970000000004</v>
      </c>
      <c r="H3707">
        <v>0.68042230000000004</v>
      </c>
      <c r="Q3707" s="10">
        <f t="shared" si="134"/>
        <v>1.306699570614592E-7</v>
      </c>
      <c r="AI3707">
        <v>0.42604069999999999</v>
      </c>
      <c r="AJ3707">
        <f t="shared" si="133"/>
        <v>0.42604069999999999</v>
      </c>
      <c r="AO3707">
        <v>0.42604069999999999</v>
      </c>
      <c r="AR3707" s="8">
        <v>0</v>
      </c>
      <c r="AS3707">
        <v>3.1572770000000001</v>
      </c>
    </row>
    <row r="3708" spans="1:45" x14ac:dyDescent="0.25">
      <c r="A3708">
        <v>634</v>
      </c>
      <c r="B3708">
        <v>2000</v>
      </c>
      <c r="C3708" s="8">
        <v>0</v>
      </c>
      <c r="D3708">
        <v>0.27145079999999999</v>
      </c>
      <c r="E3708">
        <v>0.67217729999999998</v>
      </c>
      <c r="F3708">
        <v>0.13172729999999999</v>
      </c>
      <c r="G3708">
        <v>4.7293120000000002</v>
      </c>
      <c r="H3708">
        <v>0.64528969999999997</v>
      </c>
      <c r="Q3708" s="10">
        <f t="shared" si="134"/>
        <v>9.1774888658169823E-6</v>
      </c>
      <c r="AI3708">
        <v>0.40677760000000002</v>
      </c>
      <c r="AJ3708">
        <f t="shared" si="133"/>
        <v>0.40677760000000002</v>
      </c>
      <c r="AO3708">
        <v>0.40677760000000002</v>
      </c>
      <c r="AR3708" s="8">
        <v>0</v>
      </c>
      <c r="AS3708">
        <v>3.6037949999999999</v>
      </c>
    </row>
    <row r="3709" spans="1:45" x14ac:dyDescent="0.25">
      <c r="A3709">
        <v>634</v>
      </c>
      <c r="B3709">
        <v>2001</v>
      </c>
      <c r="C3709" s="8">
        <v>0</v>
      </c>
      <c r="D3709">
        <v>0.42604069999999999</v>
      </c>
      <c r="E3709">
        <v>0.82185920000000001</v>
      </c>
      <c r="F3709">
        <v>0.1070609</v>
      </c>
      <c r="G3709">
        <v>3.7084570000000001</v>
      </c>
      <c r="H3709">
        <v>0.69878910000000005</v>
      </c>
      <c r="Q3709" s="10">
        <f t="shared" si="134"/>
        <v>5.0421831853566482E-5</v>
      </c>
      <c r="AI3709">
        <v>0.39327000000000001</v>
      </c>
      <c r="AJ3709">
        <f t="shared" si="133"/>
        <v>0.39327000000000001</v>
      </c>
      <c r="AO3709">
        <v>0.39327000000000001</v>
      </c>
      <c r="AR3709" s="8">
        <v>0</v>
      </c>
      <c r="AS3709">
        <v>7.3879970000000004</v>
      </c>
    </row>
    <row r="3710" spans="1:45" x14ac:dyDescent="0.25">
      <c r="A3710">
        <v>634</v>
      </c>
      <c r="B3710">
        <v>2002</v>
      </c>
      <c r="C3710" s="8">
        <v>0</v>
      </c>
      <c r="D3710">
        <v>0.40677760000000002</v>
      </c>
      <c r="E3710">
        <v>0.93276130000000002</v>
      </c>
      <c r="F3710">
        <v>0.1132344</v>
      </c>
      <c r="G3710">
        <v>2.1306820000000002</v>
      </c>
      <c r="H3710">
        <v>0.6934631</v>
      </c>
      <c r="Q3710" s="10">
        <f t="shared" si="134"/>
        <v>4.9889191946611837E-4</v>
      </c>
      <c r="AI3710">
        <v>0.35181420000000002</v>
      </c>
      <c r="AJ3710">
        <f t="shared" si="133"/>
        <v>0.35181420000000002</v>
      </c>
      <c r="AO3710">
        <v>0.35181420000000002</v>
      </c>
      <c r="AR3710" s="8">
        <v>0</v>
      </c>
      <c r="AS3710">
        <v>4.7293120000000002</v>
      </c>
    </row>
    <row r="3711" spans="1:45" x14ac:dyDescent="0.25">
      <c r="A3711">
        <v>634</v>
      </c>
      <c r="B3711">
        <v>2003</v>
      </c>
      <c r="C3711" s="8">
        <v>0</v>
      </c>
      <c r="D3711">
        <v>0.39327000000000001</v>
      </c>
      <c r="E3711">
        <v>0.57551010000000002</v>
      </c>
      <c r="F3711">
        <v>0.1151529</v>
      </c>
      <c r="G3711">
        <v>3.4351150000000001</v>
      </c>
      <c r="H3711">
        <v>0.67950429999999995</v>
      </c>
      <c r="Q3711" s="10">
        <f t="shared" si="134"/>
        <v>1.0189125544307769E-4</v>
      </c>
      <c r="AI3711">
        <v>0.30556450000000002</v>
      </c>
      <c r="AJ3711">
        <f t="shared" si="133"/>
        <v>0.30556450000000002</v>
      </c>
      <c r="AO3711">
        <v>0.30556450000000002</v>
      </c>
      <c r="AR3711" s="8">
        <v>0</v>
      </c>
      <c r="AS3711">
        <v>3.7084570000000001</v>
      </c>
    </row>
    <row r="3712" spans="1:45" x14ac:dyDescent="0.25">
      <c r="A3712">
        <v>634</v>
      </c>
      <c r="B3712">
        <v>2004</v>
      </c>
      <c r="C3712" s="8">
        <v>0</v>
      </c>
      <c r="D3712">
        <v>0.35181420000000002</v>
      </c>
      <c r="E3712">
        <v>0.63799890000000004</v>
      </c>
      <c r="F3712">
        <v>0.1059705</v>
      </c>
      <c r="G3712">
        <v>3.3085909999999998</v>
      </c>
      <c r="H3712">
        <v>0.66465289999999999</v>
      </c>
      <c r="Q3712" s="10">
        <f t="shared" si="134"/>
        <v>1.1930991231210149E-4</v>
      </c>
      <c r="AI3712">
        <v>0.3614716</v>
      </c>
      <c r="AJ3712">
        <f t="shared" si="133"/>
        <v>0.3614716</v>
      </c>
      <c r="AO3712">
        <v>0.3614716</v>
      </c>
      <c r="AR3712" s="8">
        <v>0</v>
      </c>
      <c r="AS3712">
        <v>2.1306820000000002</v>
      </c>
    </row>
    <row r="3713" spans="1:45" x14ac:dyDescent="0.25">
      <c r="A3713">
        <v>635</v>
      </c>
      <c r="B3713">
        <v>1995</v>
      </c>
      <c r="C3713" s="8">
        <v>0</v>
      </c>
      <c r="D3713">
        <v>0.30556450000000002</v>
      </c>
      <c r="E3713">
        <v>0.37382070000000001</v>
      </c>
      <c r="F3713">
        <v>6.7276600000000006E-2</v>
      </c>
      <c r="G3713">
        <v>1.9325589999999999</v>
      </c>
      <c r="H3713">
        <v>0.41654649999999999</v>
      </c>
      <c r="Q3713" s="10">
        <f t="shared" si="134"/>
        <v>1.7964994812202956E-3</v>
      </c>
      <c r="AI3713">
        <v>0.32042559999999998</v>
      </c>
      <c r="AJ3713">
        <f t="shared" si="133"/>
        <v>0.32042559999999998</v>
      </c>
      <c r="AO3713">
        <v>0.32042559999999998</v>
      </c>
      <c r="AR3713" s="8">
        <v>0</v>
      </c>
      <c r="AS3713">
        <v>3.4351150000000001</v>
      </c>
    </row>
    <row r="3714" spans="1:45" x14ac:dyDescent="0.25">
      <c r="A3714">
        <v>635</v>
      </c>
      <c r="B3714">
        <v>1996</v>
      </c>
      <c r="C3714" s="8">
        <v>0</v>
      </c>
      <c r="D3714">
        <v>0.3614716</v>
      </c>
      <c r="E3714">
        <v>0.43220029999999998</v>
      </c>
      <c r="F3714">
        <v>5.63957E-2</v>
      </c>
      <c r="G3714">
        <v>3.5364059999999999</v>
      </c>
      <c r="H3714">
        <v>0.43274069999999998</v>
      </c>
      <c r="Q3714" s="10">
        <f t="shared" si="134"/>
        <v>1.4470869170538119E-4</v>
      </c>
      <c r="AI3714">
        <v>0.2086963</v>
      </c>
      <c r="AJ3714">
        <f t="shared" si="133"/>
        <v>0.2086963</v>
      </c>
      <c r="AO3714">
        <v>0.2086963</v>
      </c>
      <c r="AR3714" s="8">
        <v>0</v>
      </c>
      <c r="AS3714">
        <v>3.3085909999999998</v>
      </c>
    </row>
    <row r="3715" spans="1:45" x14ac:dyDescent="0.25">
      <c r="A3715">
        <v>635</v>
      </c>
      <c r="B3715">
        <v>1997</v>
      </c>
      <c r="C3715" s="8">
        <v>0</v>
      </c>
      <c r="D3715">
        <v>0.32042559999999998</v>
      </c>
      <c r="E3715">
        <v>0.44205030000000001</v>
      </c>
      <c r="F3715">
        <v>8.2234199999999993E-2</v>
      </c>
      <c r="G3715">
        <v>3.2951990000000002</v>
      </c>
      <c r="H3715">
        <v>0.44218390000000002</v>
      </c>
      <c r="Q3715" s="10">
        <f t="shared" si="134"/>
        <v>1.6849770161876738E-4</v>
      </c>
      <c r="AI3715">
        <v>0.53062240000000005</v>
      </c>
      <c r="AJ3715">
        <f t="shared" si="133"/>
        <v>0.52051970800000003</v>
      </c>
      <c r="AO3715">
        <v>0.52051970800000003</v>
      </c>
      <c r="AR3715" s="8">
        <v>0</v>
      </c>
      <c r="AS3715">
        <v>1.9325589999999999</v>
      </c>
    </row>
    <row r="3716" spans="1:45" x14ac:dyDescent="0.25">
      <c r="A3716">
        <v>635</v>
      </c>
      <c r="B3716">
        <v>1998</v>
      </c>
      <c r="C3716" s="8">
        <v>0</v>
      </c>
      <c r="D3716">
        <v>0.2086963</v>
      </c>
      <c r="E3716">
        <v>0.37836059999999999</v>
      </c>
      <c r="F3716">
        <v>3.3303600000000003E-2</v>
      </c>
      <c r="G3716">
        <v>1.4985679999999999</v>
      </c>
      <c r="H3716">
        <v>0.29147849999999997</v>
      </c>
      <c r="Q3716" s="10">
        <f t="shared" si="134"/>
        <v>4.1478466426252206E-3</v>
      </c>
      <c r="AI3716">
        <v>0.4394208</v>
      </c>
      <c r="AJ3716">
        <f t="shared" si="133"/>
        <v>0.4394208</v>
      </c>
      <c r="AO3716">
        <v>0.4394208</v>
      </c>
      <c r="AR3716" s="8">
        <v>0</v>
      </c>
      <c r="AS3716">
        <v>3.5364059999999999</v>
      </c>
    </row>
    <row r="3717" spans="1:45" x14ac:dyDescent="0.25">
      <c r="A3717">
        <v>635</v>
      </c>
      <c r="B3717">
        <v>1999</v>
      </c>
      <c r="C3717" s="8">
        <v>0</v>
      </c>
      <c r="D3717">
        <v>0.53062240000000005</v>
      </c>
      <c r="E3717">
        <v>0.53410299999999999</v>
      </c>
      <c r="F3717">
        <v>6.7467700000000005E-2</v>
      </c>
      <c r="G3717">
        <v>4.653905</v>
      </c>
      <c r="H3717">
        <v>0.23604330000000001</v>
      </c>
      <c r="Q3717" s="10">
        <f t="shared" si="134"/>
        <v>1.8273878273149072E-5</v>
      </c>
      <c r="AI3717">
        <v>0.28755710000000001</v>
      </c>
      <c r="AJ3717">
        <f t="shared" ref="AJ3717:AJ3780" si="135">MAX(MIN(AI3717,AM$5),AM$4)</f>
        <v>0.28755710000000001</v>
      </c>
      <c r="AO3717">
        <v>0.28755710000000001</v>
      </c>
      <c r="AR3717" s="8">
        <v>0</v>
      </c>
      <c r="AS3717">
        <v>3.2951990000000002</v>
      </c>
    </row>
    <row r="3718" spans="1:45" x14ac:dyDescent="0.25">
      <c r="A3718">
        <v>635</v>
      </c>
      <c r="B3718">
        <v>2000</v>
      </c>
      <c r="C3718" s="8">
        <v>0</v>
      </c>
      <c r="D3718">
        <v>0.4394208</v>
      </c>
      <c r="E3718">
        <v>0.55543629999999999</v>
      </c>
      <c r="F3718">
        <v>6.03391E-2</v>
      </c>
      <c r="G3718">
        <v>4.5538230000000004</v>
      </c>
      <c r="H3718">
        <v>0.2277479</v>
      </c>
      <c r="Q3718" s="10">
        <f t="shared" si="134"/>
        <v>2.1073761147120642E-5</v>
      </c>
      <c r="AI3718">
        <v>-7.4404600000000001E-2</v>
      </c>
      <c r="AJ3718">
        <f t="shared" si="135"/>
        <v>-7.4404600000000001E-2</v>
      </c>
      <c r="AO3718">
        <v>-7.4404600000000001E-2</v>
      </c>
      <c r="AR3718" s="8">
        <v>0</v>
      </c>
      <c r="AS3718">
        <v>1.4985679999999999</v>
      </c>
    </row>
    <row r="3719" spans="1:45" x14ac:dyDescent="0.25">
      <c r="A3719">
        <v>635</v>
      </c>
      <c r="B3719">
        <v>2002</v>
      </c>
      <c r="C3719" s="8">
        <v>0</v>
      </c>
      <c r="D3719">
        <v>0.28755710000000001</v>
      </c>
      <c r="E3719">
        <v>0.42576019999999998</v>
      </c>
      <c r="F3719">
        <v>4.2625499999999997E-2</v>
      </c>
      <c r="G3719">
        <v>2.9534720000000001</v>
      </c>
      <c r="H3719">
        <v>0.19560669999999999</v>
      </c>
      <c r="Q3719" s="10">
        <f t="shared" ref="Q3719:Q3782" si="136">1/(1+EXP(-(J$6+SUMPRODUCT(K$6:O$6,D3719:H3719))))</f>
        <v>3.45643553912873E-4</v>
      </c>
      <c r="AI3719">
        <v>0.2447772</v>
      </c>
      <c r="AJ3719">
        <f t="shared" si="135"/>
        <v>0.2447772</v>
      </c>
      <c r="AO3719">
        <v>0.2447772</v>
      </c>
      <c r="AR3719" s="8">
        <v>0</v>
      </c>
      <c r="AS3719">
        <v>4.653905</v>
      </c>
    </row>
    <row r="3720" spans="1:45" x14ac:dyDescent="0.25">
      <c r="A3720">
        <v>636</v>
      </c>
      <c r="B3720">
        <v>1995</v>
      </c>
      <c r="C3720" s="8">
        <v>0</v>
      </c>
      <c r="D3720">
        <v>-7.4404600000000001E-2</v>
      </c>
      <c r="E3720">
        <v>-0.33512380000000003</v>
      </c>
      <c r="F3720">
        <v>2.8033200000000001E-2</v>
      </c>
      <c r="G3720">
        <v>0.38277090000000003</v>
      </c>
      <c r="H3720">
        <v>0.30368840000000002</v>
      </c>
      <c r="Q3720" s="10">
        <f t="shared" si="136"/>
        <v>6.1051032867458013E-2</v>
      </c>
      <c r="AI3720">
        <v>0.26176260000000001</v>
      </c>
      <c r="AJ3720">
        <f t="shared" si="135"/>
        <v>0.26176260000000001</v>
      </c>
      <c r="AO3720">
        <v>0.26176260000000001</v>
      </c>
      <c r="AR3720" s="8">
        <v>0</v>
      </c>
      <c r="AS3720">
        <v>4.5538230000000004</v>
      </c>
    </row>
    <row r="3721" spans="1:45" x14ac:dyDescent="0.25">
      <c r="A3721">
        <v>637</v>
      </c>
      <c r="B3721">
        <v>2001</v>
      </c>
      <c r="C3721" s="8">
        <v>0</v>
      </c>
      <c r="D3721">
        <v>0.2447772</v>
      </c>
      <c r="E3721">
        <v>0.37962770000000001</v>
      </c>
      <c r="F3721">
        <v>1.50492E-2</v>
      </c>
      <c r="G3721">
        <v>0.83514980000000005</v>
      </c>
      <c r="H3721">
        <v>0.21430450000000001</v>
      </c>
      <c r="Q3721" s="10">
        <f t="shared" si="136"/>
        <v>1.322296447117882E-2</v>
      </c>
      <c r="AI3721">
        <v>0.2073624</v>
      </c>
      <c r="AJ3721">
        <f t="shared" si="135"/>
        <v>0.2073624</v>
      </c>
      <c r="AO3721">
        <v>0.2073624</v>
      </c>
      <c r="AR3721" s="8">
        <v>0</v>
      </c>
      <c r="AS3721">
        <v>2.9534720000000001</v>
      </c>
    </row>
    <row r="3722" spans="1:45" x14ac:dyDescent="0.25">
      <c r="A3722">
        <v>637</v>
      </c>
      <c r="B3722">
        <v>2002</v>
      </c>
      <c r="C3722" s="8">
        <v>0</v>
      </c>
      <c r="D3722">
        <v>0.26176260000000001</v>
      </c>
      <c r="E3722">
        <v>0.2232459</v>
      </c>
      <c r="F3722">
        <v>1.7884400000000002E-2</v>
      </c>
      <c r="G3722">
        <v>0.33154260000000002</v>
      </c>
      <c r="H3722">
        <v>0.26167560000000001</v>
      </c>
      <c r="Q3722" s="10">
        <f t="shared" si="136"/>
        <v>3.6655605623386212E-2</v>
      </c>
      <c r="AI3722">
        <v>0.33442300000000003</v>
      </c>
      <c r="AJ3722">
        <f t="shared" si="135"/>
        <v>0.33442300000000003</v>
      </c>
      <c r="AO3722">
        <v>0.33442300000000003</v>
      </c>
      <c r="AR3722" s="8">
        <v>0</v>
      </c>
      <c r="AS3722">
        <v>0.38277090000000003</v>
      </c>
    </row>
    <row r="3723" spans="1:45" x14ac:dyDescent="0.25">
      <c r="A3723">
        <v>637</v>
      </c>
      <c r="B3723">
        <v>2003</v>
      </c>
      <c r="C3723" s="8">
        <v>0</v>
      </c>
      <c r="D3723">
        <v>0.2073624</v>
      </c>
      <c r="E3723">
        <v>0.1061247</v>
      </c>
      <c r="F3723">
        <v>3.8275000000000002E-3</v>
      </c>
      <c r="G3723">
        <v>0.65788670000000005</v>
      </c>
      <c r="H3723">
        <v>0.30282559999999997</v>
      </c>
      <c r="Q3723" s="10">
        <f t="shared" si="136"/>
        <v>2.9221100633175918E-2</v>
      </c>
      <c r="AI3723">
        <v>-2.1566599999999998E-2</v>
      </c>
      <c r="AJ3723">
        <f t="shared" si="135"/>
        <v>-2.1566599999999998E-2</v>
      </c>
      <c r="AO3723">
        <v>-2.1566599999999998E-2</v>
      </c>
      <c r="AR3723" s="8">
        <v>0</v>
      </c>
      <c r="AS3723">
        <v>0.83514980000000005</v>
      </c>
    </row>
    <row r="3724" spans="1:45" x14ac:dyDescent="0.25">
      <c r="A3724">
        <v>637</v>
      </c>
      <c r="B3724">
        <v>2004</v>
      </c>
      <c r="C3724" s="8">
        <v>0</v>
      </c>
      <c r="D3724">
        <v>0.33442300000000003</v>
      </c>
      <c r="E3724">
        <v>3.2928800000000001E-2</v>
      </c>
      <c r="F3724">
        <v>4.3844399999999999E-2</v>
      </c>
      <c r="G3724">
        <v>1.1328990000000001</v>
      </c>
      <c r="H3724">
        <v>0.37726520000000002</v>
      </c>
      <c r="Q3724" s="10">
        <f t="shared" si="136"/>
        <v>1.2430806205742474E-2</v>
      </c>
      <c r="AI3724">
        <v>-1.1298900000000001E-2</v>
      </c>
      <c r="AJ3724">
        <f t="shared" si="135"/>
        <v>-1.1298900000000001E-2</v>
      </c>
      <c r="AO3724">
        <v>-1.1298900000000001E-2</v>
      </c>
      <c r="AR3724" s="8">
        <v>0</v>
      </c>
      <c r="AS3724">
        <v>0.33154260000000002</v>
      </c>
    </row>
    <row r="3725" spans="1:45" x14ac:dyDescent="0.25">
      <c r="A3725">
        <v>638</v>
      </c>
      <c r="B3725">
        <v>1995</v>
      </c>
      <c r="C3725" s="8">
        <v>0</v>
      </c>
      <c r="D3725">
        <v>-2.1566599999999998E-2</v>
      </c>
      <c r="E3725">
        <v>9.3962199999999996E-2</v>
      </c>
      <c r="F3725">
        <v>4.6651900000000003E-2</v>
      </c>
      <c r="G3725">
        <v>1.3395250000000001</v>
      </c>
      <c r="H3725">
        <v>0.1069454</v>
      </c>
      <c r="Q3725" s="10">
        <f t="shared" si="136"/>
        <v>5.8783073939384046E-3</v>
      </c>
      <c r="AI3725">
        <v>-7.2556200000000001E-2</v>
      </c>
      <c r="AJ3725">
        <f t="shared" si="135"/>
        <v>-7.2556200000000001E-2</v>
      </c>
      <c r="AO3725">
        <v>-7.2556200000000001E-2</v>
      </c>
      <c r="AR3725" s="8">
        <v>0</v>
      </c>
      <c r="AS3725">
        <v>0.65788670000000005</v>
      </c>
    </row>
    <row r="3726" spans="1:45" x14ac:dyDescent="0.25">
      <c r="A3726">
        <v>638</v>
      </c>
      <c r="B3726">
        <v>1996</v>
      </c>
      <c r="C3726" s="8">
        <v>0</v>
      </c>
      <c r="D3726">
        <v>-1.1298900000000001E-2</v>
      </c>
      <c r="E3726">
        <v>9.6801300000000007E-2</v>
      </c>
      <c r="F3726">
        <v>2.7940300000000001E-2</v>
      </c>
      <c r="G3726">
        <v>1.0654170000000001</v>
      </c>
      <c r="H3726">
        <v>9.8070500000000005E-2</v>
      </c>
      <c r="Q3726" s="10">
        <f t="shared" si="136"/>
        <v>1.0462172744467155E-2</v>
      </c>
      <c r="AI3726">
        <v>-8.6125999999999998E-3</v>
      </c>
      <c r="AJ3726">
        <f t="shared" si="135"/>
        <v>-8.6125999999999998E-3</v>
      </c>
      <c r="AO3726">
        <v>-8.6125999999999998E-3</v>
      </c>
      <c r="AR3726" s="8">
        <v>0</v>
      </c>
      <c r="AS3726">
        <v>1.1328990000000001</v>
      </c>
    </row>
    <row r="3727" spans="1:45" x14ac:dyDescent="0.25">
      <c r="A3727">
        <v>638</v>
      </c>
      <c r="B3727">
        <v>1997</v>
      </c>
      <c r="C3727" s="8">
        <v>0</v>
      </c>
      <c r="D3727">
        <v>-7.2556200000000001E-2</v>
      </c>
      <c r="E3727">
        <v>8.3795900000000006E-2</v>
      </c>
      <c r="F3727">
        <v>1.8086399999999999E-2</v>
      </c>
      <c r="G3727">
        <v>0.98007599999999995</v>
      </c>
      <c r="H3727">
        <v>0.10187300000000001</v>
      </c>
      <c r="Q3727" s="10">
        <f t="shared" si="136"/>
        <v>1.2884410704295527E-2</v>
      </c>
      <c r="AI3727">
        <v>5.8979999999999998E-2</v>
      </c>
      <c r="AJ3727">
        <f t="shared" si="135"/>
        <v>5.8979999999999998E-2</v>
      </c>
      <c r="AO3727">
        <v>5.8979999999999998E-2</v>
      </c>
      <c r="AR3727" s="8">
        <v>0</v>
      </c>
      <c r="AS3727">
        <v>1.3395250000000001</v>
      </c>
    </row>
    <row r="3728" spans="1:45" x14ac:dyDescent="0.25">
      <c r="A3728">
        <v>638</v>
      </c>
      <c r="B3728">
        <v>1998</v>
      </c>
      <c r="C3728" s="8">
        <v>0</v>
      </c>
      <c r="D3728">
        <v>-8.6125999999999998E-3</v>
      </c>
      <c r="E3728">
        <v>0.10336099999999999</v>
      </c>
      <c r="F3728">
        <v>4.4680600000000001E-2</v>
      </c>
      <c r="G3728">
        <v>0.78542330000000005</v>
      </c>
      <c r="H3728">
        <v>0.1140529</v>
      </c>
      <c r="Q3728" s="10">
        <f t="shared" si="136"/>
        <v>1.42632605651849E-2</v>
      </c>
      <c r="AI3728">
        <v>-2.2951300000000001E-2</v>
      </c>
      <c r="AJ3728">
        <f t="shared" si="135"/>
        <v>-2.2951300000000001E-2</v>
      </c>
      <c r="AO3728">
        <v>-2.2951300000000001E-2</v>
      </c>
      <c r="AR3728" s="8">
        <v>0</v>
      </c>
      <c r="AS3728">
        <v>1.0654170000000001</v>
      </c>
    </row>
    <row r="3729" spans="1:45" x14ac:dyDescent="0.25">
      <c r="A3729">
        <v>638</v>
      </c>
      <c r="B3729">
        <v>1999</v>
      </c>
      <c r="C3729" s="8">
        <v>0</v>
      </c>
      <c r="D3729">
        <v>5.8979999999999998E-2</v>
      </c>
      <c r="E3729">
        <v>0.16020499999999999</v>
      </c>
      <c r="F3729">
        <v>3.9514899999999999E-2</v>
      </c>
      <c r="G3729">
        <v>2.4254820000000001</v>
      </c>
      <c r="H3729">
        <v>0.1297238</v>
      </c>
      <c r="Q3729" s="10">
        <f t="shared" si="136"/>
        <v>1.055272545246552E-3</v>
      </c>
      <c r="AI3729">
        <v>5.3027999999999999E-3</v>
      </c>
      <c r="AJ3729">
        <f t="shared" si="135"/>
        <v>5.3027999999999999E-3</v>
      </c>
      <c r="AO3729">
        <v>5.3027999999999999E-3</v>
      </c>
      <c r="AR3729" s="8">
        <v>0</v>
      </c>
      <c r="AS3729">
        <v>0.98007599999999995</v>
      </c>
    </row>
    <row r="3730" spans="1:45" x14ac:dyDescent="0.25">
      <c r="A3730">
        <v>638</v>
      </c>
      <c r="B3730">
        <v>2000</v>
      </c>
      <c r="C3730" s="8">
        <v>0</v>
      </c>
      <c r="D3730">
        <v>-2.2951300000000001E-2</v>
      </c>
      <c r="E3730">
        <v>0.32976490000000003</v>
      </c>
      <c r="F3730">
        <v>4.3641399999999997E-2</v>
      </c>
      <c r="G3730">
        <v>1.02902</v>
      </c>
      <c r="H3730">
        <v>0.10065689999999999</v>
      </c>
      <c r="Q3730" s="10">
        <f t="shared" si="136"/>
        <v>6.9708451843687302E-3</v>
      </c>
      <c r="AI3730">
        <v>0.1175905</v>
      </c>
      <c r="AJ3730">
        <f t="shared" si="135"/>
        <v>0.1175905</v>
      </c>
      <c r="AO3730">
        <v>0.1175905</v>
      </c>
      <c r="AR3730" s="8">
        <v>0</v>
      </c>
      <c r="AS3730">
        <v>0.78542330000000005</v>
      </c>
    </row>
    <row r="3731" spans="1:45" x14ac:dyDescent="0.25">
      <c r="A3731">
        <v>638</v>
      </c>
      <c r="B3731">
        <v>2001</v>
      </c>
      <c r="C3731" s="8">
        <v>0</v>
      </c>
      <c r="D3731">
        <v>5.3027999999999999E-3</v>
      </c>
      <c r="E3731">
        <v>0.28153489999999998</v>
      </c>
      <c r="F3731">
        <v>5.1349800000000001E-2</v>
      </c>
      <c r="G3731">
        <v>1.0583499999999999</v>
      </c>
      <c r="H3731">
        <v>9.9168800000000001E-2</v>
      </c>
      <c r="Q3731" s="10">
        <f t="shared" si="136"/>
        <v>6.7831321491461207E-3</v>
      </c>
      <c r="AI3731">
        <v>0.1131679</v>
      </c>
      <c r="AJ3731">
        <f t="shared" si="135"/>
        <v>0.1131679</v>
      </c>
      <c r="AO3731">
        <v>0.1131679</v>
      </c>
      <c r="AR3731" s="8">
        <v>0</v>
      </c>
      <c r="AS3731">
        <v>2.4254820000000001</v>
      </c>
    </row>
    <row r="3732" spans="1:45" x14ac:dyDescent="0.25">
      <c r="A3732">
        <v>638</v>
      </c>
      <c r="B3732">
        <v>2002</v>
      </c>
      <c r="C3732" s="8">
        <v>0</v>
      </c>
      <c r="D3732">
        <v>0.1175905</v>
      </c>
      <c r="E3732">
        <v>0.19426969999999999</v>
      </c>
      <c r="F3732">
        <v>4.6663999999999997E-2</v>
      </c>
      <c r="G3732">
        <v>0.41218369999999999</v>
      </c>
      <c r="H3732">
        <v>0.12533849999999999</v>
      </c>
      <c r="Q3732" s="10">
        <f t="shared" si="136"/>
        <v>2.3438299098725815E-2</v>
      </c>
      <c r="AI3732">
        <v>0.12835569999999999</v>
      </c>
      <c r="AJ3732">
        <f t="shared" si="135"/>
        <v>0.12835569999999999</v>
      </c>
      <c r="AO3732">
        <v>0.12835569999999999</v>
      </c>
      <c r="AR3732" s="8">
        <v>0</v>
      </c>
      <c r="AS3732">
        <v>1.02902</v>
      </c>
    </row>
    <row r="3733" spans="1:45" x14ac:dyDescent="0.25">
      <c r="A3733">
        <v>638</v>
      </c>
      <c r="B3733">
        <v>2003</v>
      </c>
      <c r="C3733" s="8">
        <v>0</v>
      </c>
      <c r="D3733">
        <v>0.1131679</v>
      </c>
      <c r="E3733">
        <v>0.2020332</v>
      </c>
      <c r="F3733">
        <v>4.7703799999999998E-2</v>
      </c>
      <c r="G3733">
        <v>0.47513640000000001</v>
      </c>
      <c r="H3733">
        <v>0.1291446</v>
      </c>
      <c r="Q3733" s="10">
        <f t="shared" si="136"/>
        <v>2.0855382439932929E-2</v>
      </c>
      <c r="AI3733">
        <v>0.51519110000000001</v>
      </c>
      <c r="AJ3733">
        <f t="shared" si="135"/>
        <v>0.51519110000000001</v>
      </c>
      <c r="AO3733">
        <v>0.51519110000000001</v>
      </c>
      <c r="AR3733" s="8">
        <v>0</v>
      </c>
      <c r="AS3733">
        <v>1.0583499999999999</v>
      </c>
    </row>
    <row r="3734" spans="1:45" x14ac:dyDescent="0.25">
      <c r="A3734">
        <v>638</v>
      </c>
      <c r="B3734">
        <v>2004</v>
      </c>
      <c r="C3734" s="8">
        <v>0</v>
      </c>
      <c r="D3734">
        <v>0.12835569999999999</v>
      </c>
      <c r="E3734">
        <v>0.19362799999999999</v>
      </c>
      <c r="F3734">
        <v>2.39948E-2</v>
      </c>
      <c r="G3734">
        <v>0.53647840000000002</v>
      </c>
      <c r="H3734">
        <v>0.1169029</v>
      </c>
      <c r="Q3734" s="10">
        <f t="shared" si="136"/>
        <v>2.3061859010936742E-2</v>
      </c>
      <c r="AI3734">
        <v>0.51336459999999995</v>
      </c>
      <c r="AJ3734">
        <f t="shared" si="135"/>
        <v>0.51336459999999995</v>
      </c>
      <c r="AO3734">
        <v>0.51336459999999995</v>
      </c>
      <c r="AR3734" s="8">
        <v>0</v>
      </c>
      <c r="AS3734">
        <v>0.41218369999999999</v>
      </c>
    </row>
    <row r="3735" spans="1:45" x14ac:dyDescent="0.25">
      <c r="A3735">
        <v>639</v>
      </c>
      <c r="B3735">
        <v>1995</v>
      </c>
      <c r="C3735" s="8">
        <v>0</v>
      </c>
      <c r="D3735">
        <v>0.51519110000000001</v>
      </c>
      <c r="E3735">
        <v>0.22067580000000001</v>
      </c>
      <c r="F3735">
        <v>6.0201400000000002E-2</v>
      </c>
      <c r="G3735">
        <v>1.5293110000000001</v>
      </c>
      <c r="H3735">
        <v>0.40363569999999999</v>
      </c>
      <c r="Q3735" s="10">
        <f t="shared" si="136"/>
        <v>4.872005443502362E-3</v>
      </c>
      <c r="AI3735">
        <v>0.51854940000000005</v>
      </c>
      <c r="AJ3735">
        <f t="shared" si="135"/>
        <v>0.51854940000000005</v>
      </c>
      <c r="AO3735">
        <v>0.51854940000000005</v>
      </c>
      <c r="AR3735" s="8">
        <v>0</v>
      </c>
      <c r="AS3735">
        <v>0.47513640000000001</v>
      </c>
    </row>
    <row r="3736" spans="1:45" x14ac:dyDescent="0.25">
      <c r="A3736">
        <v>639</v>
      </c>
      <c r="B3736">
        <v>1996</v>
      </c>
      <c r="C3736" s="8">
        <v>0</v>
      </c>
      <c r="D3736">
        <v>0.51336459999999995</v>
      </c>
      <c r="E3736">
        <v>0.22350619999999999</v>
      </c>
      <c r="F3736">
        <v>4.38944E-2</v>
      </c>
      <c r="G3736">
        <v>1.1439790000000001</v>
      </c>
      <c r="H3736">
        <v>0.3818472</v>
      </c>
      <c r="Q3736" s="10">
        <f t="shared" si="136"/>
        <v>1.0018653965283621E-2</v>
      </c>
      <c r="AI3736">
        <v>0.22444810000000001</v>
      </c>
      <c r="AJ3736">
        <f t="shared" si="135"/>
        <v>0.22444810000000001</v>
      </c>
      <c r="AO3736">
        <v>0.22444810000000001</v>
      </c>
      <c r="AR3736" s="8">
        <v>0</v>
      </c>
      <c r="AS3736">
        <v>0.53647840000000002</v>
      </c>
    </row>
    <row r="3737" spans="1:45" x14ac:dyDescent="0.25">
      <c r="A3737">
        <v>639</v>
      </c>
      <c r="B3737">
        <v>1997</v>
      </c>
      <c r="C3737" s="8">
        <v>0</v>
      </c>
      <c r="D3737">
        <v>0.51854940000000005</v>
      </c>
      <c r="E3737">
        <v>0.23731910000000001</v>
      </c>
      <c r="F3737">
        <v>5.8676499999999999E-2</v>
      </c>
      <c r="G3737">
        <v>1.9104239999999999</v>
      </c>
      <c r="H3737">
        <v>0.36445319999999998</v>
      </c>
      <c r="Q3737" s="10">
        <f t="shared" si="136"/>
        <v>2.5691757390933732E-3</v>
      </c>
      <c r="AI3737">
        <v>6.6071999999999997E-3</v>
      </c>
      <c r="AJ3737">
        <f t="shared" si="135"/>
        <v>6.6071999999999997E-3</v>
      </c>
      <c r="AO3737">
        <v>6.6071999999999997E-3</v>
      </c>
      <c r="AR3737" s="8">
        <v>0</v>
      </c>
      <c r="AS3737">
        <v>1.5293110000000001</v>
      </c>
    </row>
    <row r="3738" spans="1:45" x14ac:dyDescent="0.25">
      <c r="A3738">
        <v>639</v>
      </c>
      <c r="B3738">
        <v>1999</v>
      </c>
      <c r="C3738" s="8">
        <v>0</v>
      </c>
      <c r="D3738">
        <v>0.22444810000000001</v>
      </c>
      <c r="E3738">
        <v>0.3718188</v>
      </c>
      <c r="F3738">
        <v>-4.7021300000000002E-2</v>
      </c>
      <c r="G3738">
        <v>0.94471950000000005</v>
      </c>
      <c r="H3738">
        <v>0.17381489999999999</v>
      </c>
      <c r="Q3738" s="10">
        <f t="shared" si="136"/>
        <v>1.7762296855817847E-2</v>
      </c>
      <c r="AI3738">
        <v>7.6810900000000001E-2</v>
      </c>
      <c r="AJ3738">
        <f t="shared" si="135"/>
        <v>7.6810900000000001E-2</v>
      </c>
      <c r="AO3738">
        <v>7.6810900000000001E-2</v>
      </c>
      <c r="AR3738" s="8">
        <v>0</v>
      </c>
      <c r="AS3738">
        <v>1.1439790000000001</v>
      </c>
    </row>
    <row r="3739" spans="1:45" x14ac:dyDescent="0.25">
      <c r="A3739">
        <v>640</v>
      </c>
      <c r="B3739">
        <v>1995</v>
      </c>
      <c r="C3739" s="8">
        <v>0</v>
      </c>
      <c r="D3739">
        <v>6.6071999999999997E-3</v>
      </c>
      <c r="E3739">
        <v>9.1035999999999999E-3</v>
      </c>
      <c r="F3739">
        <v>4.6302400000000001E-2</v>
      </c>
      <c r="G3739">
        <v>0.8817623</v>
      </c>
      <c r="H3739">
        <v>0.20627570000000001</v>
      </c>
      <c r="Q3739" s="10">
        <f t="shared" si="136"/>
        <v>1.4749469442816557E-2</v>
      </c>
      <c r="AI3739">
        <v>9.9738499999999994E-2</v>
      </c>
      <c r="AJ3739">
        <f t="shared" si="135"/>
        <v>9.9738499999999994E-2</v>
      </c>
      <c r="AO3739">
        <v>9.9738499999999994E-2</v>
      </c>
      <c r="AR3739" s="8">
        <v>0</v>
      </c>
      <c r="AS3739">
        <v>1.9104239999999999</v>
      </c>
    </row>
    <row r="3740" spans="1:45" x14ac:dyDescent="0.25">
      <c r="A3740">
        <v>640</v>
      </c>
      <c r="B3740">
        <v>1996</v>
      </c>
      <c r="C3740" s="8">
        <v>0</v>
      </c>
      <c r="D3740">
        <v>7.6810900000000001E-2</v>
      </c>
      <c r="E3740">
        <v>3.6445699999999998E-2</v>
      </c>
      <c r="F3740">
        <v>4.1408E-2</v>
      </c>
      <c r="G3740">
        <v>1.602333</v>
      </c>
      <c r="H3740">
        <v>0.23290920000000001</v>
      </c>
      <c r="Q3740" s="10">
        <f t="shared" si="136"/>
        <v>4.9421806400515361E-3</v>
      </c>
      <c r="AI3740">
        <v>1.5500000000000001E-5</v>
      </c>
      <c r="AJ3740">
        <f t="shared" si="135"/>
        <v>1.5500000000000001E-5</v>
      </c>
      <c r="AO3740">
        <v>1.5500000000000001E-5</v>
      </c>
      <c r="AR3740" s="8">
        <v>0</v>
      </c>
      <c r="AS3740">
        <v>0.94471950000000005</v>
      </c>
    </row>
    <row r="3741" spans="1:45" x14ac:dyDescent="0.25">
      <c r="A3741">
        <v>640</v>
      </c>
      <c r="B3741">
        <v>1997</v>
      </c>
      <c r="C3741" s="8">
        <v>0</v>
      </c>
      <c r="D3741">
        <v>9.9738499999999994E-2</v>
      </c>
      <c r="E3741">
        <v>3.07984E-2</v>
      </c>
      <c r="F3741">
        <v>6.4551700000000004E-2</v>
      </c>
      <c r="G3741">
        <v>1.1691229999999999</v>
      </c>
      <c r="H3741">
        <v>0.2433912</v>
      </c>
      <c r="Q3741" s="10">
        <f t="shared" si="136"/>
        <v>8.362892957163361E-3</v>
      </c>
      <c r="AI3741">
        <v>0.21505920000000001</v>
      </c>
      <c r="AJ3741">
        <f t="shared" si="135"/>
        <v>0.21505920000000001</v>
      </c>
      <c r="AO3741">
        <v>0.21505920000000001</v>
      </c>
      <c r="AR3741" s="8">
        <v>0</v>
      </c>
      <c r="AS3741">
        <v>0.8817623</v>
      </c>
    </row>
    <row r="3742" spans="1:45" x14ac:dyDescent="0.25">
      <c r="A3742">
        <v>640</v>
      </c>
      <c r="B3742">
        <v>1998</v>
      </c>
      <c r="C3742" s="8">
        <v>0</v>
      </c>
      <c r="D3742">
        <v>1.5500000000000001E-5</v>
      </c>
      <c r="E3742">
        <v>4.1055599999999998E-2</v>
      </c>
      <c r="F3742">
        <v>2.62814E-2</v>
      </c>
      <c r="G3742">
        <v>0.94703570000000004</v>
      </c>
      <c r="H3742">
        <v>0.1177638</v>
      </c>
      <c r="Q3742" s="10">
        <f t="shared" si="136"/>
        <v>1.4069145659223256E-2</v>
      </c>
      <c r="AI3742">
        <v>0.1150351</v>
      </c>
      <c r="AJ3742">
        <f t="shared" si="135"/>
        <v>0.1150351</v>
      </c>
      <c r="AO3742">
        <v>0.1150351</v>
      </c>
      <c r="AR3742" s="8">
        <v>0</v>
      </c>
      <c r="AS3742">
        <v>1.602333</v>
      </c>
    </row>
    <row r="3743" spans="1:45" x14ac:dyDescent="0.25">
      <c r="A3743">
        <v>640</v>
      </c>
      <c r="B3743">
        <v>1999</v>
      </c>
      <c r="C3743" s="8">
        <v>0</v>
      </c>
      <c r="D3743">
        <v>0.21505920000000001</v>
      </c>
      <c r="E3743">
        <v>-0.67550010000000005</v>
      </c>
      <c r="F3743">
        <v>2.3349999999999998E-3</v>
      </c>
      <c r="G3743">
        <v>0.1489048</v>
      </c>
      <c r="H3743">
        <v>0.3028633</v>
      </c>
      <c r="Q3743" s="10">
        <f t="shared" si="136"/>
        <v>0.17647030513682208</v>
      </c>
      <c r="AI3743">
        <v>5.6054699999999999E-2</v>
      </c>
      <c r="AJ3743">
        <f t="shared" si="135"/>
        <v>5.6054699999999999E-2</v>
      </c>
      <c r="AO3743">
        <v>5.6054699999999999E-2</v>
      </c>
      <c r="AR3743" s="8">
        <v>0</v>
      </c>
      <c r="AS3743">
        <v>1.1691229999999999</v>
      </c>
    </row>
    <row r="3744" spans="1:45" x14ac:dyDescent="0.25">
      <c r="A3744">
        <v>640</v>
      </c>
      <c r="B3744">
        <v>2000</v>
      </c>
      <c r="C3744" s="8">
        <v>0</v>
      </c>
      <c r="D3744">
        <v>0.1150351</v>
      </c>
      <c r="E3744">
        <v>-0.71386119999999997</v>
      </c>
      <c r="F3744">
        <v>1.8871700000000002E-2</v>
      </c>
      <c r="G3744">
        <v>5.6809600000000002E-2</v>
      </c>
      <c r="H3744">
        <v>0.32155620000000001</v>
      </c>
      <c r="Q3744" s="10">
        <f t="shared" si="136"/>
        <v>0.18241808960393632</v>
      </c>
      <c r="AI3744">
        <v>-6.0860000000000005E-4</v>
      </c>
      <c r="AJ3744">
        <f t="shared" si="135"/>
        <v>-6.0860000000000005E-4</v>
      </c>
      <c r="AO3744">
        <v>-6.0860000000000005E-4</v>
      </c>
      <c r="AR3744" s="8">
        <v>0</v>
      </c>
      <c r="AS3744">
        <v>0.94703570000000004</v>
      </c>
    </row>
    <row r="3745" spans="1:45" x14ac:dyDescent="0.25">
      <c r="A3745">
        <v>640</v>
      </c>
      <c r="B3745">
        <v>2001</v>
      </c>
      <c r="C3745" s="8">
        <v>0</v>
      </c>
      <c r="D3745">
        <v>5.6054699999999999E-2</v>
      </c>
      <c r="E3745">
        <v>-0.87932569999999999</v>
      </c>
      <c r="F3745">
        <v>4.7067299999999999E-2</v>
      </c>
      <c r="G3745">
        <v>6.3392500000000004E-2</v>
      </c>
      <c r="H3745">
        <v>0.30948710000000001</v>
      </c>
      <c r="Q3745" s="10">
        <f t="shared" si="136"/>
        <v>0.17837289108233836</v>
      </c>
      <c r="AI3745">
        <v>0.1055958</v>
      </c>
      <c r="AJ3745">
        <f t="shared" si="135"/>
        <v>0.1055958</v>
      </c>
      <c r="AO3745">
        <v>0.1055958</v>
      </c>
      <c r="AR3745" s="8">
        <v>0</v>
      </c>
      <c r="AS3745">
        <v>0.1489048</v>
      </c>
    </row>
    <row r="3746" spans="1:45" x14ac:dyDescent="0.25">
      <c r="A3746">
        <v>640</v>
      </c>
      <c r="B3746">
        <v>2002</v>
      </c>
      <c r="C3746" s="8">
        <v>0</v>
      </c>
      <c r="D3746">
        <v>-6.0860000000000005E-4</v>
      </c>
      <c r="E3746">
        <v>-1.0082169999999999</v>
      </c>
      <c r="F3746">
        <v>4.0484100000000002E-2</v>
      </c>
      <c r="G3746">
        <v>9.4299800000000003E-2</v>
      </c>
      <c r="H3746">
        <v>0.37811440000000002</v>
      </c>
      <c r="Q3746" s="10">
        <f t="shared" si="136"/>
        <v>0.21122698994161149</v>
      </c>
      <c r="AI3746">
        <v>8.6841399999999999E-2</v>
      </c>
      <c r="AJ3746">
        <f t="shared" si="135"/>
        <v>8.6841399999999999E-2</v>
      </c>
      <c r="AO3746">
        <v>8.6841399999999999E-2</v>
      </c>
      <c r="AR3746" s="8">
        <v>0</v>
      </c>
      <c r="AS3746">
        <v>5.6809600000000002E-2</v>
      </c>
    </row>
    <row r="3747" spans="1:45" x14ac:dyDescent="0.25">
      <c r="A3747">
        <v>640</v>
      </c>
      <c r="B3747">
        <v>2003</v>
      </c>
      <c r="C3747" s="8">
        <v>0</v>
      </c>
      <c r="D3747">
        <v>0.1055958</v>
      </c>
      <c r="E3747">
        <v>-0.85370900000000005</v>
      </c>
      <c r="F3747">
        <v>3.01856E-2</v>
      </c>
      <c r="G3747">
        <v>0.13332550000000001</v>
      </c>
      <c r="H3747">
        <v>0.35886509999999999</v>
      </c>
      <c r="Q3747" s="10">
        <f t="shared" si="136"/>
        <v>0.18393154361090716</v>
      </c>
      <c r="AI3747">
        <v>0.17506630000000001</v>
      </c>
      <c r="AJ3747">
        <f t="shared" si="135"/>
        <v>0.17506630000000001</v>
      </c>
      <c r="AO3747">
        <v>0.17506630000000001</v>
      </c>
      <c r="AR3747" s="8">
        <v>0</v>
      </c>
      <c r="AS3747">
        <v>6.3392500000000004E-2</v>
      </c>
    </row>
    <row r="3748" spans="1:45" x14ac:dyDescent="0.25">
      <c r="A3748">
        <v>640</v>
      </c>
      <c r="B3748">
        <v>2004</v>
      </c>
      <c r="C3748" s="8">
        <v>0</v>
      </c>
      <c r="D3748">
        <v>8.6841399999999999E-2</v>
      </c>
      <c r="E3748">
        <v>-0.72196479999999996</v>
      </c>
      <c r="F3748">
        <v>4.5983000000000003E-2</v>
      </c>
      <c r="G3748">
        <v>0.28551599999999999</v>
      </c>
      <c r="H3748">
        <v>0.36534119999999998</v>
      </c>
      <c r="Q3748" s="10">
        <f t="shared" si="136"/>
        <v>0.1136341239876059</v>
      </c>
      <c r="AI3748">
        <v>0.1958926</v>
      </c>
      <c r="AJ3748">
        <f t="shared" si="135"/>
        <v>0.1958926</v>
      </c>
      <c r="AO3748">
        <v>0.1958926</v>
      </c>
      <c r="AR3748" s="8">
        <v>0</v>
      </c>
      <c r="AS3748">
        <v>9.4299800000000003E-2</v>
      </c>
    </row>
    <row r="3749" spans="1:45" x14ac:dyDescent="0.25">
      <c r="A3749">
        <v>641</v>
      </c>
      <c r="B3749">
        <v>1995</v>
      </c>
      <c r="C3749" s="8">
        <v>0</v>
      </c>
      <c r="D3749">
        <v>0.17506630000000001</v>
      </c>
      <c r="E3749">
        <v>9.9902099999999994E-2</v>
      </c>
      <c r="F3749">
        <v>6.5521200000000002E-2</v>
      </c>
      <c r="G3749">
        <v>0.74054589999999998</v>
      </c>
      <c r="H3749">
        <v>0.46381240000000001</v>
      </c>
      <c r="Q3749" s="10">
        <f t="shared" si="136"/>
        <v>1.7412635723987321E-2</v>
      </c>
      <c r="AI3749">
        <v>0.15435370000000001</v>
      </c>
      <c r="AJ3749">
        <f t="shared" si="135"/>
        <v>0.15435370000000001</v>
      </c>
      <c r="AO3749">
        <v>0.15435370000000001</v>
      </c>
      <c r="AR3749" s="8">
        <v>0</v>
      </c>
      <c r="AS3749">
        <v>0.13332550000000001</v>
      </c>
    </row>
    <row r="3750" spans="1:45" x14ac:dyDescent="0.25">
      <c r="A3750">
        <v>641</v>
      </c>
      <c r="B3750">
        <v>1996</v>
      </c>
      <c r="C3750" s="8">
        <v>0</v>
      </c>
      <c r="D3750">
        <v>0.1958926</v>
      </c>
      <c r="E3750">
        <v>0.22058249999999999</v>
      </c>
      <c r="F3750">
        <v>4.5453399999999998E-2</v>
      </c>
      <c r="G3750">
        <v>1.3582350000000001</v>
      </c>
      <c r="H3750">
        <v>0.43328090000000002</v>
      </c>
      <c r="Q3750" s="10">
        <f t="shared" si="136"/>
        <v>6.4156548873794449E-3</v>
      </c>
      <c r="AI3750">
        <v>0.2404231</v>
      </c>
      <c r="AJ3750">
        <f t="shared" si="135"/>
        <v>0.2404231</v>
      </c>
      <c r="AO3750">
        <v>0.2404231</v>
      </c>
      <c r="AR3750" s="8">
        <v>0</v>
      </c>
      <c r="AS3750">
        <v>0.28551599999999999</v>
      </c>
    </row>
    <row r="3751" spans="1:45" x14ac:dyDescent="0.25">
      <c r="A3751">
        <v>641</v>
      </c>
      <c r="B3751">
        <v>1997</v>
      </c>
      <c r="C3751" s="8">
        <v>0</v>
      </c>
      <c r="D3751">
        <v>0.15435370000000001</v>
      </c>
      <c r="E3751">
        <v>0.24344640000000001</v>
      </c>
      <c r="F3751">
        <v>3.0991100000000001E-2</v>
      </c>
      <c r="G3751">
        <v>1.398882</v>
      </c>
      <c r="H3751">
        <v>0.429956</v>
      </c>
      <c r="Q3751" s="10">
        <f t="shared" si="136"/>
        <v>6.4054090561157639E-3</v>
      </c>
      <c r="AI3751">
        <v>0.17998140000000001</v>
      </c>
      <c r="AJ3751">
        <f t="shared" si="135"/>
        <v>0.17998140000000001</v>
      </c>
      <c r="AO3751">
        <v>0.17998140000000001</v>
      </c>
      <c r="AR3751" s="8">
        <v>0</v>
      </c>
      <c r="AS3751">
        <v>0.74054589999999998</v>
      </c>
    </row>
    <row r="3752" spans="1:45" x14ac:dyDescent="0.25">
      <c r="A3752">
        <v>641</v>
      </c>
      <c r="B3752">
        <v>1999</v>
      </c>
      <c r="C3752" s="8">
        <v>0</v>
      </c>
      <c r="D3752">
        <v>0.2404231</v>
      </c>
      <c r="E3752">
        <v>0.15651680000000001</v>
      </c>
      <c r="F3752">
        <v>1.59802E-2</v>
      </c>
      <c r="G3752">
        <v>0.45494129999999999</v>
      </c>
      <c r="H3752">
        <v>0.6182725</v>
      </c>
      <c r="Q3752" s="10">
        <f t="shared" si="136"/>
        <v>4.1443906385013052E-2</v>
      </c>
      <c r="AI3752">
        <v>0.1667003</v>
      </c>
      <c r="AJ3752">
        <f t="shared" si="135"/>
        <v>0.1667003</v>
      </c>
      <c r="AO3752">
        <v>0.1667003</v>
      </c>
      <c r="AR3752" s="8">
        <v>0</v>
      </c>
      <c r="AS3752">
        <v>1.3582350000000001</v>
      </c>
    </row>
    <row r="3753" spans="1:45" x14ac:dyDescent="0.25">
      <c r="A3753">
        <v>641</v>
      </c>
      <c r="B3753">
        <v>2000</v>
      </c>
      <c r="C3753" s="8">
        <v>0</v>
      </c>
      <c r="D3753">
        <v>0.17998140000000001</v>
      </c>
      <c r="E3753">
        <v>0.2068905</v>
      </c>
      <c r="F3753">
        <v>7.0315600000000006E-2</v>
      </c>
      <c r="G3753">
        <v>0.44708100000000001</v>
      </c>
      <c r="H3753">
        <v>0.9593062</v>
      </c>
      <c r="Q3753" s="10">
        <f t="shared" si="136"/>
        <v>3.0764725933079173E-2</v>
      </c>
      <c r="AI3753">
        <v>0.1424832</v>
      </c>
      <c r="AJ3753">
        <f t="shared" si="135"/>
        <v>0.1424832</v>
      </c>
      <c r="AO3753">
        <v>0.1424832</v>
      </c>
      <c r="AR3753" s="8">
        <v>0</v>
      </c>
      <c r="AS3753">
        <v>1.398882</v>
      </c>
    </row>
    <row r="3754" spans="1:45" x14ac:dyDescent="0.25">
      <c r="A3754">
        <v>641</v>
      </c>
      <c r="B3754">
        <v>2001</v>
      </c>
      <c r="C3754" s="8">
        <v>0</v>
      </c>
      <c r="D3754">
        <v>0.1667003</v>
      </c>
      <c r="E3754">
        <v>0.14901780000000001</v>
      </c>
      <c r="F3754">
        <v>2.9059700000000001E-2</v>
      </c>
      <c r="G3754">
        <v>0.31198049999999999</v>
      </c>
      <c r="H3754">
        <v>0.50393239999999995</v>
      </c>
      <c r="Q3754" s="10">
        <f t="shared" si="136"/>
        <v>4.276229681616138E-2</v>
      </c>
      <c r="AI3754">
        <v>0.12619849999999999</v>
      </c>
      <c r="AJ3754">
        <f t="shared" si="135"/>
        <v>0.12619849999999999</v>
      </c>
      <c r="AO3754">
        <v>0.12619849999999999</v>
      </c>
      <c r="AR3754" s="8">
        <v>0</v>
      </c>
      <c r="AS3754">
        <v>0.45494129999999999</v>
      </c>
    </row>
    <row r="3755" spans="1:45" x14ac:dyDescent="0.25">
      <c r="A3755">
        <v>641</v>
      </c>
      <c r="B3755">
        <v>2002</v>
      </c>
      <c r="C3755" s="8">
        <v>0</v>
      </c>
      <c r="D3755">
        <v>0.1424832</v>
      </c>
      <c r="E3755">
        <v>7.0993700000000007E-2</v>
      </c>
      <c r="F3755">
        <v>4.5248799999999999E-2</v>
      </c>
      <c r="G3755">
        <v>0.14039070000000001</v>
      </c>
      <c r="H3755">
        <v>0.55720979999999998</v>
      </c>
      <c r="Q3755" s="10">
        <f t="shared" si="136"/>
        <v>5.5828798562746661E-2</v>
      </c>
      <c r="AI3755">
        <v>0.12772149999999999</v>
      </c>
      <c r="AJ3755">
        <f t="shared" si="135"/>
        <v>0.12772149999999999</v>
      </c>
      <c r="AO3755">
        <v>0.12772149999999999</v>
      </c>
      <c r="AR3755" s="8">
        <v>0</v>
      </c>
      <c r="AS3755">
        <v>0.44708100000000001</v>
      </c>
    </row>
    <row r="3756" spans="1:45" x14ac:dyDescent="0.25">
      <c r="A3756">
        <v>641</v>
      </c>
      <c r="B3756">
        <v>2003</v>
      </c>
      <c r="C3756" s="8">
        <v>0</v>
      </c>
      <c r="D3756">
        <v>0.12619849999999999</v>
      </c>
      <c r="E3756">
        <v>0.10174560000000001</v>
      </c>
      <c r="F3756">
        <v>4.0038999999999998E-2</v>
      </c>
      <c r="G3756">
        <v>0.384799</v>
      </c>
      <c r="H3756">
        <v>0.61096569999999994</v>
      </c>
      <c r="Q3756" s="10">
        <f t="shared" si="136"/>
        <v>3.9392882227324656E-2</v>
      </c>
      <c r="AI3756">
        <v>7.9613299999999998E-2</v>
      </c>
      <c r="AJ3756">
        <f t="shared" si="135"/>
        <v>7.9613299999999998E-2</v>
      </c>
      <c r="AO3756">
        <v>7.9613299999999998E-2</v>
      </c>
      <c r="AR3756" s="8">
        <v>0</v>
      </c>
      <c r="AS3756">
        <v>0.31198049999999999</v>
      </c>
    </row>
    <row r="3757" spans="1:45" x14ac:dyDescent="0.25">
      <c r="A3757">
        <v>641</v>
      </c>
      <c r="B3757">
        <v>2004</v>
      </c>
      <c r="C3757" s="8">
        <v>0</v>
      </c>
      <c r="D3757">
        <v>0.12772149999999999</v>
      </c>
      <c r="E3757">
        <v>0.1869651</v>
      </c>
      <c r="F3757">
        <v>3.74718E-2</v>
      </c>
      <c r="G3757">
        <v>0.80269029999999997</v>
      </c>
      <c r="H3757">
        <v>0.85816879999999995</v>
      </c>
      <c r="Q3757" s="10">
        <f t="shared" si="136"/>
        <v>2.1679351360417952E-2</v>
      </c>
      <c r="AI3757">
        <v>8.0268500000000007E-2</v>
      </c>
      <c r="AJ3757">
        <f t="shared" si="135"/>
        <v>8.0268500000000007E-2</v>
      </c>
      <c r="AO3757">
        <v>8.0268500000000007E-2</v>
      </c>
      <c r="AR3757" s="8">
        <v>0</v>
      </c>
      <c r="AS3757">
        <v>0.14039070000000001</v>
      </c>
    </row>
    <row r="3758" spans="1:45" x14ac:dyDescent="0.25">
      <c r="A3758">
        <v>642</v>
      </c>
      <c r="B3758">
        <v>1995</v>
      </c>
      <c r="C3758" s="8">
        <v>0</v>
      </c>
      <c r="D3758">
        <v>7.9613299999999998E-2</v>
      </c>
      <c r="E3758">
        <v>0.33366299999999999</v>
      </c>
      <c r="F3758">
        <v>-1.0291099999999999E-2</v>
      </c>
      <c r="G3758">
        <v>1.37896</v>
      </c>
      <c r="H3758">
        <v>0.39808379999999999</v>
      </c>
      <c r="Q3758" s="10">
        <f t="shared" si="136"/>
        <v>7.6594911153481703E-3</v>
      </c>
      <c r="AI3758">
        <v>4.4870899999999998E-2</v>
      </c>
      <c r="AJ3758">
        <f t="shared" si="135"/>
        <v>4.4870899999999998E-2</v>
      </c>
      <c r="AO3758">
        <v>4.4870899999999998E-2</v>
      </c>
      <c r="AR3758" s="8">
        <v>0</v>
      </c>
      <c r="AS3758">
        <v>0.384799</v>
      </c>
    </row>
    <row r="3759" spans="1:45" x14ac:dyDescent="0.25">
      <c r="A3759">
        <v>642</v>
      </c>
      <c r="B3759">
        <v>1996</v>
      </c>
      <c r="C3759" s="8">
        <v>0</v>
      </c>
      <c r="D3759">
        <v>8.0268500000000007E-2</v>
      </c>
      <c r="E3759">
        <v>0.33680840000000001</v>
      </c>
      <c r="F3759">
        <v>5.12817E-2</v>
      </c>
      <c r="G3759">
        <v>1.5799989999999999</v>
      </c>
      <c r="H3759">
        <v>0.48906280000000002</v>
      </c>
      <c r="Q3759" s="10">
        <f t="shared" si="136"/>
        <v>3.5938166328553169E-3</v>
      </c>
      <c r="AI3759">
        <v>3.9954799999999999E-2</v>
      </c>
      <c r="AJ3759">
        <f t="shared" si="135"/>
        <v>3.9954799999999999E-2</v>
      </c>
      <c r="AO3759">
        <v>3.9954799999999999E-2</v>
      </c>
      <c r="AR3759" s="8">
        <v>0</v>
      </c>
      <c r="AS3759">
        <v>0.80269029999999997</v>
      </c>
    </row>
    <row r="3760" spans="1:45" x14ac:dyDescent="0.25">
      <c r="A3760">
        <v>642</v>
      </c>
      <c r="B3760">
        <v>1997</v>
      </c>
      <c r="C3760" s="8">
        <v>0</v>
      </c>
      <c r="D3760">
        <v>4.4870899999999998E-2</v>
      </c>
      <c r="E3760">
        <v>0.36048439999999998</v>
      </c>
      <c r="F3760">
        <v>5.5878799999999999E-2</v>
      </c>
      <c r="G3760">
        <v>1.7796289999999999</v>
      </c>
      <c r="H3760">
        <v>0.43163970000000002</v>
      </c>
      <c r="Q3760" s="10">
        <f t="shared" si="136"/>
        <v>2.3184803725934452E-3</v>
      </c>
      <c r="AI3760">
        <v>4.7805199999999999E-2</v>
      </c>
      <c r="AJ3760">
        <f t="shared" si="135"/>
        <v>4.7805199999999999E-2</v>
      </c>
      <c r="AO3760">
        <v>4.7805199999999999E-2</v>
      </c>
      <c r="AR3760" s="8">
        <v>0</v>
      </c>
      <c r="AS3760">
        <v>1.37896</v>
      </c>
    </row>
    <row r="3761" spans="1:45" x14ac:dyDescent="0.25">
      <c r="A3761">
        <v>642</v>
      </c>
      <c r="B3761">
        <v>1998</v>
      </c>
      <c r="C3761" s="8">
        <v>0</v>
      </c>
      <c r="D3761">
        <v>3.9954799999999999E-2</v>
      </c>
      <c r="E3761">
        <v>0.36029670000000003</v>
      </c>
      <c r="F3761">
        <v>3.4406399999999997E-2</v>
      </c>
      <c r="G3761">
        <v>1.7135769999999999</v>
      </c>
      <c r="H3761">
        <v>0.30522949999999999</v>
      </c>
      <c r="Q3761" s="10">
        <f t="shared" si="136"/>
        <v>2.8216540909900981E-3</v>
      </c>
      <c r="AI3761">
        <v>5.9954300000000002E-2</v>
      </c>
      <c r="AJ3761">
        <f t="shared" si="135"/>
        <v>5.9954300000000002E-2</v>
      </c>
      <c r="AO3761">
        <v>5.9954300000000002E-2</v>
      </c>
      <c r="AR3761" s="8">
        <v>0</v>
      </c>
      <c r="AS3761">
        <v>1.5799989999999999</v>
      </c>
    </row>
    <row r="3762" spans="1:45" x14ac:dyDescent="0.25">
      <c r="A3762">
        <v>642</v>
      </c>
      <c r="B3762">
        <v>1999</v>
      </c>
      <c r="C3762" s="8">
        <v>0</v>
      </c>
      <c r="D3762">
        <v>4.7805199999999999E-2</v>
      </c>
      <c r="E3762">
        <v>0.36077340000000002</v>
      </c>
      <c r="F3762">
        <v>4.3733000000000001E-2</v>
      </c>
      <c r="G3762">
        <v>1.7955650000000001</v>
      </c>
      <c r="H3762">
        <v>0.3791948</v>
      </c>
      <c r="Q3762" s="10">
        <f t="shared" si="136"/>
        <v>2.4130010580150742E-3</v>
      </c>
      <c r="AI3762">
        <v>-5.4603999999999998E-3</v>
      </c>
      <c r="AJ3762">
        <f t="shared" si="135"/>
        <v>-5.4603999999999998E-3</v>
      </c>
      <c r="AO3762">
        <v>-5.4603999999999998E-3</v>
      </c>
      <c r="AR3762" s="8">
        <v>0</v>
      </c>
      <c r="AS3762">
        <v>1.7796289999999999</v>
      </c>
    </row>
    <row r="3763" spans="1:45" x14ac:dyDescent="0.25">
      <c r="A3763">
        <v>642</v>
      </c>
      <c r="B3763">
        <v>2000</v>
      </c>
      <c r="C3763" s="8">
        <v>0</v>
      </c>
      <c r="D3763">
        <v>5.9954300000000002E-2</v>
      </c>
      <c r="E3763">
        <v>0.38045899999999999</v>
      </c>
      <c r="F3763">
        <v>5.7125599999999999E-2</v>
      </c>
      <c r="G3763">
        <v>1.997115</v>
      </c>
      <c r="H3763">
        <v>0.49472830000000001</v>
      </c>
      <c r="Q3763" s="10">
        <f t="shared" si="136"/>
        <v>1.6509114091113088E-3</v>
      </c>
      <c r="AI3763">
        <v>-2.6470799999999999E-2</v>
      </c>
      <c r="AJ3763">
        <f t="shared" si="135"/>
        <v>-2.6470799999999999E-2</v>
      </c>
      <c r="AO3763">
        <v>-2.6470799999999999E-2</v>
      </c>
      <c r="AR3763" s="8">
        <v>0</v>
      </c>
      <c r="AS3763">
        <v>1.7135769999999999</v>
      </c>
    </row>
    <row r="3764" spans="1:45" x14ac:dyDescent="0.25">
      <c r="A3764">
        <v>643</v>
      </c>
      <c r="B3764">
        <v>1999</v>
      </c>
      <c r="C3764" s="8">
        <v>0</v>
      </c>
      <c r="D3764">
        <v>-5.4603999999999998E-3</v>
      </c>
      <c r="E3764">
        <v>0.17324249999999999</v>
      </c>
      <c r="F3764">
        <v>4.0230200000000001E-2</v>
      </c>
      <c r="G3764">
        <v>0.48307840000000002</v>
      </c>
      <c r="H3764">
        <v>0.30532239999999999</v>
      </c>
      <c r="Q3764" s="10">
        <f t="shared" si="136"/>
        <v>2.4125670092423272E-2</v>
      </c>
      <c r="AI3764">
        <v>-6.5504900000000005E-2</v>
      </c>
      <c r="AJ3764">
        <f t="shared" si="135"/>
        <v>-6.5504900000000005E-2</v>
      </c>
      <c r="AO3764">
        <v>-6.5504900000000005E-2</v>
      </c>
      <c r="AR3764" s="8">
        <v>0</v>
      </c>
      <c r="AS3764">
        <v>1.7955650000000001</v>
      </c>
    </row>
    <row r="3765" spans="1:45" x14ac:dyDescent="0.25">
      <c r="A3765">
        <v>643</v>
      </c>
      <c r="B3765">
        <v>2000</v>
      </c>
      <c r="C3765" s="8">
        <v>0</v>
      </c>
      <c r="D3765">
        <v>-2.6470799999999999E-2</v>
      </c>
      <c r="E3765">
        <v>0.1857142</v>
      </c>
      <c r="F3765">
        <v>3.6605499999999999E-2</v>
      </c>
      <c r="G3765">
        <v>0.4667733</v>
      </c>
      <c r="H3765">
        <v>0.27915180000000001</v>
      </c>
      <c r="Q3765" s="10">
        <f t="shared" si="136"/>
        <v>2.4407877801966932E-2</v>
      </c>
      <c r="AI3765">
        <v>-3.2517600000000001E-2</v>
      </c>
      <c r="AJ3765">
        <f t="shared" si="135"/>
        <v>-3.2517600000000001E-2</v>
      </c>
      <c r="AO3765">
        <v>-3.2517600000000001E-2</v>
      </c>
      <c r="AR3765" s="8">
        <v>0</v>
      </c>
      <c r="AS3765">
        <v>1.997115</v>
      </c>
    </row>
    <row r="3766" spans="1:45" x14ac:dyDescent="0.25">
      <c r="A3766">
        <v>643</v>
      </c>
      <c r="B3766">
        <v>2001</v>
      </c>
      <c r="C3766" s="8">
        <v>0</v>
      </c>
      <c r="D3766">
        <v>-6.5504900000000005E-2</v>
      </c>
      <c r="E3766">
        <v>0.16499929999999999</v>
      </c>
      <c r="F3766">
        <v>-2.5936000000000002E-3</v>
      </c>
      <c r="G3766">
        <v>0.20949760000000001</v>
      </c>
      <c r="H3766">
        <v>0.20617920000000001</v>
      </c>
      <c r="Q3766" s="10">
        <f t="shared" si="136"/>
        <v>4.7612897328067567E-2</v>
      </c>
      <c r="AI3766">
        <v>8.6999E-3</v>
      </c>
      <c r="AJ3766">
        <f t="shared" si="135"/>
        <v>8.6999E-3</v>
      </c>
      <c r="AO3766">
        <v>8.6999E-3</v>
      </c>
      <c r="AR3766" s="8">
        <v>0</v>
      </c>
      <c r="AS3766">
        <v>0.48307840000000002</v>
      </c>
    </row>
    <row r="3767" spans="1:45" x14ac:dyDescent="0.25">
      <c r="A3767">
        <v>643</v>
      </c>
      <c r="B3767">
        <v>2002</v>
      </c>
      <c r="C3767" s="8">
        <v>0</v>
      </c>
      <c r="D3767">
        <v>-3.2517600000000001E-2</v>
      </c>
      <c r="E3767">
        <v>6.8325700000000003E-2</v>
      </c>
      <c r="F3767">
        <v>1.26283E-2</v>
      </c>
      <c r="G3767">
        <v>7.8523099999999998E-2</v>
      </c>
      <c r="H3767">
        <v>0.22494249999999999</v>
      </c>
      <c r="Q3767" s="10">
        <f t="shared" si="136"/>
        <v>6.0480622766617052E-2</v>
      </c>
      <c r="AI3767">
        <v>-8.9219E-3</v>
      </c>
      <c r="AJ3767">
        <f t="shared" si="135"/>
        <v>-8.9219E-3</v>
      </c>
      <c r="AO3767">
        <v>-8.9219E-3</v>
      </c>
      <c r="AR3767" s="8">
        <v>0</v>
      </c>
      <c r="AS3767">
        <v>0.4667733</v>
      </c>
    </row>
    <row r="3768" spans="1:45" x14ac:dyDescent="0.25">
      <c r="A3768">
        <v>643</v>
      </c>
      <c r="B3768">
        <v>2003</v>
      </c>
      <c r="C3768" s="8">
        <v>0</v>
      </c>
      <c r="D3768">
        <v>8.6999E-3</v>
      </c>
      <c r="E3768">
        <v>8.4249500000000005E-2</v>
      </c>
      <c r="F3768">
        <v>3.3212800000000001E-2</v>
      </c>
      <c r="G3768">
        <v>0.15488669999999999</v>
      </c>
      <c r="H3768">
        <v>0.241954</v>
      </c>
      <c r="Q3768" s="10">
        <f t="shared" si="136"/>
        <v>4.6312439737952737E-2</v>
      </c>
      <c r="AI3768">
        <v>0.28838429999999998</v>
      </c>
      <c r="AJ3768">
        <f t="shared" si="135"/>
        <v>0.28838429999999998</v>
      </c>
      <c r="AO3768">
        <v>0.28838429999999998</v>
      </c>
      <c r="AR3768" s="8">
        <v>0</v>
      </c>
      <c r="AS3768">
        <v>0.20949760000000001</v>
      </c>
    </row>
    <row r="3769" spans="1:45" x14ac:dyDescent="0.25">
      <c r="A3769">
        <v>643</v>
      </c>
      <c r="B3769">
        <v>2004</v>
      </c>
      <c r="C3769" s="8">
        <v>0</v>
      </c>
      <c r="D3769">
        <v>-8.9219E-3</v>
      </c>
      <c r="E3769">
        <v>2.3255899999999999E-2</v>
      </c>
      <c r="F3769">
        <v>2.69538E-2</v>
      </c>
      <c r="G3769">
        <v>0.1256989</v>
      </c>
      <c r="H3769">
        <v>0.26919969999999999</v>
      </c>
      <c r="Q3769" s="10">
        <f t="shared" si="136"/>
        <v>5.5720315941071491E-2</v>
      </c>
      <c r="AI3769">
        <v>0.3303836</v>
      </c>
      <c r="AJ3769">
        <f t="shared" si="135"/>
        <v>0.3303836</v>
      </c>
      <c r="AO3769">
        <v>0.3303836</v>
      </c>
      <c r="AR3769" s="8">
        <v>0</v>
      </c>
      <c r="AS3769">
        <v>7.8523099999999998E-2</v>
      </c>
    </row>
    <row r="3770" spans="1:45" x14ac:dyDescent="0.25">
      <c r="A3770">
        <v>644</v>
      </c>
      <c r="B3770">
        <v>1995</v>
      </c>
      <c r="C3770" s="8">
        <v>0</v>
      </c>
      <c r="D3770">
        <v>0.28838429999999998</v>
      </c>
      <c r="E3770">
        <v>0.2772927</v>
      </c>
      <c r="F3770">
        <v>9.0475899999999998E-2</v>
      </c>
      <c r="G3770">
        <v>1.851078</v>
      </c>
      <c r="H3770">
        <v>0.35577530000000002</v>
      </c>
      <c r="Q3770" s="10">
        <f t="shared" si="136"/>
        <v>1.8693957217047199E-3</v>
      </c>
      <c r="AI3770">
        <v>0.2247798</v>
      </c>
      <c r="AJ3770">
        <f t="shared" si="135"/>
        <v>0.2247798</v>
      </c>
      <c r="AO3770">
        <v>0.2247798</v>
      </c>
      <c r="AR3770" s="8">
        <v>0</v>
      </c>
      <c r="AS3770">
        <v>0.15488669999999999</v>
      </c>
    </row>
    <row r="3771" spans="1:45" x14ac:dyDescent="0.25">
      <c r="A3771">
        <v>644</v>
      </c>
      <c r="B3771">
        <v>1996</v>
      </c>
      <c r="C3771" s="8">
        <v>0</v>
      </c>
      <c r="D3771">
        <v>0.3303836</v>
      </c>
      <c r="E3771">
        <v>0.34449380000000002</v>
      </c>
      <c r="F3771">
        <v>8.0733100000000002E-2</v>
      </c>
      <c r="G3771">
        <v>1.2982229999999999</v>
      </c>
      <c r="H3771">
        <v>0.3679694</v>
      </c>
      <c r="Q3771" s="10">
        <f t="shared" si="136"/>
        <v>4.5229405914973412E-3</v>
      </c>
      <c r="AI3771">
        <v>0.1424213</v>
      </c>
      <c r="AJ3771">
        <f t="shared" si="135"/>
        <v>0.1424213</v>
      </c>
      <c r="AO3771">
        <v>0.1424213</v>
      </c>
      <c r="AR3771" s="8">
        <v>0</v>
      </c>
      <c r="AS3771">
        <v>0.1256989</v>
      </c>
    </row>
    <row r="3772" spans="1:45" x14ac:dyDescent="0.25">
      <c r="A3772">
        <v>644</v>
      </c>
      <c r="B3772">
        <v>1997</v>
      </c>
      <c r="C3772" s="8">
        <v>0</v>
      </c>
      <c r="D3772">
        <v>0.2247798</v>
      </c>
      <c r="E3772">
        <v>0.3337851</v>
      </c>
      <c r="F3772">
        <v>8.6459599999999998E-2</v>
      </c>
      <c r="G3772">
        <v>2.0134789999999998</v>
      </c>
      <c r="H3772">
        <v>0.33007229999999999</v>
      </c>
      <c r="Q3772" s="10">
        <f t="shared" si="136"/>
        <v>1.3166190101942632E-3</v>
      </c>
      <c r="AI3772">
        <v>0.14159939999999999</v>
      </c>
      <c r="AJ3772">
        <f t="shared" si="135"/>
        <v>0.14159939999999999</v>
      </c>
      <c r="AO3772">
        <v>0.14159939999999999</v>
      </c>
      <c r="AR3772" s="8">
        <v>0</v>
      </c>
      <c r="AS3772">
        <v>1.851078</v>
      </c>
    </row>
    <row r="3773" spans="1:45" x14ac:dyDescent="0.25">
      <c r="A3773">
        <v>644</v>
      </c>
      <c r="B3773">
        <v>1998</v>
      </c>
      <c r="C3773" s="8">
        <v>0</v>
      </c>
      <c r="D3773">
        <v>0.1424213</v>
      </c>
      <c r="E3773">
        <v>0.31287599999999999</v>
      </c>
      <c r="F3773">
        <v>4.4859400000000001E-2</v>
      </c>
      <c r="G3773">
        <v>1.1171759999999999</v>
      </c>
      <c r="H3773">
        <v>0.22102869999999999</v>
      </c>
      <c r="Q3773" s="10">
        <f t="shared" si="136"/>
        <v>7.0927216284502404E-3</v>
      </c>
      <c r="AI3773">
        <v>0.13811850000000001</v>
      </c>
      <c r="AJ3773">
        <f t="shared" si="135"/>
        <v>0.13811850000000001</v>
      </c>
      <c r="AO3773">
        <v>0.13811850000000001</v>
      </c>
      <c r="AR3773" s="8">
        <v>0</v>
      </c>
      <c r="AS3773">
        <v>1.2982229999999999</v>
      </c>
    </row>
    <row r="3774" spans="1:45" x14ac:dyDescent="0.25">
      <c r="A3774">
        <v>644</v>
      </c>
      <c r="B3774">
        <v>1999</v>
      </c>
      <c r="C3774" s="8">
        <v>0</v>
      </c>
      <c r="D3774">
        <v>0.14159939999999999</v>
      </c>
      <c r="E3774">
        <v>0.30041889999999999</v>
      </c>
      <c r="F3774">
        <v>5.0450599999999998E-2</v>
      </c>
      <c r="G3774">
        <v>0.56504679999999996</v>
      </c>
      <c r="H3774">
        <v>0.2016319</v>
      </c>
      <c r="Q3774" s="10">
        <f t="shared" si="136"/>
        <v>1.6291743757132264E-2</v>
      </c>
      <c r="AI3774">
        <v>0.13731280000000001</v>
      </c>
      <c r="AJ3774">
        <f t="shared" si="135"/>
        <v>0.13731280000000001</v>
      </c>
      <c r="AO3774">
        <v>0.13731280000000001</v>
      </c>
      <c r="AR3774" s="8">
        <v>0</v>
      </c>
      <c r="AS3774">
        <v>2.0134789999999998</v>
      </c>
    </row>
    <row r="3775" spans="1:45" x14ac:dyDescent="0.25">
      <c r="A3775">
        <v>644</v>
      </c>
      <c r="B3775">
        <v>2000</v>
      </c>
      <c r="C3775" s="8">
        <v>0</v>
      </c>
      <c r="D3775">
        <v>0.13811850000000001</v>
      </c>
      <c r="E3775">
        <v>0.3160676</v>
      </c>
      <c r="F3775">
        <v>4.0139800000000003E-2</v>
      </c>
      <c r="G3775">
        <v>0.62351630000000002</v>
      </c>
      <c r="H3775">
        <v>0.21817990000000001</v>
      </c>
      <c r="Q3775" s="10">
        <f t="shared" si="136"/>
        <v>1.5901513034978238E-2</v>
      </c>
      <c r="AI3775">
        <v>0.14780979999999999</v>
      </c>
      <c r="AJ3775">
        <f t="shared" si="135"/>
        <v>0.14780979999999999</v>
      </c>
      <c r="AO3775">
        <v>0.14780979999999999</v>
      </c>
      <c r="AR3775" s="8">
        <v>0</v>
      </c>
      <c r="AS3775">
        <v>1.1171759999999999</v>
      </c>
    </row>
    <row r="3776" spans="1:45" x14ac:dyDescent="0.25">
      <c r="A3776">
        <v>644</v>
      </c>
      <c r="B3776">
        <v>2001</v>
      </c>
      <c r="C3776" s="8">
        <v>0</v>
      </c>
      <c r="D3776">
        <v>0.13731280000000001</v>
      </c>
      <c r="E3776">
        <v>0.34088499999999999</v>
      </c>
      <c r="F3776">
        <v>6.4322000000000004E-2</v>
      </c>
      <c r="G3776">
        <v>0.82015780000000005</v>
      </c>
      <c r="H3776">
        <v>0.2219325</v>
      </c>
      <c r="Q3776" s="10">
        <f t="shared" si="136"/>
        <v>9.3202058435132174E-3</v>
      </c>
      <c r="AI3776">
        <v>0.2798139</v>
      </c>
      <c r="AJ3776">
        <f t="shared" si="135"/>
        <v>0.2798139</v>
      </c>
      <c r="AO3776">
        <v>0.2798139</v>
      </c>
      <c r="AR3776" s="8">
        <v>0</v>
      </c>
      <c r="AS3776">
        <v>0.56504679999999996</v>
      </c>
    </row>
    <row r="3777" spans="1:45" x14ac:dyDescent="0.25">
      <c r="A3777">
        <v>644</v>
      </c>
      <c r="B3777">
        <v>2002</v>
      </c>
      <c r="C3777" s="8">
        <v>0</v>
      </c>
      <c r="D3777">
        <v>0.14780979999999999</v>
      </c>
      <c r="E3777">
        <v>0.345995</v>
      </c>
      <c r="F3777">
        <v>1.8068600000000001E-2</v>
      </c>
      <c r="G3777">
        <v>0.4975058</v>
      </c>
      <c r="H3777">
        <v>0.2486129</v>
      </c>
      <c r="Q3777" s="10">
        <f t="shared" si="136"/>
        <v>2.2563663690332154E-2</v>
      </c>
      <c r="AI3777">
        <v>0.27011059999999998</v>
      </c>
      <c r="AJ3777">
        <f t="shared" si="135"/>
        <v>0.27011059999999998</v>
      </c>
      <c r="AO3777">
        <v>0.27011059999999998</v>
      </c>
      <c r="AR3777" s="8">
        <v>0</v>
      </c>
      <c r="AS3777">
        <v>0.62351630000000002</v>
      </c>
    </row>
    <row r="3778" spans="1:45" x14ac:dyDescent="0.25">
      <c r="A3778">
        <v>644</v>
      </c>
      <c r="B3778">
        <v>2003</v>
      </c>
      <c r="C3778" s="8">
        <v>0</v>
      </c>
      <c r="D3778">
        <v>0.2798139</v>
      </c>
      <c r="E3778">
        <v>0.31769219999999998</v>
      </c>
      <c r="F3778">
        <v>7.6353599999999994E-2</v>
      </c>
      <c r="G3778">
        <v>0.68987270000000001</v>
      </c>
      <c r="H3778">
        <v>0.28923969999999999</v>
      </c>
      <c r="Q3778" s="10">
        <f t="shared" si="136"/>
        <v>1.1887131969680838E-2</v>
      </c>
      <c r="AI3778">
        <v>0.24523339999999999</v>
      </c>
      <c r="AJ3778">
        <f t="shared" si="135"/>
        <v>0.24523339999999999</v>
      </c>
      <c r="AO3778">
        <v>0.24523339999999999</v>
      </c>
      <c r="AR3778" s="8">
        <v>0</v>
      </c>
      <c r="AS3778">
        <v>0.82015780000000005</v>
      </c>
    </row>
    <row r="3779" spans="1:45" x14ac:dyDescent="0.25">
      <c r="A3779">
        <v>645</v>
      </c>
      <c r="B3779">
        <v>1995</v>
      </c>
      <c r="C3779" s="8">
        <v>0</v>
      </c>
      <c r="D3779">
        <v>0.27011059999999998</v>
      </c>
      <c r="E3779">
        <v>0.33441779999999999</v>
      </c>
      <c r="F3779">
        <v>6.2741599999999995E-2</v>
      </c>
      <c r="G3779">
        <v>1.9227639999999999</v>
      </c>
      <c r="H3779">
        <v>0.4296239</v>
      </c>
      <c r="Q3779" s="10">
        <f t="shared" si="136"/>
        <v>1.9902017960143972E-3</v>
      </c>
      <c r="AI3779">
        <v>0.37270639999999999</v>
      </c>
      <c r="AJ3779">
        <f t="shared" si="135"/>
        <v>0.37270639999999999</v>
      </c>
      <c r="AO3779">
        <v>0.37270639999999999</v>
      </c>
      <c r="AR3779" s="8">
        <v>0</v>
      </c>
      <c r="AS3779">
        <v>0.4975058</v>
      </c>
    </row>
    <row r="3780" spans="1:45" x14ac:dyDescent="0.25">
      <c r="A3780">
        <v>645</v>
      </c>
      <c r="B3780">
        <v>1996</v>
      </c>
      <c r="C3780" s="8">
        <v>0</v>
      </c>
      <c r="D3780">
        <v>0.24523339999999999</v>
      </c>
      <c r="E3780">
        <v>0.3328025</v>
      </c>
      <c r="F3780">
        <v>3.2010700000000003E-2</v>
      </c>
      <c r="G3780">
        <v>2.3198910000000001</v>
      </c>
      <c r="H3780">
        <v>0.29501080000000002</v>
      </c>
      <c r="Q3780" s="10">
        <f t="shared" si="136"/>
        <v>1.2343805581910754E-3</v>
      </c>
      <c r="AI3780">
        <v>0.26380029999999999</v>
      </c>
      <c r="AJ3780">
        <f t="shared" si="135"/>
        <v>0.26380029999999999</v>
      </c>
      <c r="AO3780">
        <v>0.26380029999999999</v>
      </c>
      <c r="AR3780" s="8">
        <v>0</v>
      </c>
      <c r="AS3780">
        <v>0.68987270000000001</v>
      </c>
    </row>
    <row r="3781" spans="1:45" x14ac:dyDescent="0.25">
      <c r="A3781">
        <v>645</v>
      </c>
      <c r="B3781">
        <v>1997</v>
      </c>
      <c r="C3781" s="8">
        <v>0</v>
      </c>
      <c r="D3781">
        <v>0.37270639999999999</v>
      </c>
      <c r="E3781">
        <v>0.44337579999999999</v>
      </c>
      <c r="F3781">
        <v>5.3031000000000002E-2</v>
      </c>
      <c r="G3781">
        <v>3.5749360000000001</v>
      </c>
      <c r="H3781">
        <v>0.2383846</v>
      </c>
      <c r="Q3781" s="10">
        <f t="shared" si="136"/>
        <v>1.2251308797230721E-4</v>
      </c>
      <c r="AI3781">
        <v>0.26150610000000002</v>
      </c>
      <c r="AJ3781">
        <f t="shared" ref="AJ3781:AJ3844" si="137">MAX(MIN(AI3781,AM$5),AM$4)</f>
        <v>0.26150610000000002</v>
      </c>
      <c r="AO3781">
        <v>0.26150610000000002</v>
      </c>
      <c r="AR3781" s="8">
        <v>0</v>
      </c>
      <c r="AS3781">
        <v>1.9227639999999999</v>
      </c>
    </row>
    <row r="3782" spans="1:45" x14ac:dyDescent="0.25">
      <c r="A3782">
        <v>645</v>
      </c>
      <c r="B3782">
        <v>1998</v>
      </c>
      <c r="C3782" s="8">
        <v>0</v>
      </c>
      <c r="D3782">
        <v>0.26380029999999999</v>
      </c>
      <c r="E3782">
        <v>0.47626109999999999</v>
      </c>
      <c r="F3782">
        <v>5.0919899999999997E-2</v>
      </c>
      <c r="G3782">
        <v>7.1079020000000002</v>
      </c>
      <c r="H3782">
        <v>0.21553520000000001</v>
      </c>
      <c r="Q3782" s="10">
        <f t="shared" si="136"/>
        <v>4.017225675819422E-7</v>
      </c>
      <c r="AI3782">
        <v>0.3149325</v>
      </c>
      <c r="AJ3782">
        <f t="shared" si="137"/>
        <v>0.3149325</v>
      </c>
      <c r="AO3782">
        <v>0.3149325</v>
      </c>
      <c r="AR3782" s="8">
        <v>0</v>
      </c>
      <c r="AS3782">
        <v>2.3198910000000001</v>
      </c>
    </row>
    <row r="3783" spans="1:45" x14ac:dyDescent="0.25">
      <c r="A3783">
        <v>645</v>
      </c>
      <c r="B3783">
        <v>1999</v>
      </c>
      <c r="C3783" s="8">
        <v>0</v>
      </c>
      <c r="D3783">
        <v>0.26150610000000002</v>
      </c>
      <c r="E3783">
        <v>0.53135259999999995</v>
      </c>
      <c r="F3783">
        <v>6.3347799999999996E-2</v>
      </c>
      <c r="G3783">
        <v>13.18305</v>
      </c>
      <c r="H3783">
        <v>0.1992042</v>
      </c>
      <c r="Q3783" s="10">
        <f t="shared" ref="Q3783:Q3846" si="138">1/(1+EXP(-(J$6+SUMPRODUCT(K$6:O$6,D3783:H3783))))</f>
        <v>2.0730575235744541E-11</v>
      </c>
      <c r="AI3783">
        <v>0.30424390000000001</v>
      </c>
      <c r="AJ3783">
        <f t="shared" si="137"/>
        <v>0.30424390000000001</v>
      </c>
      <c r="AO3783">
        <v>0.30424390000000001</v>
      </c>
      <c r="AR3783" s="8">
        <v>0</v>
      </c>
      <c r="AS3783">
        <v>3.5749360000000001</v>
      </c>
    </row>
    <row r="3784" spans="1:45" x14ac:dyDescent="0.25">
      <c r="A3784">
        <v>645</v>
      </c>
      <c r="B3784">
        <v>2000</v>
      </c>
      <c r="C3784" s="8">
        <v>0</v>
      </c>
      <c r="D3784">
        <v>0.3149325</v>
      </c>
      <c r="E3784">
        <v>0.59083209999999997</v>
      </c>
      <c r="F3784">
        <v>7.9648300000000005E-2</v>
      </c>
      <c r="G3784">
        <v>16.01388</v>
      </c>
      <c r="H3784">
        <v>0.19251589999999999</v>
      </c>
      <c r="Q3784" s="10">
        <f t="shared" si="138"/>
        <v>1.8666065234710182E-13</v>
      </c>
      <c r="AI3784">
        <v>0.3132781</v>
      </c>
      <c r="AJ3784">
        <f t="shared" si="137"/>
        <v>0.3132781</v>
      </c>
      <c r="AO3784">
        <v>0.3132781</v>
      </c>
      <c r="AR3784" s="8">
        <v>0</v>
      </c>
      <c r="AS3784">
        <v>7.1079020000000002</v>
      </c>
    </row>
    <row r="3785" spans="1:45" x14ac:dyDescent="0.25">
      <c r="A3785">
        <v>645</v>
      </c>
      <c r="B3785">
        <v>2001</v>
      </c>
      <c r="C3785" s="8">
        <v>0</v>
      </c>
      <c r="D3785">
        <v>0.30424390000000001</v>
      </c>
      <c r="E3785">
        <v>0.62268869999999998</v>
      </c>
      <c r="F3785">
        <v>1.82405E-2</v>
      </c>
      <c r="G3785">
        <v>12.463480000000001</v>
      </c>
      <c r="H3785">
        <v>0.1397439</v>
      </c>
      <c r="Q3785" s="10">
        <f t="shared" si="138"/>
        <v>8.0413749108831167E-11</v>
      </c>
      <c r="AI3785">
        <v>0.38327689999999998</v>
      </c>
      <c r="AJ3785">
        <f t="shared" si="137"/>
        <v>0.38327689999999998</v>
      </c>
      <c r="AO3785">
        <v>0.38327689999999998</v>
      </c>
      <c r="AR3785" s="8">
        <v>0</v>
      </c>
      <c r="AS3785">
        <v>13.18305</v>
      </c>
    </row>
    <row r="3786" spans="1:45" x14ac:dyDescent="0.25">
      <c r="A3786">
        <v>645</v>
      </c>
      <c r="B3786">
        <v>2002</v>
      </c>
      <c r="C3786" s="8">
        <v>0</v>
      </c>
      <c r="D3786">
        <v>0.3132781</v>
      </c>
      <c r="E3786">
        <v>0.59021500000000005</v>
      </c>
      <c r="F3786">
        <v>3.4065699999999997E-2</v>
      </c>
      <c r="G3786">
        <v>6.6206779999999998</v>
      </c>
      <c r="H3786">
        <v>0.1728614</v>
      </c>
      <c r="Q3786" s="10">
        <f t="shared" si="138"/>
        <v>8.4166537491571577E-7</v>
      </c>
      <c r="AI3786">
        <v>0.53690470000000001</v>
      </c>
      <c r="AJ3786">
        <f t="shared" si="137"/>
        <v>0.52051970800000003</v>
      </c>
      <c r="AO3786">
        <v>0.52051970800000003</v>
      </c>
      <c r="AR3786" s="8">
        <v>0</v>
      </c>
      <c r="AS3786">
        <v>16.01388</v>
      </c>
    </row>
    <row r="3787" spans="1:45" x14ac:dyDescent="0.25">
      <c r="A3787">
        <v>645</v>
      </c>
      <c r="B3787">
        <v>2003</v>
      </c>
      <c r="C3787" s="8">
        <v>0</v>
      </c>
      <c r="D3787">
        <v>0.38327689999999998</v>
      </c>
      <c r="E3787">
        <v>0.62261619999999995</v>
      </c>
      <c r="F3787">
        <v>6.0821600000000003E-2</v>
      </c>
      <c r="G3787">
        <v>13.97195</v>
      </c>
      <c r="H3787">
        <v>0.21630940000000001</v>
      </c>
      <c r="Q3787" s="10">
        <f t="shared" si="138"/>
        <v>5.6012669724740472E-12</v>
      </c>
      <c r="AI3787">
        <v>-5.9847699999999997E-2</v>
      </c>
      <c r="AJ3787">
        <f t="shared" si="137"/>
        <v>-5.9847699999999997E-2</v>
      </c>
      <c r="AO3787">
        <v>-5.9847699999999997E-2</v>
      </c>
      <c r="AR3787" s="8">
        <v>0</v>
      </c>
      <c r="AS3787">
        <v>12.463480000000001</v>
      </c>
    </row>
    <row r="3788" spans="1:45" x14ac:dyDescent="0.25">
      <c r="A3788">
        <v>645</v>
      </c>
      <c r="B3788">
        <v>2004</v>
      </c>
      <c r="C3788" s="8">
        <v>0</v>
      </c>
      <c r="D3788">
        <v>0.53690470000000001</v>
      </c>
      <c r="E3788">
        <v>0.70948670000000003</v>
      </c>
      <c r="F3788">
        <v>6.29609E-2</v>
      </c>
      <c r="G3788">
        <v>13.18197</v>
      </c>
      <c r="H3788">
        <v>0.23680480000000001</v>
      </c>
      <c r="Q3788" s="10">
        <f t="shared" si="138"/>
        <v>1.84458674835044E-11</v>
      </c>
      <c r="AI3788">
        <v>-9.0907299999999996E-2</v>
      </c>
      <c r="AJ3788">
        <f t="shared" si="137"/>
        <v>-9.0907299999999996E-2</v>
      </c>
      <c r="AO3788">
        <v>-9.0907299999999996E-2</v>
      </c>
      <c r="AR3788" s="8">
        <v>0</v>
      </c>
      <c r="AS3788">
        <v>6.6206779999999998</v>
      </c>
    </row>
    <row r="3789" spans="1:45" x14ac:dyDescent="0.25">
      <c r="A3789">
        <v>646</v>
      </c>
      <c r="B3789">
        <v>1998</v>
      </c>
      <c r="C3789" s="8">
        <v>0</v>
      </c>
      <c r="D3789">
        <v>-5.9847699999999997E-2</v>
      </c>
      <c r="E3789">
        <v>7.0029900000000006E-2</v>
      </c>
      <c r="F3789">
        <v>4.6042E-2</v>
      </c>
      <c r="G3789">
        <v>0.45212629999999998</v>
      </c>
      <c r="H3789">
        <v>0.14251920000000001</v>
      </c>
      <c r="Q3789" s="10">
        <f t="shared" si="138"/>
        <v>2.4829538155869288E-2</v>
      </c>
      <c r="AI3789">
        <v>-7.6828099999999996E-2</v>
      </c>
      <c r="AJ3789">
        <f t="shared" si="137"/>
        <v>-7.6828099999999996E-2</v>
      </c>
      <c r="AO3789">
        <v>-7.6828099999999996E-2</v>
      </c>
      <c r="AR3789" s="8">
        <v>0</v>
      </c>
      <c r="AS3789">
        <v>13.97195</v>
      </c>
    </row>
    <row r="3790" spans="1:45" x14ac:dyDescent="0.25">
      <c r="A3790">
        <v>646</v>
      </c>
      <c r="B3790">
        <v>1999</v>
      </c>
      <c r="C3790" s="8">
        <v>0</v>
      </c>
      <c r="D3790">
        <v>-9.0907299999999996E-2</v>
      </c>
      <c r="E3790">
        <v>7.3994199999999996E-2</v>
      </c>
      <c r="F3790">
        <v>3.5249900000000001E-2</v>
      </c>
      <c r="G3790">
        <v>0.34033059999999998</v>
      </c>
      <c r="H3790">
        <v>0.1426404</v>
      </c>
      <c r="Q3790" s="10">
        <f t="shared" si="138"/>
        <v>3.1533768186542487E-2</v>
      </c>
      <c r="AI3790">
        <v>-7.8629000000000008E-3</v>
      </c>
      <c r="AJ3790">
        <f t="shared" si="137"/>
        <v>-7.8629000000000008E-3</v>
      </c>
      <c r="AO3790">
        <v>-7.8629000000000008E-3</v>
      </c>
      <c r="AR3790" s="8">
        <v>0</v>
      </c>
      <c r="AS3790">
        <v>13.18197</v>
      </c>
    </row>
    <row r="3791" spans="1:45" x14ac:dyDescent="0.25">
      <c r="A3791">
        <v>646</v>
      </c>
      <c r="B3791">
        <v>2000</v>
      </c>
      <c r="C3791" s="8">
        <v>0</v>
      </c>
      <c r="D3791">
        <v>-7.6828099999999996E-2</v>
      </c>
      <c r="E3791">
        <v>6.0937199999999997E-2</v>
      </c>
      <c r="F3791">
        <v>3.72298E-2</v>
      </c>
      <c r="G3791">
        <v>0.32808389999999998</v>
      </c>
      <c r="H3791">
        <v>0.18449960000000001</v>
      </c>
      <c r="Q3791" s="10">
        <f t="shared" si="138"/>
        <v>3.3239392615483185E-2</v>
      </c>
      <c r="AI3791">
        <v>1.76048E-2</v>
      </c>
      <c r="AJ3791">
        <f t="shared" si="137"/>
        <v>1.76048E-2</v>
      </c>
      <c r="AO3791">
        <v>1.76048E-2</v>
      </c>
      <c r="AR3791" s="8">
        <v>0</v>
      </c>
      <c r="AS3791">
        <v>0.45212629999999998</v>
      </c>
    </row>
    <row r="3792" spans="1:45" x14ac:dyDescent="0.25">
      <c r="A3792">
        <v>646</v>
      </c>
      <c r="B3792">
        <v>2002</v>
      </c>
      <c r="C3792" s="8">
        <v>0</v>
      </c>
      <c r="D3792">
        <v>-7.8629000000000008E-3</v>
      </c>
      <c r="E3792">
        <v>-8.8228000000000001E-2</v>
      </c>
      <c r="F3792">
        <v>3.4123800000000003E-2</v>
      </c>
      <c r="G3792">
        <v>0.25465130000000002</v>
      </c>
      <c r="H3792">
        <v>0.10257810000000001</v>
      </c>
      <c r="Q3792" s="10">
        <f t="shared" si="138"/>
        <v>4.5928675934703858E-2</v>
      </c>
      <c r="AI3792">
        <v>-9.1059000000000001E-3</v>
      </c>
      <c r="AJ3792">
        <f t="shared" si="137"/>
        <v>-9.1059000000000001E-3</v>
      </c>
      <c r="AO3792">
        <v>-9.1059000000000001E-3</v>
      </c>
      <c r="AR3792" s="8">
        <v>0</v>
      </c>
      <c r="AS3792">
        <v>0.34033059999999998</v>
      </c>
    </row>
    <row r="3793" spans="1:45" x14ac:dyDescent="0.25">
      <c r="A3793">
        <v>646</v>
      </c>
      <c r="B3793">
        <v>2003</v>
      </c>
      <c r="C3793" s="8">
        <v>0</v>
      </c>
      <c r="D3793">
        <v>1.76048E-2</v>
      </c>
      <c r="E3793">
        <v>-5.1024699999999999E-2</v>
      </c>
      <c r="F3793">
        <v>3.1599299999999997E-2</v>
      </c>
      <c r="G3793">
        <v>0.31660369999999999</v>
      </c>
      <c r="H3793">
        <v>9.8746100000000003E-2</v>
      </c>
      <c r="Q3793" s="10">
        <f t="shared" si="138"/>
        <v>4.0773393468140871E-2</v>
      </c>
      <c r="AI3793">
        <v>6.5278100000000006E-2</v>
      </c>
      <c r="AJ3793">
        <f t="shared" si="137"/>
        <v>6.5278100000000006E-2</v>
      </c>
      <c r="AO3793">
        <v>6.5278100000000006E-2</v>
      </c>
      <c r="AR3793" s="8">
        <v>0</v>
      </c>
      <c r="AS3793">
        <v>0.32808389999999998</v>
      </c>
    </row>
    <row r="3794" spans="1:45" x14ac:dyDescent="0.25">
      <c r="A3794">
        <v>646</v>
      </c>
      <c r="B3794">
        <v>2004</v>
      </c>
      <c r="C3794" s="8">
        <v>0</v>
      </c>
      <c r="D3794">
        <v>-9.1059000000000001E-3</v>
      </c>
      <c r="E3794">
        <v>-8.0537800000000007E-2</v>
      </c>
      <c r="F3794">
        <v>4.85458E-2</v>
      </c>
      <c r="G3794">
        <v>0.8699498</v>
      </c>
      <c r="H3794">
        <v>0.1292037</v>
      </c>
      <c r="Q3794" s="10">
        <f t="shared" si="138"/>
        <v>1.5910404348676039E-2</v>
      </c>
      <c r="AI3794">
        <v>0.27020080000000002</v>
      </c>
      <c r="AJ3794">
        <f t="shared" si="137"/>
        <v>0.27020080000000002</v>
      </c>
      <c r="AO3794">
        <v>0.27020080000000002</v>
      </c>
      <c r="AR3794" s="8">
        <v>0</v>
      </c>
      <c r="AS3794">
        <v>0.25465130000000002</v>
      </c>
    </row>
    <row r="3795" spans="1:45" x14ac:dyDescent="0.25">
      <c r="A3795">
        <v>647</v>
      </c>
      <c r="B3795">
        <v>1995</v>
      </c>
      <c r="C3795" s="8">
        <v>0</v>
      </c>
      <c r="D3795">
        <v>6.5278100000000006E-2</v>
      </c>
      <c r="E3795">
        <v>-0.28255409999999997</v>
      </c>
      <c r="F3795">
        <v>6.6016699999999998E-2</v>
      </c>
      <c r="G3795">
        <v>0.27736329999999998</v>
      </c>
      <c r="H3795">
        <v>0.58875299999999997</v>
      </c>
      <c r="Q3795" s="10">
        <f t="shared" si="138"/>
        <v>6.2339093869540729E-2</v>
      </c>
      <c r="AI3795">
        <v>0.29284559999999998</v>
      </c>
      <c r="AJ3795">
        <f t="shared" si="137"/>
        <v>0.29284559999999998</v>
      </c>
      <c r="AO3795">
        <v>0.29284559999999998</v>
      </c>
      <c r="AR3795" s="8">
        <v>0</v>
      </c>
      <c r="AS3795">
        <v>0.31660369999999999</v>
      </c>
    </row>
    <row r="3796" spans="1:45" x14ac:dyDescent="0.25">
      <c r="A3796">
        <v>647</v>
      </c>
      <c r="B3796">
        <v>1996</v>
      </c>
      <c r="C3796" s="8">
        <v>0</v>
      </c>
      <c r="D3796">
        <v>0.27020080000000002</v>
      </c>
      <c r="E3796">
        <v>-0.37780930000000001</v>
      </c>
      <c r="F3796">
        <v>5.5365999999999999E-2</v>
      </c>
      <c r="G3796">
        <v>0.19903499999999999</v>
      </c>
      <c r="H3796">
        <v>0.4998358</v>
      </c>
      <c r="Q3796" s="10">
        <f t="shared" si="138"/>
        <v>8.8469872318925113E-2</v>
      </c>
      <c r="AI3796">
        <v>0.38436310000000001</v>
      </c>
      <c r="AJ3796">
        <f t="shared" si="137"/>
        <v>0.38436310000000001</v>
      </c>
      <c r="AO3796">
        <v>0.38436310000000001</v>
      </c>
      <c r="AR3796" s="8">
        <v>0</v>
      </c>
      <c r="AS3796">
        <v>0.8699498</v>
      </c>
    </row>
    <row r="3797" spans="1:45" x14ac:dyDescent="0.25">
      <c r="A3797">
        <v>647</v>
      </c>
      <c r="B3797">
        <v>1997</v>
      </c>
      <c r="C3797" s="8">
        <v>1</v>
      </c>
      <c r="D3797">
        <v>0.29284559999999998</v>
      </c>
      <c r="E3797">
        <v>-0.44408720000000002</v>
      </c>
      <c r="F3797">
        <v>6.3220499999999999E-2</v>
      </c>
      <c r="G3797">
        <v>0.40916530000000001</v>
      </c>
      <c r="H3797">
        <v>0.53672520000000001</v>
      </c>
      <c r="Q3797" s="10">
        <f t="shared" si="138"/>
        <v>6.9039426601004913E-2</v>
      </c>
      <c r="AI3797">
        <v>0.4606497</v>
      </c>
      <c r="AJ3797">
        <f t="shared" si="137"/>
        <v>0.4606497</v>
      </c>
      <c r="AO3797">
        <v>0.4606497</v>
      </c>
      <c r="AR3797" s="8">
        <v>0</v>
      </c>
      <c r="AS3797">
        <v>0.27736329999999998</v>
      </c>
    </row>
    <row r="3798" spans="1:45" x14ac:dyDescent="0.25">
      <c r="A3798">
        <v>648</v>
      </c>
      <c r="B3798">
        <v>1995</v>
      </c>
      <c r="C3798" s="8">
        <v>0</v>
      </c>
      <c r="D3798">
        <v>0.38436310000000001</v>
      </c>
      <c r="E3798">
        <v>0.1798109</v>
      </c>
      <c r="F3798">
        <v>6.0933899999999999E-2</v>
      </c>
      <c r="G3798">
        <v>1.896501</v>
      </c>
      <c r="H3798">
        <v>0.2178745</v>
      </c>
      <c r="Q3798" s="10">
        <f t="shared" si="138"/>
        <v>2.4230725003622751E-3</v>
      </c>
      <c r="AI3798">
        <v>0.3770983</v>
      </c>
      <c r="AJ3798">
        <f t="shared" si="137"/>
        <v>0.3770983</v>
      </c>
      <c r="AO3798">
        <v>0.3770983</v>
      </c>
      <c r="AR3798" s="8">
        <v>0</v>
      </c>
      <c r="AS3798">
        <v>0.19903499999999999</v>
      </c>
    </row>
    <row r="3799" spans="1:45" x14ac:dyDescent="0.25">
      <c r="A3799">
        <v>648</v>
      </c>
      <c r="B3799">
        <v>1996</v>
      </c>
      <c r="C3799" s="8">
        <v>0</v>
      </c>
      <c r="D3799">
        <v>0.4606497</v>
      </c>
      <c r="E3799">
        <v>0.19294500000000001</v>
      </c>
      <c r="F3799">
        <v>4.8865400000000003E-2</v>
      </c>
      <c r="G3799">
        <v>1.855289</v>
      </c>
      <c r="H3799">
        <v>0.18124779999999999</v>
      </c>
      <c r="Q3799" s="10">
        <f t="shared" si="138"/>
        <v>2.8198045676227149E-3</v>
      </c>
      <c r="AI3799">
        <v>0.36676769999999997</v>
      </c>
      <c r="AJ3799">
        <f t="shared" si="137"/>
        <v>0.36676769999999997</v>
      </c>
      <c r="AO3799">
        <v>0.36676769999999997</v>
      </c>
      <c r="AR3799" s="8">
        <v>1</v>
      </c>
      <c r="AS3799">
        <v>0.40916530000000001</v>
      </c>
    </row>
    <row r="3800" spans="1:45" x14ac:dyDescent="0.25">
      <c r="A3800">
        <v>648</v>
      </c>
      <c r="B3800">
        <v>1997</v>
      </c>
      <c r="C3800" s="8">
        <v>0</v>
      </c>
      <c r="D3800">
        <v>0.3770983</v>
      </c>
      <c r="E3800">
        <v>0.19619300000000001</v>
      </c>
      <c r="F3800">
        <v>5.4261299999999998E-2</v>
      </c>
      <c r="G3800">
        <v>1.8621780000000001</v>
      </c>
      <c r="H3800">
        <v>0.19344410000000001</v>
      </c>
      <c r="Q3800" s="10">
        <f t="shared" si="138"/>
        <v>2.5882237441159418E-3</v>
      </c>
      <c r="AI3800">
        <v>0.31420389999999998</v>
      </c>
      <c r="AJ3800">
        <f t="shared" si="137"/>
        <v>0.31420389999999998</v>
      </c>
      <c r="AO3800">
        <v>0.31420389999999998</v>
      </c>
      <c r="AR3800" s="8">
        <v>0</v>
      </c>
      <c r="AS3800">
        <v>1.896501</v>
      </c>
    </row>
    <row r="3801" spans="1:45" x14ac:dyDescent="0.25">
      <c r="A3801">
        <v>648</v>
      </c>
      <c r="B3801">
        <v>1998</v>
      </c>
      <c r="C3801" s="8">
        <v>0</v>
      </c>
      <c r="D3801">
        <v>0.36676769999999997</v>
      </c>
      <c r="E3801">
        <v>0.2122339</v>
      </c>
      <c r="F3801">
        <v>3.6586E-2</v>
      </c>
      <c r="G3801">
        <v>0.68333290000000002</v>
      </c>
      <c r="H3801">
        <v>0.1851411</v>
      </c>
      <c r="Q3801" s="10">
        <f t="shared" si="138"/>
        <v>1.8579254512819502E-2</v>
      </c>
      <c r="AI3801">
        <v>0.39518700000000001</v>
      </c>
      <c r="AJ3801">
        <f t="shared" si="137"/>
        <v>0.39518700000000001</v>
      </c>
      <c r="AO3801">
        <v>0.39518700000000001</v>
      </c>
      <c r="AR3801" s="8">
        <v>0</v>
      </c>
      <c r="AS3801">
        <v>1.855289</v>
      </c>
    </row>
    <row r="3802" spans="1:45" x14ac:dyDescent="0.25">
      <c r="A3802">
        <v>648</v>
      </c>
      <c r="B3802">
        <v>1999</v>
      </c>
      <c r="C3802" s="8">
        <v>0</v>
      </c>
      <c r="D3802">
        <v>0.31420389999999998</v>
      </c>
      <c r="E3802">
        <v>0.21333940000000001</v>
      </c>
      <c r="F3802">
        <v>3.3157399999999997E-2</v>
      </c>
      <c r="G3802">
        <v>0.79392739999999995</v>
      </c>
      <c r="H3802">
        <v>0.15403359999999999</v>
      </c>
      <c r="Q3802" s="10">
        <f t="shared" si="138"/>
        <v>1.5391323406577204E-2</v>
      </c>
      <c r="AI3802">
        <v>0.25405139999999998</v>
      </c>
      <c r="AJ3802">
        <f t="shared" si="137"/>
        <v>0.25405139999999998</v>
      </c>
      <c r="AO3802">
        <v>0.25405139999999998</v>
      </c>
      <c r="AR3802" s="8">
        <v>0</v>
      </c>
      <c r="AS3802">
        <v>1.8621780000000001</v>
      </c>
    </row>
    <row r="3803" spans="1:45" x14ac:dyDescent="0.25">
      <c r="A3803">
        <v>648</v>
      </c>
      <c r="B3803">
        <v>2000</v>
      </c>
      <c r="C3803" s="8">
        <v>0</v>
      </c>
      <c r="D3803">
        <v>0.39518700000000001</v>
      </c>
      <c r="E3803">
        <v>0.22503899999999999</v>
      </c>
      <c r="F3803">
        <v>3.7066300000000003E-2</v>
      </c>
      <c r="G3803">
        <v>2.2502580000000001</v>
      </c>
      <c r="H3803">
        <v>0.14605029999999999</v>
      </c>
      <c r="Q3803" s="10">
        <f t="shared" si="138"/>
        <v>1.5028202237308227E-3</v>
      </c>
      <c r="AI3803">
        <v>0.2179546</v>
      </c>
      <c r="AJ3803">
        <f t="shared" si="137"/>
        <v>0.2179546</v>
      </c>
      <c r="AO3803">
        <v>0.2179546</v>
      </c>
      <c r="AR3803" s="8">
        <v>0</v>
      </c>
      <c r="AS3803">
        <v>0.68333290000000002</v>
      </c>
    </row>
    <row r="3804" spans="1:45" x14ac:dyDescent="0.25">
      <c r="A3804">
        <v>648</v>
      </c>
      <c r="B3804">
        <v>2001</v>
      </c>
      <c r="C3804" s="8">
        <v>0</v>
      </c>
      <c r="D3804">
        <v>0.25405139999999998</v>
      </c>
      <c r="E3804">
        <v>0.1325268</v>
      </c>
      <c r="F3804">
        <v>4.2586499999999999E-2</v>
      </c>
      <c r="G3804">
        <v>2.2406280000000001</v>
      </c>
      <c r="H3804">
        <v>0.18105879999999999</v>
      </c>
      <c r="Q3804" s="10">
        <f t="shared" si="138"/>
        <v>1.6098653909159702E-3</v>
      </c>
      <c r="AI3804">
        <v>0.24215590000000001</v>
      </c>
      <c r="AJ3804">
        <f t="shared" si="137"/>
        <v>0.24215590000000001</v>
      </c>
      <c r="AO3804">
        <v>0.24215590000000001</v>
      </c>
      <c r="AR3804" s="8">
        <v>0</v>
      </c>
      <c r="AS3804">
        <v>0.79392739999999995</v>
      </c>
    </row>
    <row r="3805" spans="1:45" x14ac:dyDescent="0.25">
      <c r="A3805">
        <v>648</v>
      </c>
      <c r="B3805">
        <v>2002</v>
      </c>
      <c r="C3805" s="8">
        <v>0</v>
      </c>
      <c r="D3805">
        <v>0.2179546</v>
      </c>
      <c r="E3805">
        <v>0.25008560000000002</v>
      </c>
      <c r="F3805">
        <v>4.1457300000000002E-2</v>
      </c>
      <c r="G3805">
        <v>2.136406</v>
      </c>
      <c r="H3805">
        <v>0.1897848</v>
      </c>
      <c r="Q3805" s="10">
        <f t="shared" si="138"/>
        <v>1.6012678983272444E-3</v>
      </c>
      <c r="AI3805">
        <v>0.27898679999999998</v>
      </c>
      <c r="AJ3805">
        <f t="shared" si="137"/>
        <v>0.27898679999999998</v>
      </c>
      <c r="AO3805">
        <v>0.27898679999999998</v>
      </c>
      <c r="AR3805" s="8">
        <v>0</v>
      </c>
      <c r="AS3805">
        <v>2.2502580000000001</v>
      </c>
    </row>
    <row r="3806" spans="1:45" x14ac:dyDescent="0.25">
      <c r="A3806">
        <v>648</v>
      </c>
      <c r="B3806">
        <v>2003</v>
      </c>
      <c r="C3806" s="8">
        <v>0</v>
      </c>
      <c r="D3806">
        <v>0.24215590000000001</v>
      </c>
      <c r="E3806">
        <v>0.36864780000000003</v>
      </c>
      <c r="F3806">
        <v>6.2930399999999997E-2</v>
      </c>
      <c r="G3806">
        <v>4.1104510000000003</v>
      </c>
      <c r="H3806">
        <v>0.1871186</v>
      </c>
      <c r="Q3806" s="10">
        <f t="shared" si="138"/>
        <v>4.9328285406284197E-5</v>
      </c>
      <c r="AI3806">
        <v>0.35175709999999999</v>
      </c>
      <c r="AJ3806">
        <f t="shared" si="137"/>
        <v>0.35175709999999999</v>
      </c>
      <c r="AO3806">
        <v>0.35175709999999999</v>
      </c>
      <c r="AR3806" s="8">
        <v>0</v>
      </c>
      <c r="AS3806">
        <v>2.2406280000000001</v>
      </c>
    </row>
    <row r="3807" spans="1:45" x14ac:dyDescent="0.25">
      <c r="A3807">
        <v>648</v>
      </c>
      <c r="B3807">
        <v>2004</v>
      </c>
      <c r="C3807" s="8">
        <v>0</v>
      </c>
      <c r="D3807">
        <v>0.27898679999999998</v>
      </c>
      <c r="E3807">
        <v>0.46665580000000001</v>
      </c>
      <c r="F3807">
        <v>5.5586799999999999E-2</v>
      </c>
      <c r="G3807">
        <v>5.3396210000000002</v>
      </c>
      <c r="H3807">
        <v>0.18983810000000001</v>
      </c>
      <c r="Q3807" s="10">
        <f t="shared" si="138"/>
        <v>6.5073113036793344E-6</v>
      </c>
      <c r="AI3807">
        <v>0.49584089999999997</v>
      </c>
      <c r="AJ3807">
        <f t="shared" si="137"/>
        <v>0.49584089999999997</v>
      </c>
      <c r="AO3807">
        <v>0.49584089999999997</v>
      </c>
      <c r="AR3807" s="8">
        <v>0</v>
      </c>
      <c r="AS3807">
        <v>2.136406</v>
      </c>
    </row>
    <row r="3808" spans="1:45" x14ac:dyDescent="0.25">
      <c r="A3808">
        <v>649</v>
      </c>
      <c r="B3808">
        <v>1995</v>
      </c>
      <c r="C3808" s="8">
        <v>0</v>
      </c>
      <c r="D3808">
        <v>0.35175709999999999</v>
      </c>
      <c r="E3808">
        <v>0.14451449999999999</v>
      </c>
      <c r="F3808">
        <v>3.3826500000000002E-2</v>
      </c>
      <c r="G3808">
        <v>4.6728209999999999</v>
      </c>
      <c r="H3808">
        <v>0.16790089999999999</v>
      </c>
      <c r="Q3808" s="10">
        <f t="shared" si="138"/>
        <v>3.6398507425540333E-5</v>
      </c>
      <c r="AI3808">
        <v>0.62597979999999998</v>
      </c>
      <c r="AJ3808">
        <f t="shared" si="137"/>
        <v>0.52051970800000003</v>
      </c>
      <c r="AO3808">
        <v>0.52051970800000003</v>
      </c>
      <c r="AR3808" s="8">
        <v>0</v>
      </c>
      <c r="AS3808">
        <v>4.1104510000000003</v>
      </c>
    </row>
    <row r="3809" spans="1:45" x14ac:dyDescent="0.25">
      <c r="A3809">
        <v>649</v>
      </c>
      <c r="B3809">
        <v>1996</v>
      </c>
      <c r="C3809" s="8">
        <v>0</v>
      </c>
      <c r="D3809">
        <v>0.49584089999999997</v>
      </c>
      <c r="E3809">
        <v>0.1892606</v>
      </c>
      <c r="F3809">
        <v>6.11202E-2</v>
      </c>
      <c r="G3809">
        <v>2.8825090000000002</v>
      </c>
      <c r="H3809">
        <v>0.21065410000000001</v>
      </c>
      <c r="Q3809" s="10">
        <f t="shared" si="138"/>
        <v>5.1795778936203742E-4</v>
      </c>
      <c r="AI3809">
        <v>0.45457370000000002</v>
      </c>
      <c r="AJ3809">
        <f t="shared" si="137"/>
        <v>0.45457370000000002</v>
      </c>
      <c r="AO3809">
        <v>0.45457370000000002</v>
      </c>
      <c r="AR3809" s="8">
        <v>0</v>
      </c>
      <c r="AS3809">
        <v>5.3396210000000002</v>
      </c>
    </row>
    <row r="3810" spans="1:45" x14ac:dyDescent="0.25">
      <c r="A3810">
        <v>649</v>
      </c>
      <c r="B3810">
        <v>1997</v>
      </c>
      <c r="C3810" s="8">
        <v>0</v>
      </c>
      <c r="D3810">
        <v>0.62597979999999998</v>
      </c>
      <c r="E3810">
        <v>0.24551590000000001</v>
      </c>
      <c r="F3810">
        <v>4.4768099999999998E-2</v>
      </c>
      <c r="G3810">
        <v>1.973004</v>
      </c>
      <c r="H3810">
        <v>0.1967129</v>
      </c>
      <c r="Q3810" s="10">
        <f t="shared" si="138"/>
        <v>2.4203432830055688E-3</v>
      </c>
      <c r="AI3810">
        <v>0.38348989999999999</v>
      </c>
      <c r="AJ3810">
        <f t="shared" si="137"/>
        <v>0.38348989999999999</v>
      </c>
      <c r="AO3810">
        <v>0.38348989999999999</v>
      </c>
      <c r="AR3810" s="8">
        <v>0</v>
      </c>
      <c r="AS3810">
        <v>4.6728209999999999</v>
      </c>
    </row>
    <row r="3811" spans="1:45" x14ac:dyDescent="0.25">
      <c r="A3811">
        <v>649</v>
      </c>
      <c r="B3811">
        <v>1998</v>
      </c>
      <c r="C3811" s="8">
        <v>0</v>
      </c>
      <c r="D3811">
        <v>0.45457370000000002</v>
      </c>
      <c r="E3811">
        <v>0.27892280000000003</v>
      </c>
      <c r="F3811">
        <v>4.84261E-2</v>
      </c>
      <c r="G3811">
        <v>1.3276760000000001</v>
      </c>
      <c r="H3811">
        <v>0.17285819999999999</v>
      </c>
      <c r="Q3811" s="10">
        <f t="shared" si="138"/>
        <v>5.72780018341795E-3</v>
      </c>
      <c r="AI3811">
        <v>0.2153089</v>
      </c>
      <c r="AJ3811">
        <f t="shared" si="137"/>
        <v>0.2153089</v>
      </c>
      <c r="AO3811">
        <v>0.2153089</v>
      </c>
      <c r="AR3811" s="8">
        <v>0</v>
      </c>
      <c r="AS3811">
        <v>2.8825090000000002</v>
      </c>
    </row>
    <row r="3812" spans="1:45" x14ac:dyDescent="0.25">
      <c r="A3812">
        <v>649</v>
      </c>
      <c r="B3812">
        <v>1999</v>
      </c>
      <c r="C3812" s="8">
        <v>0</v>
      </c>
      <c r="D3812">
        <v>0.38348989999999999</v>
      </c>
      <c r="E3812">
        <v>0.28320659999999998</v>
      </c>
      <c r="F3812">
        <v>5.0260699999999998E-2</v>
      </c>
      <c r="G3812">
        <v>1.122101</v>
      </c>
      <c r="H3812">
        <v>0.2416797</v>
      </c>
      <c r="Q3812" s="10">
        <f t="shared" si="138"/>
        <v>7.8700729573446936E-3</v>
      </c>
      <c r="AI3812">
        <v>0.25978620000000002</v>
      </c>
      <c r="AJ3812">
        <f t="shared" si="137"/>
        <v>0.25978620000000002</v>
      </c>
      <c r="AO3812">
        <v>0.25978620000000002</v>
      </c>
      <c r="AR3812" s="8">
        <v>0</v>
      </c>
      <c r="AS3812">
        <v>1.973004</v>
      </c>
    </row>
    <row r="3813" spans="1:45" x14ac:dyDescent="0.25">
      <c r="A3813">
        <v>650</v>
      </c>
      <c r="B3813">
        <v>1995</v>
      </c>
      <c r="C3813" s="8">
        <v>0</v>
      </c>
      <c r="D3813">
        <v>0.2153089</v>
      </c>
      <c r="E3813">
        <v>0.3538191</v>
      </c>
      <c r="F3813">
        <v>5.2981599999999997E-2</v>
      </c>
      <c r="G3813">
        <v>2.2678579999999999</v>
      </c>
      <c r="H3813">
        <v>0.28692289999999998</v>
      </c>
      <c r="Q3813" s="10">
        <f t="shared" si="138"/>
        <v>1.0810399072934832E-3</v>
      </c>
      <c r="AI3813">
        <v>0.2170976</v>
      </c>
      <c r="AJ3813">
        <f t="shared" si="137"/>
        <v>0.2170976</v>
      </c>
      <c r="AO3813">
        <v>0.2170976</v>
      </c>
      <c r="AR3813" s="8">
        <v>0</v>
      </c>
      <c r="AS3813">
        <v>1.3276760000000001</v>
      </c>
    </row>
    <row r="3814" spans="1:45" x14ac:dyDescent="0.25">
      <c r="A3814">
        <v>650</v>
      </c>
      <c r="B3814">
        <v>1996</v>
      </c>
      <c r="C3814" s="8">
        <v>0</v>
      </c>
      <c r="D3814">
        <v>0.25978620000000002</v>
      </c>
      <c r="E3814">
        <v>0.30307679999999998</v>
      </c>
      <c r="F3814">
        <v>7.4061699999999994E-2</v>
      </c>
      <c r="G3814">
        <v>1.891019</v>
      </c>
      <c r="H3814">
        <v>0.27731169999999999</v>
      </c>
      <c r="Q3814" s="10">
        <f t="shared" si="138"/>
        <v>1.8136700781435427E-3</v>
      </c>
      <c r="AI3814">
        <v>0.21052129999999999</v>
      </c>
      <c r="AJ3814">
        <f t="shared" si="137"/>
        <v>0.21052129999999999</v>
      </c>
      <c r="AO3814">
        <v>0.21052129999999999</v>
      </c>
      <c r="AR3814" s="8">
        <v>0</v>
      </c>
      <c r="AS3814">
        <v>1.122101</v>
      </c>
    </row>
    <row r="3815" spans="1:45" x14ac:dyDescent="0.25">
      <c r="A3815">
        <v>650</v>
      </c>
      <c r="B3815">
        <v>1997</v>
      </c>
      <c r="C3815" s="8">
        <v>0</v>
      </c>
      <c r="D3815">
        <v>0.2170976</v>
      </c>
      <c r="E3815">
        <v>0.34846510000000003</v>
      </c>
      <c r="F3815">
        <v>6.1284699999999998E-2</v>
      </c>
      <c r="G3815">
        <v>2.4913189999999998</v>
      </c>
      <c r="H3815">
        <v>0.30764449999999999</v>
      </c>
      <c r="Q3815" s="10">
        <f t="shared" si="138"/>
        <v>7.2406454895390519E-4</v>
      </c>
      <c r="AI3815">
        <v>0.2755978</v>
      </c>
      <c r="AJ3815">
        <f t="shared" si="137"/>
        <v>0.2755978</v>
      </c>
      <c r="AO3815">
        <v>0.2755978</v>
      </c>
      <c r="AR3815" s="8">
        <v>0</v>
      </c>
      <c r="AS3815">
        <v>2.2678579999999999</v>
      </c>
    </row>
    <row r="3816" spans="1:45" x14ac:dyDescent="0.25">
      <c r="A3816">
        <v>650</v>
      </c>
      <c r="B3816">
        <v>1998</v>
      </c>
      <c r="C3816" s="8">
        <v>0</v>
      </c>
      <c r="D3816">
        <v>0.21052129999999999</v>
      </c>
      <c r="E3816">
        <v>0.31097730000000001</v>
      </c>
      <c r="F3816">
        <v>5.3675599999999997E-2</v>
      </c>
      <c r="G3816">
        <v>1.679171</v>
      </c>
      <c r="H3816">
        <v>0.26614860000000001</v>
      </c>
      <c r="Q3816" s="10">
        <f t="shared" si="138"/>
        <v>2.8752429811127922E-3</v>
      </c>
      <c r="AI3816">
        <v>0.29684559999999999</v>
      </c>
      <c r="AJ3816">
        <f t="shared" si="137"/>
        <v>0.29684559999999999</v>
      </c>
      <c r="AO3816">
        <v>0.29684559999999999</v>
      </c>
      <c r="AR3816" s="8">
        <v>0</v>
      </c>
      <c r="AS3816">
        <v>1.891019</v>
      </c>
    </row>
    <row r="3817" spans="1:45" x14ac:dyDescent="0.25">
      <c r="A3817">
        <v>650</v>
      </c>
      <c r="B3817">
        <v>1999</v>
      </c>
      <c r="C3817" s="8">
        <v>0</v>
      </c>
      <c r="D3817">
        <v>0.2755978</v>
      </c>
      <c r="E3817">
        <v>0.31117549999999999</v>
      </c>
      <c r="F3817">
        <v>3.69279E-2</v>
      </c>
      <c r="G3817">
        <v>1.2210639999999999</v>
      </c>
      <c r="H3817">
        <v>0.1859142</v>
      </c>
      <c r="Q3817" s="10">
        <f t="shared" si="138"/>
        <v>6.6413271119471588E-3</v>
      </c>
      <c r="AI3817">
        <v>0.2689184</v>
      </c>
      <c r="AJ3817">
        <f t="shared" si="137"/>
        <v>0.2689184</v>
      </c>
      <c r="AO3817">
        <v>0.2689184</v>
      </c>
      <c r="AR3817" s="8">
        <v>0</v>
      </c>
      <c r="AS3817">
        <v>2.4913189999999998</v>
      </c>
    </row>
    <row r="3818" spans="1:45" x14ac:dyDescent="0.25">
      <c r="A3818">
        <v>650</v>
      </c>
      <c r="B3818">
        <v>2000</v>
      </c>
      <c r="C3818" s="8">
        <v>0</v>
      </c>
      <c r="D3818">
        <v>0.29684559999999999</v>
      </c>
      <c r="E3818">
        <v>0.28485660000000002</v>
      </c>
      <c r="F3818">
        <v>5.3460000000000001E-3</v>
      </c>
      <c r="G3818">
        <v>0.83061510000000005</v>
      </c>
      <c r="H3818">
        <v>0.2454151</v>
      </c>
      <c r="Q3818" s="10">
        <f t="shared" si="138"/>
        <v>1.7141036381266732E-2</v>
      </c>
      <c r="AI3818">
        <v>0.27719460000000001</v>
      </c>
      <c r="AJ3818">
        <f t="shared" si="137"/>
        <v>0.27719460000000001</v>
      </c>
      <c r="AO3818">
        <v>0.27719460000000001</v>
      </c>
      <c r="AR3818" s="8">
        <v>0</v>
      </c>
      <c r="AS3818">
        <v>1.679171</v>
      </c>
    </row>
    <row r="3819" spans="1:45" x14ac:dyDescent="0.25">
      <c r="A3819">
        <v>650</v>
      </c>
      <c r="B3819">
        <v>2001</v>
      </c>
      <c r="C3819" s="8">
        <v>0</v>
      </c>
      <c r="D3819">
        <v>0.2689184</v>
      </c>
      <c r="E3819">
        <v>0.21589059999999999</v>
      </c>
      <c r="F3819">
        <v>2.1628999999999999E-2</v>
      </c>
      <c r="G3819">
        <v>1.1656770000000001</v>
      </c>
      <c r="H3819">
        <v>0.23254649999999999</v>
      </c>
      <c r="Q3819" s="10">
        <f t="shared" si="138"/>
        <v>9.6370021165753956E-3</v>
      </c>
      <c r="AI3819">
        <v>0.28077560000000001</v>
      </c>
      <c r="AJ3819">
        <f t="shared" si="137"/>
        <v>0.28077560000000001</v>
      </c>
      <c r="AO3819">
        <v>0.28077560000000001</v>
      </c>
      <c r="AR3819" s="8">
        <v>0</v>
      </c>
      <c r="AS3819">
        <v>1.2210639999999999</v>
      </c>
    </row>
    <row r="3820" spans="1:45" x14ac:dyDescent="0.25">
      <c r="A3820">
        <v>650</v>
      </c>
      <c r="B3820">
        <v>2002</v>
      </c>
      <c r="C3820" s="8">
        <v>0</v>
      </c>
      <c r="D3820">
        <v>0.27719460000000001</v>
      </c>
      <c r="E3820">
        <v>0.2055013</v>
      </c>
      <c r="F3820">
        <v>3.7210199999999999E-2</v>
      </c>
      <c r="G3820">
        <v>1.0190490000000001</v>
      </c>
      <c r="H3820">
        <v>0.2389947</v>
      </c>
      <c r="Q3820" s="10">
        <f t="shared" si="138"/>
        <v>1.0977178950956776E-2</v>
      </c>
      <c r="AI3820">
        <v>0.3525237</v>
      </c>
      <c r="AJ3820">
        <f t="shared" si="137"/>
        <v>0.3525237</v>
      </c>
      <c r="AO3820">
        <v>0.3525237</v>
      </c>
      <c r="AR3820" s="8">
        <v>0</v>
      </c>
      <c r="AS3820">
        <v>0.83061510000000005</v>
      </c>
    </row>
    <row r="3821" spans="1:45" x14ac:dyDescent="0.25">
      <c r="A3821">
        <v>650</v>
      </c>
      <c r="B3821">
        <v>2003</v>
      </c>
      <c r="C3821" s="8">
        <v>0</v>
      </c>
      <c r="D3821">
        <v>0.28077560000000001</v>
      </c>
      <c r="E3821">
        <v>0.23558670000000001</v>
      </c>
      <c r="F3821">
        <v>3.9328700000000001E-2</v>
      </c>
      <c r="G3821">
        <v>1.298041</v>
      </c>
      <c r="H3821">
        <v>0.2358556</v>
      </c>
      <c r="Q3821" s="10">
        <f t="shared" si="138"/>
        <v>6.6487782346935564E-3</v>
      </c>
      <c r="AI3821">
        <v>0.5734745</v>
      </c>
      <c r="AJ3821">
        <f t="shared" si="137"/>
        <v>0.52051970800000003</v>
      </c>
      <c r="AO3821">
        <v>0.52051970800000003</v>
      </c>
      <c r="AR3821" s="8">
        <v>0</v>
      </c>
      <c r="AS3821">
        <v>1.1656770000000001</v>
      </c>
    </row>
    <row r="3822" spans="1:45" x14ac:dyDescent="0.25">
      <c r="A3822">
        <v>650</v>
      </c>
      <c r="B3822">
        <v>2004</v>
      </c>
      <c r="C3822" s="8">
        <v>0</v>
      </c>
      <c r="D3822">
        <v>0.3525237</v>
      </c>
      <c r="E3822">
        <v>0.3366247</v>
      </c>
      <c r="F3822">
        <v>4.5640600000000003E-2</v>
      </c>
      <c r="G3822">
        <v>2.1581009999999998</v>
      </c>
      <c r="H3822">
        <v>0.254251</v>
      </c>
      <c r="Q3822" s="10">
        <f t="shared" si="138"/>
        <v>1.4517881645570261E-3</v>
      </c>
      <c r="AI3822">
        <v>0.58457579999999998</v>
      </c>
      <c r="AJ3822">
        <f t="shared" si="137"/>
        <v>0.52051970800000003</v>
      </c>
      <c r="AO3822">
        <v>0.52051970800000003</v>
      </c>
      <c r="AR3822" s="8">
        <v>0</v>
      </c>
      <c r="AS3822">
        <v>1.0190490000000001</v>
      </c>
    </row>
    <row r="3823" spans="1:45" x14ac:dyDescent="0.25">
      <c r="A3823">
        <v>651</v>
      </c>
      <c r="B3823">
        <v>1995</v>
      </c>
      <c r="C3823" s="8">
        <v>0</v>
      </c>
      <c r="D3823">
        <v>0.5734745</v>
      </c>
      <c r="E3823">
        <v>0.28466130000000001</v>
      </c>
      <c r="F3823">
        <v>0.1115867</v>
      </c>
      <c r="G3823">
        <v>15.24217</v>
      </c>
      <c r="H3823">
        <v>0.46313759999999998</v>
      </c>
      <c r="Q3823" s="10">
        <f t="shared" si="138"/>
        <v>1.0160059983783901E-12</v>
      </c>
      <c r="AI3823">
        <v>0.1109241</v>
      </c>
      <c r="AJ3823">
        <f t="shared" si="137"/>
        <v>0.1109241</v>
      </c>
      <c r="AO3823">
        <v>0.1109241</v>
      </c>
      <c r="AR3823" s="8">
        <v>0</v>
      </c>
      <c r="AS3823">
        <v>1.298041</v>
      </c>
    </row>
    <row r="3824" spans="1:45" x14ac:dyDescent="0.25">
      <c r="A3824">
        <v>651</v>
      </c>
      <c r="B3824">
        <v>1996</v>
      </c>
      <c r="C3824" s="8">
        <v>0</v>
      </c>
      <c r="D3824">
        <v>0.58457579999999998</v>
      </c>
      <c r="E3824">
        <v>0.35723759999999999</v>
      </c>
      <c r="F3824">
        <v>5.6193899999999998E-2</v>
      </c>
      <c r="G3824">
        <v>11.592029999999999</v>
      </c>
      <c r="H3824">
        <v>0.63549169999999999</v>
      </c>
      <c r="Q3824" s="10">
        <f t="shared" si="138"/>
        <v>5.346946359625995E-10</v>
      </c>
      <c r="AI3824">
        <v>4.9209900000000001E-2</v>
      </c>
      <c r="AJ3824">
        <f t="shared" si="137"/>
        <v>4.9209900000000001E-2</v>
      </c>
      <c r="AO3824">
        <v>4.9209900000000001E-2</v>
      </c>
      <c r="AR3824" s="8">
        <v>0</v>
      </c>
      <c r="AS3824">
        <v>2.1581009999999998</v>
      </c>
    </row>
    <row r="3825" spans="1:45" x14ac:dyDescent="0.25">
      <c r="A3825">
        <v>652</v>
      </c>
      <c r="B3825">
        <v>1998</v>
      </c>
      <c r="C3825" s="8">
        <v>0</v>
      </c>
      <c r="D3825">
        <v>0.1109241</v>
      </c>
      <c r="E3825">
        <v>2.5371999999999999E-2</v>
      </c>
      <c r="F3825">
        <v>3.3308999999999999E-3</v>
      </c>
      <c r="G3825">
        <v>0.96979219999999999</v>
      </c>
      <c r="H3825">
        <v>3.8671999999999998E-2</v>
      </c>
      <c r="Q3825" s="10">
        <f t="shared" si="138"/>
        <v>1.6584960285656779E-2</v>
      </c>
      <c r="AI3825">
        <v>3.1446000000000002E-2</v>
      </c>
      <c r="AJ3825">
        <f t="shared" si="137"/>
        <v>3.1446000000000002E-2</v>
      </c>
      <c r="AO3825">
        <v>3.1446000000000002E-2</v>
      </c>
      <c r="AR3825" s="8">
        <v>0</v>
      </c>
      <c r="AS3825">
        <v>15.24217</v>
      </c>
    </row>
    <row r="3826" spans="1:45" x14ac:dyDescent="0.25">
      <c r="A3826">
        <v>652</v>
      </c>
      <c r="B3826">
        <v>1999</v>
      </c>
      <c r="C3826" s="8">
        <v>0</v>
      </c>
      <c r="D3826">
        <v>4.9209900000000001E-2</v>
      </c>
      <c r="E3826">
        <v>1.8275300000000001E-2</v>
      </c>
      <c r="F3826">
        <v>1.4199099999999999E-2</v>
      </c>
      <c r="G3826">
        <v>0.92376380000000002</v>
      </c>
      <c r="H3826">
        <v>4.6821799999999997E-2</v>
      </c>
      <c r="Q3826" s="10">
        <f t="shared" si="138"/>
        <v>1.620138619616374E-2</v>
      </c>
      <c r="AI3826">
        <v>2.2020100000000001E-2</v>
      </c>
      <c r="AJ3826">
        <f t="shared" si="137"/>
        <v>2.2020100000000001E-2</v>
      </c>
      <c r="AO3826">
        <v>2.2020100000000001E-2</v>
      </c>
      <c r="AR3826" s="8">
        <v>0</v>
      </c>
      <c r="AS3826">
        <v>11.592029999999999</v>
      </c>
    </row>
    <row r="3827" spans="1:45" x14ac:dyDescent="0.25">
      <c r="A3827">
        <v>652</v>
      </c>
      <c r="B3827">
        <v>2000</v>
      </c>
      <c r="C3827" s="8">
        <v>0</v>
      </c>
      <c r="D3827">
        <v>3.1446000000000002E-2</v>
      </c>
      <c r="E3827">
        <v>-6.4811000000000001E-3</v>
      </c>
      <c r="F3827">
        <v>1.3047400000000001E-2</v>
      </c>
      <c r="G3827">
        <v>0.54744060000000005</v>
      </c>
      <c r="H3827">
        <v>5.2873400000000001E-2</v>
      </c>
      <c r="Q3827" s="10">
        <f t="shared" si="138"/>
        <v>3.0324072350419763E-2</v>
      </c>
      <c r="AI3827">
        <v>5.1689100000000002E-2</v>
      </c>
      <c r="AJ3827">
        <f t="shared" si="137"/>
        <v>5.1689100000000002E-2</v>
      </c>
      <c r="AO3827">
        <v>5.1689100000000002E-2</v>
      </c>
      <c r="AR3827" s="8">
        <v>0</v>
      </c>
      <c r="AS3827">
        <v>0.96979219999999999</v>
      </c>
    </row>
    <row r="3828" spans="1:45" x14ac:dyDescent="0.25">
      <c r="A3828">
        <v>652</v>
      </c>
      <c r="B3828">
        <v>2001</v>
      </c>
      <c r="C3828" s="8">
        <v>0</v>
      </c>
      <c r="D3828">
        <v>2.2020100000000001E-2</v>
      </c>
      <c r="E3828">
        <v>-4.0448600000000001E-2</v>
      </c>
      <c r="F3828">
        <v>1.16738E-2</v>
      </c>
      <c r="G3828">
        <v>0.59671909999999995</v>
      </c>
      <c r="H3828">
        <v>4.6036000000000001E-2</v>
      </c>
      <c r="Q3828" s="10">
        <f t="shared" si="138"/>
        <v>2.956031929830201E-2</v>
      </c>
      <c r="AI3828">
        <v>3.3171199999999998E-2</v>
      </c>
      <c r="AJ3828">
        <f t="shared" si="137"/>
        <v>3.3171199999999998E-2</v>
      </c>
      <c r="AO3828">
        <v>3.3171199999999998E-2</v>
      </c>
      <c r="AR3828" s="8">
        <v>0</v>
      </c>
      <c r="AS3828">
        <v>0.92376380000000002</v>
      </c>
    </row>
    <row r="3829" spans="1:45" x14ac:dyDescent="0.25">
      <c r="A3829">
        <v>652</v>
      </c>
      <c r="B3829">
        <v>2003</v>
      </c>
      <c r="C3829" s="8">
        <v>0</v>
      </c>
      <c r="D3829">
        <v>5.1689100000000002E-2</v>
      </c>
      <c r="E3829">
        <v>-4.9215700000000001E-2</v>
      </c>
      <c r="F3829">
        <v>1.12222E-2</v>
      </c>
      <c r="G3829">
        <v>0.26556800000000003</v>
      </c>
      <c r="H3829">
        <v>4.9212699999999998E-2</v>
      </c>
      <c r="Q3829" s="10">
        <f t="shared" si="138"/>
        <v>5.05474704768826E-2</v>
      </c>
      <c r="AI3829">
        <v>8.0810499999999993E-2</v>
      </c>
      <c r="AJ3829">
        <f t="shared" si="137"/>
        <v>8.0810499999999993E-2</v>
      </c>
      <c r="AO3829">
        <v>8.0810499999999993E-2</v>
      </c>
      <c r="AR3829" s="8">
        <v>0</v>
      </c>
      <c r="AS3829">
        <v>0.54744060000000005</v>
      </c>
    </row>
    <row r="3830" spans="1:45" x14ac:dyDescent="0.25">
      <c r="A3830">
        <v>652</v>
      </c>
      <c r="B3830">
        <v>2004</v>
      </c>
      <c r="C3830" s="8">
        <v>0</v>
      </c>
      <c r="D3830">
        <v>3.3171199999999998E-2</v>
      </c>
      <c r="E3830">
        <v>-0.23159360000000001</v>
      </c>
      <c r="F3830">
        <v>1.6516800000000002E-2</v>
      </c>
      <c r="G3830">
        <v>0.2261495</v>
      </c>
      <c r="H3830">
        <v>5.70979E-2</v>
      </c>
      <c r="Q3830" s="10">
        <f t="shared" si="138"/>
        <v>6.5982032182647546E-2</v>
      </c>
      <c r="AI3830">
        <v>5.6362500000000003E-2</v>
      </c>
      <c r="AJ3830">
        <f t="shared" si="137"/>
        <v>5.6362500000000003E-2</v>
      </c>
      <c r="AO3830">
        <v>5.6362500000000003E-2</v>
      </c>
      <c r="AR3830" s="8">
        <v>0</v>
      </c>
      <c r="AS3830">
        <v>0.59671909999999995</v>
      </c>
    </row>
    <row r="3831" spans="1:45" x14ac:dyDescent="0.25">
      <c r="A3831">
        <v>653</v>
      </c>
      <c r="B3831">
        <v>1995</v>
      </c>
      <c r="C3831" s="8">
        <v>0</v>
      </c>
      <c r="D3831">
        <v>8.0810499999999993E-2</v>
      </c>
      <c r="E3831">
        <v>0.28246359999999998</v>
      </c>
      <c r="F3831">
        <v>5.5818899999999998E-2</v>
      </c>
      <c r="G3831">
        <v>1.806257</v>
      </c>
      <c r="H3831">
        <v>0.28303780000000001</v>
      </c>
      <c r="Q3831" s="10">
        <f t="shared" si="138"/>
        <v>2.3053105739689462E-3</v>
      </c>
      <c r="AI3831">
        <v>-7.3838999999999997E-3</v>
      </c>
      <c r="AJ3831">
        <f t="shared" si="137"/>
        <v>-7.3838999999999997E-3</v>
      </c>
      <c r="AO3831">
        <v>-7.3838999999999997E-3</v>
      </c>
      <c r="AR3831" s="8">
        <v>0</v>
      </c>
      <c r="AS3831">
        <v>0.26556800000000003</v>
      </c>
    </row>
    <row r="3832" spans="1:45" x14ac:dyDescent="0.25">
      <c r="A3832">
        <v>653</v>
      </c>
      <c r="B3832">
        <v>1996</v>
      </c>
      <c r="C3832" s="8">
        <v>0</v>
      </c>
      <c r="D3832">
        <v>5.6362500000000003E-2</v>
      </c>
      <c r="E3832">
        <v>0.1882422</v>
      </c>
      <c r="F3832">
        <v>5.7769599999999997E-2</v>
      </c>
      <c r="G3832">
        <v>2.4371330000000002</v>
      </c>
      <c r="H3832">
        <v>0.27255370000000001</v>
      </c>
      <c r="Q3832" s="10">
        <f t="shared" si="138"/>
        <v>9.3799784696401562E-4</v>
      </c>
      <c r="AI3832">
        <v>0.19025139999999999</v>
      </c>
      <c r="AJ3832">
        <f t="shared" si="137"/>
        <v>0.19025139999999999</v>
      </c>
      <c r="AO3832">
        <v>0.19025139999999999</v>
      </c>
      <c r="AR3832" s="8">
        <v>0</v>
      </c>
      <c r="AS3832">
        <v>0.2261495</v>
      </c>
    </row>
    <row r="3833" spans="1:45" x14ac:dyDescent="0.25">
      <c r="A3833">
        <v>653</v>
      </c>
      <c r="B3833">
        <v>1997</v>
      </c>
      <c r="C3833" s="8">
        <v>0</v>
      </c>
      <c r="D3833">
        <v>-7.3838999999999997E-3</v>
      </c>
      <c r="E3833">
        <v>0.15244060000000001</v>
      </c>
      <c r="F3833">
        <v>5.9520799999999999E-2</v>
      </c>
      <c r="G3833">
        <v>2.164873</v>
      </c>
      <c r="H3833">
        <v>0.24781210000000001</v>
      </c>
      <c r="Q3833" s="10">
        <f t="shared" si="138"/>
        <v>1.4414644344375191E-3</v>
      </c>
      <c r="AI3833">
        <v>4.2163800000000001E-2</v>
      </c>
      <c r="AJ3833">
        <f t="shared" si="137"/>
        <v>4.2163800000000001E-2</v>
      </c>
      <c r="AO3833">
        <v>4.2163800000000001E-2</v>
      </c>
      <c r="AR3833" s="8">
        <v>0</v>
      </c>
      <c r="AS3833">
        <v>1.806257</v>
      </c>
    </row>
    <row r="3834" spans="1:45" x14ac:dyDescent="0.25">
      <c r="A3834">
        <v>653</v>
      </c>
      <c r="B3834">
        <v>1998</v>
      </c>
      <c r="C3834" s="8">
        <v>0</v>
      </c>
      <c r="D3834">
        <v>0.19025139999999999</v>
      </c>
      <c r="E3834">
        <v>0.42448170000000002</v>
      </c>
      <c r="F3834">
        <v>5.4173800000000001E-2</v>
      </c>
      <c r="G3834">
        <v>1.101404</v>
      </c>
      <c r="H3834">
        <v>0.20694760000000001</v>
      </c>
      <c r="Q3834" s="10">
        <f t="shared" si="138"/>
        <v>5.811296982668814E-3</v>
      </c>
      <c r="AI3834">
        <v>0.16489780000000001</v>
      </c>
      <c r="AJ3834">
        <f t="shared" si="137"/>
        <v>0.16489780000000001</v>
      </c>
      <c r="AO3834">
        <v>0.16489780000000001</v>
      </c>
      <c r="AR3834" s="8">
        <v>0</v>
      </c>
      <c r="AS3834">
        <v>2.4371330000000002</v>
      </c>
    </row>
    <row r="3835" spans="1:45" x14ac:dyDescent="0.25">
      <c r="A3835">
        <v>653</v>
      </c>
      <c r="B3835">
        <v>1999</v>
      </c>
      <c r="C3835" s="8">
        <v>0</v>
      </c>
      <c r="D3835">
        <v>4.2163800000000001E-2</v>
      </c>
      <c r="E3835">
        <v>0.4840372</v>
      </c>
      <c r="F3835">
        <v>6.7505200000000001E-2</v>
      </c>
      <c r="G3835">
        <v>0.83350999999999997</v>
      </c>
      <c r="H3835">
        <v>0.22710250000000001</v>
      </c>
      <c r="Q3835" s="10">
        <f t="shared" si="138"/>
        <v>6.982656268529612E-3</v>
      </c>
      <c r="AI3835">
        <v>0.15953100000000001</v>
      </c>
      <c r="AJ3835">
        <f t="shared" si="137"/>
        <v>0.15953100000000001</v>
      </c>
      <c r="AO3835">
        <v>0.15953100000000001</v>
      </c>
      <c r="AR3835" s="8">
        <v>0</v>
      </c>
      <c r="AS3835">
        <v>2.164873</v>
      </c>
    </row>
    <row r="3836" spans="1:45" x14ac:dyDescent="0.25">
      <c r="A3836">
        <v>654</v>
      </c>
      <c r="B3836">
        <v>1995</v>
      </c>
      <c r="C3836" s="8">
        <v>0</v>
      </c>
      <c r="D3836">
        <v>0.16489780000000001</v>
      </c>
      <c r="E3836">
        <v>0.28357060000000001</v>
      </c>
      <c r="F3836">
        <v>6.0625499999999999E-2</v>
      </c>
      <c r="G3836">
        <v>1.1084890000000001</v>
      </c>
      <c r="H3836">
        <v>0.32126120000000002</v>
      </c>
      <c r="Q3836" s="10">
        <f t="shared" si="138"/>
        <v>7.1052013098886549E-3</v>
      </c>
      <c r="AI3836">
        <v>0.15486459999999999</v>
      </c>
      <c r="AJ3836">
        <f t="shared" si="137"/>
        <v>0.15486459999999999</v>
      </c>
      <c r="AO3836">
        <v>0.15486459999999999</v>
      </c>
      <c r="AR3836" s="8">
        <v>0</v>
      </c>
      <c r="AS3836">
        <v>1.101404</v>
      </c>
    </row>
    <row r="3837" spans="1:45" x14ac:dyDescent="0.25">
      <c r="A3837">
        <v>654</v>
      </c>
      <c r="B3837">
        <v>1996</v>
      </c>
      <c r="C3837" s="8">
        <v>0</v>
      </c>
      <c r="D3837">
        <v>0.15953100000000001</v>
      </c>
      <c r="E3837">
        <v>0.33043080000000002</v>
      </c>
      <c r="F3837">
        <v>5.5039100000000001E-2</v>
      </c>
      <c r="G3837">
        <v>1.2696609999999999</v>
      </c>
      <c r="H3837">
        <v>0.33031060000000001</v>
      </c>
      <c r="Q3837" s="10">
        <f t="shared" si="138"/>
        <v>5.395896533761148E-3</v>
      </c>
      <c r="AI3837">
        <v>0.18911929999999999</v>
      </c>
      <c r="AJ3837">
        <f t="shared" si="137"/>
        <v>0.18911929999999999</v>
      </c>
      <c r="AO3837">
        <v>0.18911929999999999</v>
      </c>
      <c r="AR3837" s="8">
        <v>0</v>
      </c>
      <c r="AS3837">
        <v>0.83350999999999997</v>
      </c>
    </row>
    <row r="3838" spans="1:45" x14ac:dyDescent="0.25">
      <c r="A3838">
        <v>654</v>
      </c>
      <c r="B3838">
        <v>1997</v>
      </c>
      <c r="C3838" s="8">
        <v>0</v>
      </c>
      <c r="D3838">
        <v>0.15486459999999999</v>
      </c>
      <c r="E3838">
        <v>0.33270379999999999</v>
      </c>
      <c r="F3838">
        <v>6.3465800000000003E-2</v>
      </c>
      <c r="G3838">
        <v>1.7001850000000001</v>
      </c>
      <c r="H3838">
        <v>0.31955339999999999</v>
      </c>
      <c r="Q3838" s="10">
        <f t="shared" si="138"/>
        <v>2.5171756917318619E-3</v>
      </c>
      <c r="AI3838">
        <v>0.1318202</v>
      </c>
      <c r="AJ3838">
        <f t="shared" si="137"/>
        <v>0.1318202</v>
      </c>
      <c r="AO3838">
        <v>0.1318202</v>
      </c>
      <c r="AR3838" s="8">
        <v>0</v>
      </c>
      <c r="AS3838">
        <v>1.1084890000000001</v>
      </c>
    </row>
    <row r="3839" spans="1:45" x14ac:dyDescent="0.25">
      <c r="A3839">
        <v>654</v>
      </c>
      <c r="B3839">
        <v>1998</v>
      </c>
      <c r="C3839" s="8">
        <v>0</v>
      </c>
      <c r="D3839">
        <v>0.18911929999999999</v>
      </c>
      <c r="E3839">
        <v>0.34894639999999999</v>
      </c>
      <c r="F3839">
        <v>4.2663100000000002E-2</v>
      </c>
      <c r="G3839">
        <v>0.87311490000000003</v>
      </c>
      <c r="H3839">
        <v>0.30135269999999997</v>
      </c>
      <c r="Q3839" s="10">
        <f t="shared" si="138"/>
        <v>1.0788976732616284E-2</v>
      </c>
      <c r="AI3839">
        <v>0.1469249</v>
      </c>
      <c r="AJ3839">
        <f t="shared" si="137"/>
        <v>0.1469249</v>
      </c>
      <c r="AO3839">
        <v>0.1469249</v>
      </c>
      <c r="AR3839" s="8">
        <v>0</v>
      </c>
      <c r="AS3839">
        <v>1.2696609999999999</v>
      </c>
    </row>
    <row r="3840" spans="1:45" x14ac:dyDescent="0.25">
      <c r="A3840">
        <v>654</v>
      </c>
      <c r="B3840">
        <v>1999</v>
      </c>
      <c r="C3840" s="8">
        <v>0</v>
      </c>
      <c r="D3840">
        <v>0.1318202</v>
      </c>
      <c r="E3840">
        <v>0.35365239999999998</v>
      </c>
      <c r="F3840">
        <v>4.1074699999999999E-2</v>
      </c>
      <c r="G3840">
        <v>0.95451699999999995</v>
      </c>
      <c r="H3840">
        <v>0.2888288</v>
      </c>
      <c r="Q3840" s="10">
        <f t="shared" si="138"/>
        <v>9.2508374945335474E-3</v>
      </c>
      <c r="AI3840">
        <v>9.0191999999999994E-2</v>
      </c>
      <c r="AJ3840">
        <f t="shared" si="137"/>
        <v>9.0191999999999994E-2</v>
      </c>
      <c r="AO3840">
        <v>9.0191999999999994E-2</v>
      </c>
      <c r="AR3840" s="8">
        <v>0</v>
      </c>
      <c r="AS3840">
        <v>1.7001850000000001</v>
      </c>
    </row>
    <row r="3841" spans="1:45" x14ac:dyDescent="0.25">
      <c r="A3841">
        <v>654</v>
      </c>
      <c r="B3841">
        <v>2000</v>
      </c>
      <c r="C3841" s="8">
        <v>0</v>
      </c>
      <c r="D3841">
        <v>0.1469249</v>
      </c>
      <c r="E3841">
        <v>0.31143670000000001</v>
      </c>
      <c r="F3841">
        <v>3.8603600000000002E-2</v>
      </c>
      <c r="G3841">
        <v>0.60224690000000003</v>
      </c>
      <c r="H3841">
        <v>0.27474700000000002</v>
      </c>
      <c r="Q3841" s="10">
        <f t="shared" si="138"/>
        <v>1.7400712897411085E-2</v>
      </c>
      <c r="AI3841">
        <v>0.1572298</v>
      </c>
      <c r="AJ3841">
        <f t="shared" si="137"/>
        <v>0.1572298</v>
      </c>
      <c r="AO3841">
        <v>0.1572298</v>
      </c>
      <c r="AR3841" s="8">
        <v>0</v>
      </c>
      <c r="AS3841">
        <v>0.87311490000000003</v>
      </c>
    </row>
    <row r="3842" spans="1:45" x14ac:dyDescent="0.25">
      <c r="A3842">
        <v>654</v>
      </c>
      <c r="B3842">
        <v>2001</v>
      </c>
      <c r="C3842" s="8">
        <v>0</v>
      </c>
      <c r="D3842">
        <v>9.0191999999999994E-2</v>
      </c>
      <c r="E3842">
        <v>0.23697689999999999</v>
      </c>
      <c r="F3842">
        <v>3.1344799999999999E-2</v>
      </c>
      <c r="G3842">
        <v>0.58681059999999996</v>
      </c>
      <c r="H3842">
        <v>0.2655208</v>
      </c>
      <c r="Q3842" s="10">
        <f t="shared" si="138"/>
        <v>2.0392419866533836E-2</v>
      </c>
      <c r="AI3842">
        <v>0.12518180000000001</v>
      </c>
      <c r="AJ3842">
        <f t="shared" si="137"/>
        <v>0.12518180000000001</v>
      </c>
      <c r="AO3842">
        <v>0.12518180000000001</v>
      </c>
      <c r="AR3842" s="8">
        <v>0</v>
      </c>
      <c r="AS3842">
        <v>0.95451699999999995</v>
      </c>
    </row>
    <row r="3843" spans="1:45" x14ac:dyDescent="0.25">
      <c r="A3843">
        <v>654</v>
      </c>
      <c r="B3843">
        <v>2002</v>
      </c>
      <c r="C3843" s="8">
        <v>0</v>
      </c>
      <c r="D3843">
        <v>0.1572298</v>
      </c>
      <c r="E3843">
        <v>0.13265399999999999</v>
      </c>
      <c r="F3843">
        <v>3.4085400000000002E-2</v>
      </c>
      <c r="G3843">
        <v>0.59713570000000005</v>
      </c>
      <c r="H3843">
        <v>0.26115500000000003</v>
      </c>
      <c r="Q3843" s="10">
        <f t="shared" si="138"/>
        <v>2.3348368572348319E-2</v>
      </c>
      <c r="AI3843">
        <v>0.1982573</v>
      </c>
      <c r="AJ3843">
        <f t="shared" si="137"/>
        <v>0.1982573</v>
      </c>
      <c r="AO3843">
        <v>0.1982573</v>
      </c>
      <c r="AR3843" s="8">
        <v>0</v>
      </c>
      <c r="AS3843">
        <v>0.60224690000000003</v>
      </c>
    </row>
    <row r="3844" spans="1:45" x14ac:dyDescent="0.25">
      <c r="A3844">
        <v>654</v>
      </c>
      <c r="B3844">
        <v>2003</v>
      </c>
      <c r="C3844" s="8">
        <v>0</v>
      </c>
      <c r="D3844">
        <v>0.12518180000000001</v>
      </c>
      <c r="E3844">
        <v>0.14371610000000001</v>
      </c>
      <c r="F3844">
        <v>5.8825599999999999E-2</v>
      </c>
      <c r="G3844">
        <v>0.72915779999999997</v>
      </c>
      <c r="H3844">
        <v>0.30858720000000001</v>
      </c>
      <c r="Q3844" s="10">
        <f t="shared" si="138"/>
        <v>1.5644600080053219E-2</v>
      </c>
      <c r="AI3844">
        <v>0.24731259999999999</v>
      </c>
      <c r="AJ3844">
        <f t="shared" si="137"/>
        <v>0.24731259999999999</v>
      </c>
      <c r="AO3844">
        <v>0.24731259999999999</v>
      </c>
      <c r="AR3844" s="8">
        <v>0</v>
      </c>
      <c r="AS3844">
        <v>0.58681059999999996</v>
      </c>
    </row>
    <row r="3845" spans="1:45" x14ac:dyDescent="0.25">
      <c r="A3845">
        <v>654</v>
      </c>
      <c r="B3845">
        <v>2004</v>
      </c>
      <c r="C3845" s="8">
        <v>0</v>
      </c>
      <c r="D3845">
        <v>0.1982573</v>
      </c>
      <c r="E3845">
        <v>0.17036290000000001</v>
      </c>
      <c r="F3845">
        <v>4.3255599999999998E-2</v>
      </c>
      <c r="G3845">
        <v>0.91668810000000001</v>
      </c>
      <c r="H3845">
        <v>0.32874160000000002</v>
      </c>
      <c r="Q3845" s="10">
        <f t="shared" si="138"/>
        <v>1.3227573609961393E-2</v>
      </c>
      <c r="AI3845">
        <v>0.31136000000000003</v>
      </c>
      <c r="AJ3845">
        <f t="shared" ref="AJ3845:AJ3908" si="139">MAX(MIN(AI3845,AM$5),AM$4)</f>
        <v>0.31136000000000003</v>
      </c>
      <c r="AO3845">
        <v>0.31136000000000003</v>
      </c>
      <c r="AR3845" s="8">
        <v>0</v>
      </c>
      <c r="AS3845">
        <v>0.59713570000000005</v>
      </c>
    </row>
    <row r="3846" spans="1:45" x14ac:dyDescent="0.25">
      <c r="A3846">
        <v>655</v>
      </c>
      <c r="B3846">
        <v>1999</v>
      </c>
      <c r="C3846" s="8">
        <v>0</v>
      </c>
      <c r="D3846">
        <v>0.24731259999999999</v>
      </c>
      <c r="E3846">
        <v>5.7849600000000001E-2</v>
      </c>
      <c r="F3846">
        <v>5.8618000000000003E-2</v>
      </c>
      <c r="G3846">
        <v>5.5973550000000003</v>
      </c>
      <c r="H3846">
        <v>0.46683550000000001</v>
      </c>
      <c r="Q3846" s="10">
        <f t="shared" si="138"/>
        <v>8.9432750645036743E-6</v>
      </c>
      <c r="AI3846">
        <v>0.21906149999999999</v>
      </c>
      <c r="AJ3846">
        <f t="shared" si="139"/>
        <v>0.21906149999999999</v>
      </c>
      <c r="AO3846">
        <v>0.21906149999999999</v>
      </c>
      <c r="AR3846" s="8">
        <v>0</v>
      </c>
      <c r="AS3846">
        <v>0.72915779999999997</v>
      </c>
    </row>
    <row r="3847" spans="1:45" x14ac:dyDescent="0.25">
      <c r="A3847">
        <v>655</v>
      </c>
      <c r="B3847">
        <v>2000</v>
      </c>
      <c r="C3847" s="8">
        <v>0</v>
      </c>
      <c r="D3847">
        <v>0.31136000000000003</v>
      </c>
      <c r="E3847">
        <v>2.3109999999999999E-2</v>
      </c>
      <c r="F3847">
        <v>3.4239699999999998E-2</v>
      </c>
      <c r="G3847">
        <v>1.1384840000000001</v>
      </c>
      <c r="H3847">
        <v>0.33291270000000001</v>
      </c>
      <c r="Q3847" s="10">
        <f t="shared" ref="Q3847:Q3910" si="140">1/(1+EXP(-(J$6+SUMPRODUCT(K$6:O$6,D3847:H3847))))</f>
        <v>1.2997608849790853E-2</v>
      </c>
      <c r="AI3847">
        <v>0.27261839999999998</v>
      </c>
      <c r="AJ3847">
        <f t="shared" si="139"/>
        <v>0.27261839999999998</v>
      </c>
      <c r="AO3847">
        <v>0.27261839999999998</v>
      </c>
      <c r="AR3847" s="8">
        <v>0</v>
      </c>
      <c r="AS3847">
        <v>0.91668810000000001</v>
      </c>
    </row>
    <row r="3848" spans="1:45" x14ac:dyDescent="0.25">
      <c r="A3848">
        <v>655</v>
      </c>
      <c r="B3848">
        <v>2001</v>
      </c>
      <c r="C3848" s="8">
        <v>0</v>
      </c>
      <c r="D3848">
        <v>0.21906149999999999</v>
      </c>
      <c r="E3848">
        <v>9.6560000000000005E-4</v>
      </c>
      <c r="F3848">
        <v>4.2535400000000001E-2</v>
      </c>
      <c r="G3848">
        <v>1.830846</v>
      </c>
      <c r="H3848">
        <v>0.2347234</v>
      </c>
      <c r="Q3848" s="10">
        <f t="shared" si="140"/>
        <v>3.8092424913715138E-3</v>
      </c>
      <c r="AI3848">
        <v>0.2837324</v>
      </c>
      <c r="AJ3848">
        <f t="shared" si="139"/>
        <v>0.2837324</v>
      </c>
      <c r="AO3848">
        <v>0.2837324</v>
      </c>
      <c r="AR3848" s="8">
        <v>0</v>
      </c>
      <c r="AS3848">
        <v>5.5973550000000003</v>
      </c>
    </row>
    <row r="3849" spans="1:45" x14ac:dyDescent="0.25">
      <c r="A3849">
        <v>655</v>
      </c>
      <c r="B3849">
        <v>2002</v>
      </c>
      <c r="C3849" s="8">
        <v>0</v>
      </c>
      <c r="D3849">
        <v>0.27261839999999998</v>
      </c>
      <c r="E3849">
        <v>-0.21627179999999999</v>
      </c>
      <c r="F3849">
        <v>5.1053000000000001E-2</v>
      </c>
      <c r="G3849">
        <v>0.84227450000000004</v>
      </c>
      <c r="H3849">
        <v>0.32795659999999999</v>
      </c>
      <c r="Q3849" s="10">
        <f t="shared" si="140"/>
        <v>2.5003464870253123E-2</v>
      </c>
      <c r="AI3849">
        <v>0.2826612</v>
      </c>
      <c r="AJ3849">
        <f t="shared" si="139"/>
        <v>0.2826612</v>
      </c>
      <c r="AO3849">
        <v>0.2826612</v>
      </c>
      <c r="AR3849" s="8">
        <v>0</v>
      </c>
      <c r="AS3849">
        <v>1.1384840000000001</v>
      </c>
    </row>
    <row r="3850" spans="1:45" x14ac:dyDescent="0.25">
      <c r="A3850">
        <v>655</v>
      </c>
      <c r="B3850">
        <v>2003</v>
      </c>
      <c r="C3850" s="8">
        <v>0</v>
      </c>
      <c r="D3850">
        <v>0.2837324</v>
      </c>
      <c r="E3850">
        <v>-0.2047667</v>
      </c>
      <c r="F3850">
        <v>5.8444500000000003E-2</v>
      </c>
      <c r="G3850">
        <v>1.9666189999999999</v>
      </c>
      <c r="H3850">
        <v>0.41311969999999998</v>
      </c>
      <c r="Q3850" s="10">
        <f t="shared" si="140"/>
        <v>4.1784022943561422E-3</v>
      </c>
      <c r="AI3850">
        <v>0.22049659999999999</v>
      </c>
      <c r="AJ3850">
        <f t="shared" si="139"/>
        <v>0.22049659999999999</v>
      </c>
      <c r="AO3850">
        <v>0.22049659999999999</v>
      </c>
      <c r="AR3850" s="8">
        <v>0</v>
      </c>
      <c r="AS3850">
        <v>1.830846</v>
      </c>
    </row>
    <row r="3851" spans="1:45" x14ac:dyDescent="0.25">
      <c r="A3851">
        <v>655</v>
      </c>
      <c r="B3851">
        <v>2004</v>
      </c>
      <c r="C3851" s="8">
        <v>0</v>
      </c>
      <c r="D3851">
        <v>0.2826612</v>
      </c>
      <c r="E3851">
        <v>-0.23105880000000001</v>
      </c>
      <c r="F3851">
        <v>5.7327400000000001E-2</v>
      </c>
      <c r="G3851">
        <v>1.3877299999999999</v>
      </c>
      <c r="H3851">
        <v>0.4308187</v>
      </c>
      <c r="Q3851" s="10">
        <f t="shared" si="140"/>
        <v>1.1058503754580286E-2</v>
      </c>
      <c r="AI3851">
        <v>0.16582640000000001</v>
      </c>
      <c r="AJ3851">
        <f t="shared" si="139"/>
        <v>0.16582640000000001</v>
      </c>
      <c r="AO3851">
        <v>0.16582640000000001</v>
      </c>
      <c r="AR3851" s="8">
        <v>0</v>
      </c>
      <c r="AS3851">
        <v>0.84227450000000004</v>
      </c>
    </row>
    <row r="3852" spans="1:45" x14ac:dyDescent="0.25">
      <c r="A3852">
        <v>656</v>
      </c>
      <c r="B3852">
        <v>1996</v>
      </c>
      <c r="C3852" s="8">
        <v>0</v>
      </c>
      <c r="D3852">
        <v>0.22049659999999999</v>
      </c>
      <c r="E3852">
        <v>2.8423799999999999E-2</v>
      </c>
      <c r="F3852">
        <v>5.55275E-2</v>
      </c>
      <c r="G3852">
        <v>0.28201379999999998</v>
      </c>
      <c r="H3852">
        <v>0.42148400000000003</v>
      </c>
      <c r="Q3852" s="10">
        <f t="shared" si="140"/>
        <v>4.2054937055262254E-2</v>
      </c>
      <c r="AI3852">
        <v>-0.4376198</v>
      </c>
      <c r="AJ3852">
        <f t="shared" si="139"/>
        <v>-0.113345184</v>
      </c>
      <c r="AO3852">
        <v>-0.113345184</v>
      </c>
      <c r="AR3852" s="8">
        <v>0</v>
      </c>
      <c r="AS3852">
        <v>1.9666189999999999</v>
      </c>
    </row>
    <row r="3853" spans="1:45" x14ac:dyDescent="0.25">
      <c r="A3853">
        <v>656</v>
      </c>
      <c r="B3853">
        <v>1997</v>
      </c>
      <c r="C3853" s="8">
        <v>0</v>
      </c>
      <c r="D3853">
        <v>0.16582640000000001</v>
      </c>
      <c r="E3853">
        <v>-8.9271999999999997E-3</v>
      </c>
      <c r="F3853">
        <v>7.9461400000000001E-2</v>
      </c>
      <c r="G3853">
        <v>0.60370349999999995</v>
      </c>
      <c r="H3853">
        <v>0.39543879999999998</v>
      </c>
      <c r="Q3853" s="10">
        <f t="shared" si="140"/>
        <v>2.1575360759167644E-2</v>
      </c>
      <c r="AI3853">
        <v>0.38952219999999999</v>
      </c>
      <c r="AJ3853">
        <f t="shared" si="139"/>
        <v>0.38952219999999999</v>
      </c>
      <c r="AO3853">
        <v>0.38952219999999999</v>
      </c>
      <c r="AR3853" s="8">
        <v>0</v>
      </c>
      <c r="AS3853">
        <v>1.3877299999999999</v>
      </c>
    </row>
    <row r="3854" spans="1:45" x14ac:dyDescent="0.25">
      <c r="A3854">
        <v>656</v>
      </c>
      <c r="B3854">
        <v>2001</v>
      </c>
      <c r="C3854" s="8">
        <v>1</v>
      </c>
      <c r="D3854">
        <v>-0.4376198</v>
      </c>
      <c r="E3854">
        <v>-8.6269100000000001E-2</v>
      </c>
      <c r="F3854">
        <v>2.98175E-2</v>
      </c>
      <c r="G3854">
        <v>5.42411E-2</v>
      </c>
      <c r="H3854">
        <v>0.33397559999999998</v>
      </c>
      <c r="Q3854" s="10">
        <f t="shared" si="140"/>
        <v>6.1956427295628953E-2</v>
      </c>
      <c r="AI3854">
        <v>0.43159629999999999</v>
      </c>
      <c r="AJ3854">
        <f t="shared" si="139"/>
        <v>0.43159629999999999</v>
      </c>
      <c r="AO3854">
        <v>0.43159629999999999</v>
      </c>
      <c r="AR3854" s="8">
        <v>0</v>
      </c>
      <c r="AS3854">
        <v>0.28201379999999998</v>
      </c>
    </row>
    <row r="3855" spans="1:45" x14ac:dyDescent="0.25">
      <c r="A3855">
        <v>657</v>
      </c>
      <c r="B3855">
        <v>1995</v>
      </c>
      <c r="C3855" s="8">
        <v>0</v>
      </c>
      <c r="D3855">
        <v>0.38952219999999999</v>
      </c>
      <c r="E3855">
        <v>0.31598470000000001</v>
      </c>
      <c r="F3855">
        <v>5.6628499999999998E-2</v>
      </c>
      <c r="G3855">
        <v>1.2512639999999999</v>
      </c>
      <c r="H3855">
        <v>0.45771450000000002</v>
      </c>
      <c r="Q3855" s="10">
        <f t="shared" si="140"/>
        <v>6.6607801817119023E-3</v>
      </c>
      <c r="AI3855">
        <v>0.38445210000000002</v>
      </c>
      <c r="AJ3855">
        <f t="shared" si="139"/>
        <v>0.38445210000000002</v>
      </c>
      <c r="AO3855">
        <v>0.38445210000000002</v>
      </c>
      <c r="AR3855" s="8">
        <v>0</v>
      </c>
      <c r="AS3855">
        <v>0.60370349999999995</v>
      </c>
    </row>
    <row r="3856" spans="1:45" x14ac:dyDescent="0.25">
      <c r="A3856">
        <v>657</v>
      </c>
      <c r="B3856">
        <v>1996</v>
      </c>
      <c r="C3856" s="8">
        <v>0</v>
      </c>
      <c r="D3856">
        <v>0.43159629999999999</v>
      </c>
      <c r="E3856">
        <v>0.37050480000000002</v>
      </c>
      <c r="F3856">
        <v>5.69466E-2</v>
      </c>
      <c r="G3856">
        <v>1.3592169999999999</v>
      </c>
      <c r="H3856">
        <v>0.42527300000000001</v>
      </c>
      <c r="Q3856" s="10">
        <f t="shared" si="140"/>
        <v>5.1614848153580598E-3</v>
      </c>
      <c r="AI3856">
        <v>0.34351520000000002</v>
      </c>
      <c r="AJ3856">
        <f t="shared" si="139"/>
        <v>0.34351520000000002</v>
      </c>
      <c r="AO3856">
        <v>0.34351520000000002</v>
      </c>
      <c r="AR3856" s="8">
        <v>1</v>
      </c>
      <c r="AS3856">
        <v>5.42411E-2</v>
      </c>
    </row>
    <row r="3857" spans="1:45" x14ac:dyDescent="0.25">
      <c r="A3857">
        <v>657</v>
      </c>
      <c r="B3857">
        <v>1997</v>
      </c>
      <c r="C3857" s="8">
        <v>0</v>
      </c>
      <c r="D3857">
        <v>0.38445210000000002</v>
      </c>
      <c r="E3857">
        <v>0.32347819999999999</v>
      </c>
      <c r="F3857">
        <v>5.2701900000000003E-2</v>
      </c>
      <c r="G3857">
        <v>1.270548</v>
      </c>
      <c r="H3857">
        <v>0.3916886</v>
      </c>
      <c r="Q3857" s="10">
        <f t="shared" si="140"/>
        <v>6.3176410972970061E-3</v>
      </c>
      <c r="AI3857">
        <v>0.32147629999999999</v>
      </c>
      <c r="AJ3857">
        <f t="shared" si="139"/>
        <v>0.32147629999999999</v>
      </c>
      <c r="AO3857">
        <v>0.32147629999999999</v>
      </c>
      <c r="AR3857" s="8">
        <v>0</v>
      </c>
      <c r="AS3857">
        <v>1.2512639999999999</v>
      </c>
    </row>
    <row r="3858" spans="1:45" x14ac:dyDescent="0.25">
      <c r="A3858">
        <v>657</v>
      </c>
      <c r="B3858">
        <v>1998</v>
      </c>
      <c r="C3858" s="8">
        <v>0</v>
      </c>
      <c r="D3858">
        <v>0.34351520000000002</v>
      </c>
      <c r="E3858">
        <v>0.30337649999999999</v>
      </c>
      <c r="F3858">
        <v>1.1199600000000001E-2</v>
      </c>
      <c r="G3858">
        <v>0.66589039999999999</v>
      </c>
      <c r="H3858">
        <v>0.34663369999999999</v>
      </c>
      <c r="Q3858" s="10">
        <f t="shared" si="140"/>
        <v>2.2353381512952207E-2</v>
      </c>
      <c r="AI3858">
        <v>0.33756370000000002</v>
      </c>
      <c r="AJ3858">
        <f t="shared" si="139"/>
        <v>0.33756370000000002</v>
      </c>
      <c r="AO3858">
        <v>0.33756370000000002</v>
      </c>
      <c r="AR3858" s="8">
        <v>0</v>
      </c>
      <c r="AS3858">
        <v>1.3592169999999999</v>
      </c>
    </row>
    <row r="3859" spans="1:45" x14ac:dyDescent="0.25">
      <c r="A3859">
        <v>657</v>
      </c>
      <c r="B3859">
        <v>1999</v>
      </c>
      <c r="C3859" s="8">
        <v>0</v>
      </c>
      <c r="D3859">
        <v>0.32147629999999999</v>
      </c>
      <c r="E3859">
        <v>0.29815330000000001</v>
      </c>
      <c r="F3859">
        <v>3.3201000000000001E-2</v>
      </c>
      <c r="G3859">
        <v>0.9248577</v>
      </c>
      <c r="H3859">
        <v>0.37999230000000001</v>
      </c>
      <c r="Q3859" s="10">
        <f t="shared" si="140"/>
        <v>1.2771125543159048E-2</v>
      </c>
      <c r="AI3859">
        <v>0.37123810000000002</v>
      </c>
      <c r="AJ3859">
        <f t="shared" si="139"/>
        <v>0.37123810000000002</v>
      </c>
      <c r="AO3859">
        <v>0.37123810000000002</v>
      </c>
      <c r="AR3859" s="8">
        <v>0</v>
      </c>
      <c r="AS3859">
        <v>1.270548</v>
      </c>
    </row>
    <row r="3860" spans="1:45" x14ac:dyDescent="0.25">
      <c r="A3860">
        <v>657</v>
      </c>
      <c r="B3860">
        <v>2000</v>
      </c>
      <c r="C3860" s="8">
        <v>0</v>
      </c>
      <c r="D3860">
        <v>0.33756370000000002</v>
      </c>
      <c r="E3860">
        <v>0.36018230000000001</v>
      </c>
      <c r="F3860">
        <v>4.2756500000000003E-2</v>
      </c>
      <c r="G3860">
        <v>0.98400209999999999</v>
      </c>
      <c r="H3860">
        <v>0.3774419</v>
      </c>
      <c r="Q3860" s="10">
        <f t="shared" si="140"/>
        <v>9.9173002655551738E-3</v>
      </c>
      <c r="AI3860">
        <v>0.39577370000000001</v>
      </c>
      <c r="AJ3860">
        <f t="shared" si="139"/>
        <v>0.39577370000000001</v>
      </c>
      <c r="AO3860">
        <v>0.39577370000000001</v>
      </c>
      <c r="AR3860" s="8">
        <v>0</v>
      </c>
      <c r="AS3860">
        <v>0.66589039999999999</v>
      </c>
    </row>
    <row r="3861" spans="1:45" x14ac:dyDescent="0.25">
      <c r="A3861">
        <v>657</v>
      </c>
      <c r="B3861">
        <v>2001</v>
      </c>
      <c r="C3861" s="8">
        <v>0</v>
      </c>
      <c r="D3861">
        <v>0.37123810000000002</v>
      </c>
      <c r="E3861">
        <v>0.38891429999999999</v>
      </c>
      <c r="F3861">
        <v>3.6050800000000001E-2</v>
      </c>
      <c r="G3861">
        <v>1.112843</v>
      </c>
      <c r="H3861">
        <v>0.3837701</v>
      </c>
      <c r="Q3861" s="10">
        <f t="shared" si="140"/>
        <v>8.3336159743791667E-3</v>
      </c>
      <c r="AI3861">
        <v>0.42528519999999997</v>
      </c>
      <c r="AJ3861">
        <f t="shared" si="139"/>
        <v>0.42528519999999997</v>
      </c>
      <c r="AO3861">
        <v>0.42528519999999997</v>
      </c>
      <c r="AR3861" s="8">
        <v>0</v>
      </c>
      <c r="AS3861">
        <v>0.9248577</v>
      </c>
    </row>
    <row r="3862" spans="1:45" x14ac:dyDescent="0.25">
      <c r="A3862">
        <v>657</v>
      </c>
      <c r="B3862">
        <v>2002</v>
      </c>
      <c r="C3862" s="8">
        <v>0</v>
      </c>
      <c r="D3862">
        <v>0.39577370000000001</v>
      </c>
      <c r="E3862">
        <v>0.41370440000000003</v>
      </c>
      <c r="F3862">
        <v>4.1404400000000001E-2</v>
      </c>
      <c r="G3862">
        <v>1.6561650000000001</v>
      </c>
      <c r="H3862">
        <v>0.35131869999999998</v>
      </c>
      <c r="Q3862" s="10">
        <f t="shared" si="140"/>
        <v>3.2245356906814076E-3</v>
      </c>
      <c r="AI3862">
        <v>0.3705463</v>
      </c>
      <c r="AJ3862">
        <f t="shared" si="139"/>
        <v>0.3705463</v>
      </c>
      <c r="AO3862">
        <v>0.3705463</v>
      </c>
      <c r="AR3862" s="8">
        <v>0</v>
      </c>
      <c r="AS3862">
        <v>0.98400209999999999</v>
      </c>
    </row>
    <row r="3863" spans="1:45" x14ac:dyDescent="0.25">
      <c r="A3863">
        <v>657</v>
      </c>
      <c r="B3863">
        <v>2003</v>
      </c>
      <c r="C3863" s="8">
        <v>0</v>
      </c>
      <c r="D3863">
        <v>0.42528519999999997</v>
      </c>
      <c r="E3863">
        <v>0.46449600000000002</v>
      </c>
      <c r="F3863">
        <v>3.5409499999999997E-2</v>
      </c>
      <c r="G3863">
        <v>2.4972530000000002</v>
      </c>
      <c r="H3863">
        <v>0.36136849999999998</v>
      </c>
      <c r="Q3863" s="10">
        <f t="shared" si="140"/>
        <v>8.3977994005144112E-4</v>
      </c>
      <c r="AI3863">
        <v>0.15075740000000001</v>
      </c>
      <c r="AJ3863">
        <f t="shared" si="139"/>
        <v>0.15075740000000001</v>
      </c>
      <c r="AO3863">
        <v>0.15075740000000001</v>
      </c>
      <c r="AR3863" s="8">
        <v>0</v>
      </c>
      <c r="AS3863">
        <v>1.112843</v>
      </c>
    </row>
    <row r="3864" spans="1:45" x14ac:dyDescent="0.25">
      <c r="A3864">
        <v>657</v>
      </c>
      <c r="B3864">
        <v>2004</v>
      </c>
      <c r="C3864" s="8">
        <v>0</v>
      </c>
      <c r="D3864">
        <v>0.3705463</v>
      </c>
      <c r="E3864">
        <v>0.43004710000000002</v>
      </c>
      <c r="F3864">
        <v>3.8887600000000001E-2</v>
      </c>
      <c r="G3864">
        <v>2.9491499999999999</v>
      </c>
      <c r="H3864">
        <v>0.38343699999999997</v>
      </c>
      <c r="Q3864" s="10">
        <f t="shared" si="140"/>
        <v>4.1433957200961736E-4</v>
      </c>
      <c r="AI3864">
        <v>3.6292199999999997E-2</v>
      </c>
      <c r="AJ3864">
        <f t="shared" si="139"/>
        <v>3.6292199999999997E-2</v>
      </c>
      <c r="AO3864">
        <v>3.6292199999999997E-2</v>
      </c>
      <c r="AR3864" s="8">
        <v>0</v>
      </c>
      <c r="AS3864">
        <v>1.6561650000000001</v>
      </c>
    </row>
    <row r="3865" spans="1:45" x14ac:dyDescent="0.25">
      <c r="A3865">
        <v>658</v>
      </c>
      <c r="B3865">
        <v>1995</v>
      </c>
      <c r="C3865" s="8">
        <v>0</v>
      </c>
      <c r="D3865">
        <v>0.15075740000000001</v>
      </c>
      <c r="E3865">
        <v>4.0994599999999999E-2</v>
      </c>
      <c r="F3865">
        <v>6.3284800000000002E-2</v>
      </c>
      <c r="G3865">
        <v>1.0691269999999999</v>
      </c>
      <c r="H3865">
        <v>0.94862469999999999</v>
      </c>
      <c r="Q3865" s="10">
        <f t="shared" si="140"/>
        <v>1.5326881733126253E-2</v>
      </c>
      <c r="AI3865">
        <v>8.2682500000000006E-2</v>
      </c>
      <c r="AJ3865">
        <f t="shared" si="139"/>
        <v>8.2682500000000006E-2</v>
      </c>
      <c r="AO3865">
        <v>8.2682500000000006E-2</v>
      </c>
      <c r="AR3865" s="8">
        <v>0</v>
      </c>
      <c r="AS3865">
        <v>2.4972530000000002</v>
      </c>
    </row>
    <row r="3866" spans="1:45" x14ac:dyDescent="0.25">
      <c r="A3866">
        <v>658</v>
      </c>
      <c r="B3866">
        <v>1996</v>
      </c>
      <c r="C3866" s="8">
        <v>0</v>
      </c>
      <c r="D3866">
        <v>3.6292199999999997E-2</v>
      </c>
      <c r="E3866">
        <v>5.3259000000000001E-2</v>
      </c>
      <c r="F3866">
        <v>5.7877100000000001E-2</v>
      </c>
      <c r="G3866">
        <v>1.4257120000000001</v>
      </c>
      <c r="H3866">
        <v>0.81404810000000005</v>
      </c>
      <c r="Q3866" s="10">
        <f t="shared" si="140"/>
        <v>7.8733818952411334E-3</v>
      </c>
      <c r="AI3866">
        <v>5.2423499999999998E-2</v>
      </c>
      <c r="AJ3866">
        <f t="shared" si="139"/>
        <v>5.2423499999999998E-2</v>
      </c>
      <c r="AO3866">
        <v>5.2423499999999998E-2</v>
      </c>
      <c r="AR3866" s="8">
        <v>0</v>
      </c>
      <c r="AS3866">
        <v>2.9491499999999999</v>
      </c>
    </row>
    <row r="3867" spans="1:45" x14ac:dyDescent="0.25">
      <c r="A3867">
        <v>658</v>
      </c>
      <c r="B3867">
        <v>1997</v>
      </c>
      <c r="C3867" s="8">
        <v>0</v>
      </c>
      <c r="D3867">
        <v>8.2682500000000006E-2</v>
      </c>
      <c r="E3867">
        <v>7.4876600000000001E-2</v>
      </c>
      <c r="F3867">
        <v>6.5093799999999993E-2</v>
      </c>
      <c r="G3867">
        <v>1.508067</v>
      </c>
      <c r="H3867">
        <v>0.68533160000000004</v>
      </c>
      <c r="Q3867" s="10">
        <f t="shared" si="140"/>
        <v>5.9564451623634468E-3</v>
      </c>
      <c r="AI3867">
        <v>4.39067E-2</v>
      </c>
      <c r="AJ3867">
        <f t="shared" si="139"/>
        <v>4.39067E-2</v>
      </c>
      <c r="AO3867">
        <v>4.39067E-2</v>
      </c>
      <c r="AR3867" s="8">
        <v>0</v>
      </c>
      <c r="AS3867">
        <v>1.0691269999999999</v>
      </c>
    </row>
    <row r="3868" spans="1:45" x14ac:dyDescent="0.25">
      <c r="A3868">
        <v>658</v>
      </c>
      <c r="B3868">
        <v>1998</v>
      </c>
      <c r="C3868" s="8">
        <v>0</v>
      </c>
      <c r="D3868">
        <v>5.2423499999999998E-2</v>
      </c>
      <c r="E3868">
        <v>9.7991200000000001E-2</v>
      </c>
      <c r="F3868">
        <v>4.5409699999999997E-2</v>
      </c>
      <c r="G3868">
        <v>1.025887</v>
      </c>
      <c r="H3868">
        <v>0.52885579999999999</v>
      </c>
      <c r="Q3868" s="10">
        <f t="shared" si="140"/>
        <v>1.2937884436484524E-2</v>
      </c>
      <c r="AI3868">
        <v>4.0164199999999997E-2</v>
      </c>
      <c r="AJ3868">
        <f t="shared" si="139"/>
        <v>4.0164199999999997E-2</v>
      </c>
      <c r="AO3868">
        <v>4.0164199999999997E-2</v>
      </c>
      <c r="AR3868" s="8">
        <v>0</v>
      </c>
      <c r="AS3868">
        <v>1.4257120000000001</v>
      </c>
    </row>
    <row r="3869" spans="1:45" x14ac:dyDescent="0.25">
      <c r="A3869">
        <v>658</v>
      </c>
      <c r="B3869">
        <v>1999</v>
      </c>
      <c r="C3869" s="8">
        <v>0</v>
      </c>
      <c r="D3869">
        <v>4.39067E-2</v>
      </c>
      <c r="E3869">
        <v>0.15905540000000001</v>
      </c>
      <c r="F3869">
        <v>5.5765099999999998E-2</v>
      </c>
      <c r="G3869">
        <v>1.0371809999999999</v>
      </c>
      <c r="H3869">
        <v>0.70338699999999998</v>
      </c>
      <c r="Q3869" s="10">
        <f t="shared" si="140"/>
        <v>1.1896279002870651E-2</v>
      </c>
      <c r="AI3869">
        <v>0.49663220000000002</v>
      </c>
      <c r="AJ3869">
        <f t="shared" si="139"/>
        <v>0.49663220000000002</v>
      </c>
      <c r="AO3869">
        <v>0.49663220000000002</v>
      </c>
      <c r="AR3869" s="8">
        <v>0</v>
      </c>
      <c r="AS3869">
        <v>1.508067</v>
      </c>
    </row>
    <row r="3870" spans="1:45" x14ac:dyDescent="0.25">
      <c r="A3870">
        <v>658</v>
      </c>
      <c r="B3870">
        <v>2000</v>
      </c>
      <c r="C3870" s="8">
        <v>0</v>
      </c>
      <c r="D3870">
        <v>4.0164199999999997E-2</v>
      </c>
      <c r="E3870">
        <v>0.16718189999999999</v>
      </c>
      <c r="F3870">
        <v>8.0224100000000007E-2</v>
      </c>
      <c r="G3870">
        <v>0.80854300000000001</v>
      </c>
      <c r="H3870">
        <v>0.85887650000000004</v>
      </c>
      <c r="Q3870" s="10">
        <f t="shared" si="140"/>
        <v>1.5249197903054337E-2</v>
      </c>
      <c r="AI3870">
        <v>0.33053199999999999</v>
      </c>
      <c r="AJ3870">
        <f t="shared" si="139"/>
        <v>0.33053199999999999</v>
      </c>
      <c r="AO3870">
        <v>0.33053199999999999</v>
      </c>
      <c r="AR3870" s="8">
        <v>0</v>
      </c>
      <c r="AS3870">
        <v>1.025887</v>
      </c>
    </row>
    <row r="3871" spans="1:45" x14ac:dyDescent="0.25">
      <c r="A3871">
        <v>659</v>
      </c>
      <c r="B3871">
        <v>1995</v>
      </c>
      <c r="C3871" s="8">
        <v>0</v>
      </c>
      <c r="D3871">
        <v>0.49663220000000002</v>
      </c>
      <c r="E3871">
        <v>-5.46122E-2</v>
      </c>
      <c r="F3871">
        <v>4.0950800000000002E-2</v>
      </c>
      <c r="G3871">
        <v>0.1263782</v>
      </c>
      <c r="H3871">
        <v>0.2478563</v>
      </c>
      <c r="Q3871" s="10">
        <f t="shared" si="140"/>
        <v>6.7005198151547554E-2</v>
      </c>
      <c r="AI3871">
        <v>7.3360300000000003E-2</v>
      </c>
      <c r="AJ3871">
        <f t="shared" si="139"/>
        <v>7.3360300000000003E-2</v>
      </c>
      <c r="AO3871">
        <v>7.3360300000000003E-2</v>
      </c>
      <c r="AR3871" s="8">
        <v>0</v>
      </c>
      <c r="AS3871">
        <v>1.0371809999999999</v>
      </c>
    </row>
    <row r="3872" spans="1:45" x14ac:dyDescent="0.25">
      <c r="A3872">
        <v>659</v>
      </c>
      <c r="B3872">
        <v>1996</v>
      </c>
      <c r="C3872" s="8">
        <v>0</v>
      </c>
      <c r="D3872">
        <v>0.33053199999999999</v>
      </c>
      <c r="E3872">
        <v>-0.63661259999999997</v>
      </c>
      <c r="F3872">
        <v>-7.1128800000000006E-2</v>
      </c>
      <c r="G3872">
        <v>9.6516599999999994E-2</v>
      </c>
      <c r="H3872">
        <v>0.25634669999999998</v>
      </c>
      <c r="Q3872" s="10">
        <f t="shared" si="140"/>
        <v>0.28764702193637465</v>
      </c>
      <c r="AI3872">
        <v>0.1138454</v>
      </c>
      <c r="AJ3872">
        <f t="shared" si="139"/>
        <v>0.1138454</v>
      </c>
      <c r="AO3872">
        <v>0.1138454</v>
      </c>
      <c r="AR3872" s="8">
        <v>0</v>
      </c>
      <c r="AS3872">
        <v>0.80854300000000001</v>
      </c>
    </row>
    <row r="3873" spans="1:45" x14ac:dyDescent="0.25">
      <c r="A3873">
        <v>660</v>
      </c>
      <c r="B3873">
        <v>1995</v>
      </c>
      <c r="C3873" s="8">
        <v>0</v>
      </c>
      <c r="D3873">
        <v>7.3360300000000003E-2</v>
      </c>
      <c r="E3873">
        <v>0.57290059999999998</v>
      </c>
      <c r="F3873">
        <v>0.1196808</v>
      </c>
      <c r="G3873">
        <v>1.845796</v>
      </c>
      <c r="H3873">
        <v>0.7106249</v>
      </c>
      <c r="Q3873" s="10">
        <f t="shared" si="140"/>
        <v>1.1075682281808566E-3</v>
      </c>
      <c r="AI3873">
        <v>9.61037E-2</v>
      </c>
      <c r="AJ3873">
        <f t="shared" si="139"/>
        <v>9.61037E-2</v>
      </c>
      <c r="AO3873">
        <v>9.61037E-2</v>
      </c>
      <c r="AR3873" s="8">
        <v>0</v>
      </c>
      <c r="AS3873">
        <v>0.1263782</v>
      </c>
    </row>
    <row r="3874" spans="1:45" x14ac:dyDescent="0.25">
      <c r="A3874">
        <v>660</v>
      </c>
      <c r="B3874">
        <v>1996</v>
      </c>
      <c r="C3874" s="8">
        <v>0</v>
      </c>
      <c r="D3874">
        <v>0.1138454</v>
      </c>
      <c r="E3874">
        <v>0.54409090000000004</v>
      </c>
      <c r="F3874">
        <v>0.11838220000000001</v>
      </c>
      <c r="G3874">
        <v>1.9051629999999999</v>
      </c>
      <c r="H3874">
        <v>0.6093674</v>
      </c>
      <c r="Q3874" s="10">
        <f t="shared" si="140"/>
        <v>1.0140542670009612E-3</v>
      </c>
      <c r="AI3874">
        <v>3.9014199999999999E-2</v>
      </c>
      <c r="AJ3874">
        <f t="shared" si="139"/>
        <v>3.9014199999999999E-2</v>
      </c>
      <c r="AO3874">
        <v>3.9014199999999999E-2</v>
      </c>
      <c r="AR3874" s="8">
        <v>0</v>
      </c>
      <c r="AS3874">
        <v>9.6516599999999994E-2</v>
      </c>
    </row>
    <row r="3875" spans="1:45" x14ac:dyDescent="0.25">
      <c r="A3875">
        <v>660</v>
      </c>
      <c r="B3875">
        <v>1997</v>
      </c>
      <c r="C3875" s="8">
        <v>0</v>
      </c>
      <c r="D3875">
        <v>9.61037E-2</v>
      </c>
      <c r="E3875">
        <v>0.58391360000000003</v>
      </c>
      <c r="F3875">
        <v>9.3679100000000001E-2</v>
      </c>
      <c r="G3875">
        <v>2.1636410000000001</v>
      </c>
      <c r="H3875">
        <v>0.65809720000000005</v>
      </c>
      <c r="Q3875" s="10">
        <f t="shared" si="140"/>
        <v>7.9042583985284502E-4</v>
      </c>
      <c r="AI3875">
        <v>4.4594300000000003E-2</v>
      </c>
      <c r="AJ3875">
        <f t="shared" si="139"/>
        <v>4.4594300000000003E-2</v>
      </c>
      <c r="AO3875">
        <v>4.4594300000000003E-2</v>
      </c>
      <c r="AR3875" s="8">
        <v>0</v>
      </c>
      <c r="AS3875">
        <v>1.845796</v>
      </c>
    </row>
    <row r="3876" spans="1:45" x14ac:dyDescent="0.25">
      <c r="A3876">
        <v>660</v>
      </c>
      <c r="B3876">
        <v>1998</v>
      </c>
      <c r="C3876" s="8">
        <v>0</v>
      </c>
      <c r="D3876">
        <v>3.9014199999999999E-2</v>
      </c>
      <c r="E3876">
        <v>0.57786079999999995</v>
      </c>
      <c r="F3876">
        <v>9.9363999999999994E-2</v>
      </c>
      <c r="G3876">
        <v>0.91641300000000003</v>
      </c>
      <c r="H3876">
        <v>0.66336479999999998</v>
      </c>
      <c r="Q3876" s="10">
        <f t="shared" si="140"/>
        <v>5.4231597715508235E-3</v>
      </c>
      <c r="AI3876">
        <v>9.1989100000000004E-2</v>
      </c>
      <c r="AJ3876">
        <f t="shared" si="139"/>
        <v>9.1989100000000004E-2</v>
      </c>
      <c r="AO3876">
        <v>9.1989100000000004E-2</v>
      </c>
      <c r="AR3876" s="8">
        <v>0</v>
      </c>
      <c r="AS3876">
        <v>1.9051629999999999</v>
      </c>
    </row>
    <row r="3877" spans="1:45" x14ac:dyDescent="0.25">
      <c r="A3877">
        <v>660</v>
      </c>
      <c r="B3877">
        <v>1999</v>
      </c>
      <c r="C3877" s="8">
        <v>0</v>
      </c>
      <c r="D3877">
        <v>4.4594300000000003E-2</v>
      </c>
      <c r="E3877">
        <v>0.57112909999999995</v>
      </c>
      <c r="F3877">
        <v>9.5399200000000003E-2</v>
      </c>
      <c r="G3877">
        <v>0.56237320000000002</v>
      </c>
      <c r="H3877">
        <v>0.62886140000000001</v>
      </c>
      <c r="Q3877" s="10">
        <f t="shared" si="140"/>
        <v>9.7083768108669737E-3</v>
      </c>
      <c r="AI3877">
        <v>9.7299399999999994E-2</v>
      </c>
      <c r="AJ3877">
        <f t="shared" si="139"/>
        <v>9.7299399999999994E-2</v>
      </c>
      <c r="AO3877">
        <v>9.7299399999999994E-2</v>
      </c>
      <c r="AR3877" s="8">
        <v>0</v>
      </c>
      <c r="AS3877">
        <v>2.1636410000000001</v>
      </c>
    </row>
    <row r="3878" spans="1:45" x14ac:dyDescent="0.25">
      <c r="A3878">
        <v>660</v>
      </c>
      <c r="B3878">
        <v>2000</v>
      </c>
      <c r="C3878" s="8">
        <v>0</v>
      </c>
      <c r="D3878">
        <v>9.1989100000000004E-2</v>
      </c>
      <c r="E3878">
        <v>0.64267949999999996</v>
      </c>
      <c r="F3878">
        <v>8.7404999999999997E-2</v>
      </c>
      <c r="G3878">
        <v>1.1769259999999999</v>
      </c>
      <c r="H3878">
        <v>0.61461160000000004</v>
      </c>
      <c r="Q3878" s="10">
        <f t="shared" si="140"/>
        <v>3.5628027158233844E-3</v>
      </c>
      <c r="AI3878">
        <v>0.1448701</v>
      </c>
      <c r="AJ3878">
        <f t="shared" si="139"/>
        <v>0.1448701</v>
      </c>
      <c r="AO3878">
        <v>0.1448701</v>
      </c>
      <c r="AR3878" s="8">
        <v>0</v>
      </c>
      <c r="AS3878">
        <v>0.91641300000000003</v>
      </c>
    </row>
    <row r="3879" spans="1:45" x14ac:dyDescent="0.25">
      <c r="A3879">
        <v>660</v>
      </c>
      <c r="B3879">
        <v>2001</v>
      </c>
      <c r="C3879" s="8">
        <v>0</v>
      </c>
      <c r="D3879">
        <v>9.7299399999999994E-2</v>
      </c>
      <c r="E3879">
        <v>0.6390884</v>
      </c>
      <c r="F3879">
        <v>9.1645799999999999E-2</v>
      </c>
      <c r="G3879">
        <v>0.85557499999999997</v>
      </c>
      <c r="H3879">
        <v>0.62091909999999995</v>
      </c>
      <c r="Q3879" s="10">
        <f t="shared" si="140"/>
        <v>5.7997320843143517E-3</v>
      </c>
      <c r="AI3879">
        <v>0.22080060000000001</v>
      </c>
      <c r="AJ3879">
        <f t="shared" si="139"/>
        <v>0.22080060000000001</v>
      </c>
      <c r="AO3879">
        <v>0.22080060000000001</v>
      </c>
      <c r="AR3879" s="8">
        <v>0</v>
      </c>
      <c r="AS3879">
        <v>0.56237320000000002</v>
      </c>
    </row>
    <row r="3880" spans="1:45" x14ac:dyDescent="0.25">
      <c r="A3880">
        <v>660</v>
      </c>
      <c r="B3880">
        <v>2002</v>
      </c>
      <c r="C3880" s="8">
        <v>0</v>
      </c>
      <c r="D3880">
        <v>0.1448701</v>
      </c>
      <c r="E3880">
        <v>0.57807330000000001</v>
      </c>
      <c r="F3880">
        <v>8.2820900000000003E-2</v>
      </c>
      <c r="G3880">
        <v>0.4000128</v>
      </c>
      <c r="H3880">
        <v>0.54586869999999998</v>
      </c>
      <c r="Q3880" s="10">
        <f t="shared" si="140"/>
        <v>1.3577981326326967E-2</v>
      </c>
      <c r="AI3880">
        <v>0.20395189999999999</v>
      </c>
      <c r="AJ3880">
        <f t="shared" si="139"/>
        <v>0.20395189999999999</v>
      </c>
      <c r="AO3880">
        <v>0.20395189999999999</v>
      </c>
      <c r="AR3880" s="8">
        <v>0</v>
      </c>
      <c r="AS3880">
        <v>1.1769259999999999</v>
      </c>
    </row>
    <row r="3881" spans="1:45" x14ac:dyDescent="0.25">
      <c r="A3881">
        <v>660</v>
      </c>
      <c r="B3881">
        <v>2003</v>
      </c>
      <c r="C3881" s="8">
        <v>0</v>
      </c>
      <c r="D3881">
        <v>0.22080060000000001</v>
      </c>
      <c r="E3881">
        <v>0.58589999999999998</v>
      </c>
      <c r="F3881">
        <v>6.0719299999999997E-2</v>
      </c>
      <c r="G3881">
        <v>0.5343059</v>
      </c>
      <c r="H3881">
        <v>0.52325429999999995</v>
      </c>
      <c r="Q3881" s="10">
        <f t="shared" si="140"/>
        <v>1.3167077627188876E-2</v>
      </c>
      <c r="AI3881">
        <v>0.30033480000000001</v>
      </c>
      <c r="AJ3881">
        <f t="shared" si="139"/>
        <v>0.30033480000000001</v>
      </c>
      <c r="AO3881">
        <v>0.30033480000000001</v>
      </c>
      <c r="AR3881" s="8">
        <v>0</v>
      </c>
      <c r="AS3881">
        <v>0.85557499999999997</v>
      </c>
    </row>
    <row r="3882" spans="1:45" x14ac:dyDescent="0.25">
      <c r="A3882">
        <v>660</v>
      </c>
      <c r="B3882">
        <v>2004</v>
      </c>
      <c r="C3882" s="8">
        <v>0</v>
      </c>
      <c r="D3882">
        <v>0.20395189999999999</v>
      </c>
      <c r="E3882">
        <v>0.5950685</v>
      </c>
      <c r="F3882">
        <v>6.4264799999999997E-2</v>
      </c>
      <c r="G3882">
        <v>0.87303220000000004</v>
      </c>
      <c r="H3882">
        <v>0.51327679999999998</v>
      </c>
      <c r="Q3882" s="10">
        <f t="shared" si="140"/>
        <v>7.3081470127691825E-3</v>
      </c>
      <c r="AI3882">
        <v>0.21082400000000001</v>
      </c>
      <c r="AJ3882">
        <f t="shared" si="139"/>
        <v>0.21082400000000001</v>
      </c>
      <c r="AO3882">
        <v>0.21082400000000001</v>
      </c>
      <c r="AR3882" s="8">
        <v>0</v>
      </c>
      <c r="AS3882">
        <v>0.4000128</v>
      </c>
    </row>
    <row r="3883" spans="1:45" x14ac:dyDescent="0.25">
      <c r="A3883">
        <v>661</v>
      </c>
      <c r="B3883">
        <v>1995</v>
      </c>
      <c r="C3883" s="8">
        <v>0</v>
      </c>
      <c r="D3883">
        <v>0.30033480000000001</v>
      </c>
      <c r="E3883">
        <v>0.1629697</v>
      </c>
      <c r="F3883">
        <v>8.1096000000000001E-2</v>
      </c>
      <c r="G3883">
        <v>0.65075810000000001</v>
      </c>
      <c r="H3883">
        <v>0.51878939999999996</v>
      </c>
      <c r="Q3883" s="10">
        <f t="shared" si="140"/>
        <v>1.7632663646270901E-2</v>
      </c>
      <c r="AI3883">
        <v>0.2712502</v>
      </c>
      <c r="AJ3883">
        <f t="shared" si="139"/>
        <v>0.2712502</v>
      </c>
      <c r="AO3883">
        <v>0.2712502</v>
      </c>
      <c r="AR3883" s="8">
        <v>0</v>
      </c>
      <c r="AS3883">
        <v>0.5343059</v>
      </c>
    </row>
    <row r="3884" spans="1:45" x14ac:dyDescent="0.25">
      <c r="A3884">
        <v>661</v>
      </c>
      <c r="B3884">
        <v>1996</v>
      </c>
      <c r="C3884" s="8">
        <v>0</v>
      </c>
      <c r="D3884">
        <v>0.21082400000000001</v>
      </c>
      <c r="E3884">
        <v>0.1723518</v>
      </c>
      <c r="F3884">
        <v>5.3144299999999998E-2</v>
      </c>
      <c r="G3884">
        <v>1.0372729999999999</v>
      </c>
      <c r="H3884">
        <v>0.47592960000000001</v>
      </c>
      <c r="Q3884" s="10">
        <f t="shared" si="140"/>
        <v>1.1097581536217207E-2</v>
      </c>
      <c r="AI3884">
        <v>1.9329E-3</v>
      </c>
      <c r="AJ3884">
        <f t="shared" si="139"/>
        <v>1.9329E-3</v>
      </c>
      <c r="AO3884">
        <v>1.9329E-3</v>
      </c>
      <c r="AR3884" s="8">
        <v>0</v>
      </c>
      <c r="AS3884">
        <v>0.87303220000000004</v>
      </c>
    </row>
    <row r="3885" spans="1:45" x14ac:dyDescent="0.25">
      <c r="A3885">
        <v>661</v>
      </c>
      <c r="B3885">
        <v>1997</v>
      </c>
      <c r="C3885" s="8">
        <v>0</v>
      </c>
      <c r="D3885">
        <v>0.2712502</v>
      </c>
      <c r="E3885">
        <v>0.21163499999999999</v>
      </c>
      <c r="F3885">
        <v>6.4347699999999994E-2</v>
      </c>
      <c r="G3885">
        <v>1.7109859999999999</v>
      </c>
      <c r="H3885">
        <v>0.50173699999999999</v>
      </c>
      <c r="Q3885" s="10">
        <f t="shared" si="140"/>
        <v>3.4387752722926791E-3</v>
      </c>
      <c r="AI3885">
        <v>-1.1590000000000001E-3</v>
      </c>
      <c r="AJ3885">
        <f t="shared" si="139"/>
        <v>-1.1590000000000001E-3</v>
      </c>
      <c r="AO3885">
        <v>-1.1590000000000001E-3</v>
      </c>
      <c r="AR3885" s="8">
        <v>0</v>
      </c>
      <c r="AS3885">
        <v>0.65075810000000001</v>
      </c>
    </row>
    <row r="3886" spans="1:45" x14ac:dyDescent="0.25">
      <c r="A3886">
        <v>662</v>
      </c>
      <c r="B3886">
        <v>1995</v>
      </c>
      <c r="C3886" s="8">
        <v>1</v>
      </c>
      <c r="D3886">
        <v>1.9329E-3</v>
      </c>
      <c r="E3886">
        <v>1.2974599999999999E-2</v>
      </c>
      <c r="F3886">
        <v>2.6978100000000001E-2</v>
      </c>
      <c r="G3886">
        <v>0.19003719999999999</v>
      </c>
      <c r="H3886">
        <v>0.31408019999999998</v>
      </c>
      <c r="Q3886" s="10">
        <f t="shared" si="140"/>
        <v>5.2873002372892282E-2</v>
      </c>
      <c r="AI3886">
        <v>1.0987E-3</v>
      </c>
      <c r="AJ3886">
        <f t="shared" si="139"/>
        <v>1.0987E-3</v>
      </c>
      <c r="AO3886">
        <v>1.0987E-3</v>
      </c>
      <c r="AR3886" s="8">
        <v>0</v>
      </c>
      <c r="AS3886">
        <v>1.0372729999999999</v>
      </c>
    </row>
    <row r="3887" spans="1:45" x14ac:dyDescent="0.25">
      <c r="A3887">
        <v>663</v>
      </c>
      <c r="B3887">
        <v>1995</v>
      </c>
      <c r="C3887" s="8">
        <v>0</v>
      </c>
      <c r="D3887">
        <v>-1.1590000000000001E-3</v>
      </c>
      <c r="E3887">
        <v>0.15213699999999999</v>
      </c>
      <c r="F3887">
        <v>3.6579199999999999E-2</v>
      </c>
      <c r="G3887">
        <v>0.57695669999999999</v>
      </c>
      <c r="H3887">
        <v>0.18781880000000001</v>
      </c>
      <c r="Q3887" s="10">
        <f t="shared" si="140"/>
        <v>2.0617019109284658E-2</v>
      </c>
      <c r="AI3887">
        <v>-1.5108399999999999E-2</v>
      </c>
      <c r="AJ3887">
        <f t="shared" si="139"/>
        <v>-1.5108399999999999E-2</v>
      </c>
      <c r="AO3887">
        <v>-1.5108399999999999E-2</v>
      </c>
      <c r="AR3887" s="8">
        <v>0</v>
      </c>
      <c r="AS3887">
        <v>1.7109859999999999</v>
      </c>
    </row>
    <row r="3888" spans="1:45" x14ac:dyDescent="0.25">
      <c r="A3888">
        <v>663</v>
      </c>
      <c r="B3888">
        <v>1996</v>
      </c>
      <c r="C3888" s="8">
        <v>0</v>
      </c>
      <c r="D3888">
        <v>1.0987E-3</v>
      </c>
      <c r="E3888">
        <v>0.14224249999999999</v>
      </c>
      <c r="F3888">
        <v>4.5139899999999997E-2</v>
      </c>
      <c r="G3888">
        <v>0.63401770000000002</v>
      </c>
      <c r="H3888">
        <v>0.28133249999999999</v>
      </c>
      <c r="Q3888" s="10">
        <f t="shared" si="140"/>
        <v>1.8947746481076198E-2</v>
      </c>
      <c r="AI3888">
        <v>6.0762000000000004E-3</v>
      </c>
      <c r="AJ3888">
        <f t="shared" si="139"/>
        <v>6.0762000000000004E-3</v>
      </c>
      <c r="AO3888">
        <v>6.0762000000000004E-3</v>
      </c>
      <c r="AR3888" s="8">
        <v>1</v>
      </c>
      <c r="AS3888">
        <v>0.19003719999999999</v>
      </c>
    </row>
    <row r="3889" spans="1:45" x14ac:dyDescent="0.25">
      <c r="A3889">
        <v>663</v>
      </c>
      <c r="B3889">
        <v>1997</v>
      </c>
      <c r="C3889" s="8">
        <v>0</v>
      </c>
      <c r="D3889">
        <v>-1.5108399999999999E-2</v>
      </c>
      <c r="E3889">
        <v>0.13553509999999999</v>
      </c>
      <c r="F3889">
        <v>5.6465599999999998E-2</v>
      </c>
      <c r="G3889">
        <v>0.72408039999999996</v>
      </c>
      <c r="H3889">
        <v>0.35372189999999998</v>
      </c>
      <c r="Q3889" s="10">
        <f t="shared" si="140"/>
        <v>1.5779143578089887E-2</v>
      </c>
      <c r="AI3889">
        <v>1.9911999999999998E-3</v>
      </c>
      <c r="AJ3889">
        <f t="shared" si="139"/>
        <v>1.9911999999999998E-3</v>
      </c>
      <c r="AO3889">
        <v>1.9911999999999998E-3</v>
      </c>
      <c r="AR3889" s="8">
        <v>0</v>
      </c>
      <c r="AS3889">
        <v>0.57695669999999999</v>
      </c>
    </row>
    <row r="3890" spans="1:45" x14ac:dyDescent="0.25">
      <c r="A3890">
        <v>663</v>
      </c>
      <c r="B3890">
        <v>1998</v>
      </c>
      <c r="C3890" s="8">
        <v>0</v>
      </c>
      <c r="D3890">
        <v>6.0762000000000004E-3</v>
      </c>
      <c r="E3890">
        <v>6.3076699999999999E-2</v>
      </c>
      <c r="F3890">
        <v>4.1519E-2</v>
      </c>
      <c r="G3890">
        <v>0.60424239999999996</v>
      </c>
      <c r="H3890">
        <v>0.15934190000000001</v>
      </c>
      <c r="Q3890" s="10">
        <f t="shared" si="140"/>
        <v>2.1270046891241279E-2</v>
      </c>
      <c r="AI3890">
        <v>-3.8306999999999998E-3</v>
      </c>
      <c r="AJ3890">
        <f t="shared" si="139"/>
        <v>-3.8306999999999998E-3</v>
      </c>
      <c r="AO3890">
        <v>-3.8306999999999998E-3</v>
      </c>
      <c r="AR3890" s="8">
        <v>0</v>
      </c>
      <c r="AS3890">
        <v>0.63401770000000002</v>
      </c>
    </row>
    <row r="3891" spans="1:45" x14ac:dyDescent="0.25">
      <c r="A3891">
        <v>663</v>
      </c>
      <c r="B3891">
        <v>1999</v>
      </c>
      <c r="C3891" s="8">
        <v>0</v>
      </c>
      <c r="D3891">
        <v>1.9911999999999998E-3</v>
      </c>
      <c r="E3891">
        <v>3.8006499999999999E-2</v>
      </c>
      <c r="F3891">
        <v>4.3255799999999997E-2</v>
      </c>
      <c r="G3891">
        <v>0.34682489999999999</v>
      </c>
      <c r="H3891">
        <v>0.16381090000000001</v>
      </c>
      <c r="Q3891" s="10">
        <f t="shared" si="140"/>
        <v>3.2448942576618824E-2</v>
      </c>
      <c r="AI3891">
        <v>-1.79589E-2</v>
      </c>
      <c r="AJ3891">
        <f t="shared" si="139"/>
        <v>-1.79589E-2</v>
      </c>
      <c r="AO3891">
        <v>-1.79589E-2</v>
      </c>
      <c r="AR3891" s="8">
        <v>0</v>
      </c>
      <c r="AS3891">
        <v>0.72408039999999996</v>
      </c>
    </row>
    <row r="3892" spans="1:45" x14ac:dyDescent="0.25">
      <c r="A3892">
        <v>663</v>
      </c>
      <c r="B3892">
        <v>2000</v>
      </c>
      <c r="C3892" s="8">
        <v>0</v>
      </c>
      <c r="D3892">
        <v>-3.8306999999999998E-3</v>
      </c>
      <c r="E3892">
        <v>4.5005299999999998E-2</v>
      </c>
      <c r="F3892">
        <v>5.9922499999999997E-2</v>
      </c>
      <c r="G3892">
        <v>0.455982</v>
      </c>
      <c r="H3892">
        <v>7.9822199999999996E-2</v>
      </c>
      <c r="Q3892" s="10">
        <f t="shared" si="140"/>
        <v>2.2598612613129548E-2</v>
      </c>
      <c r="AI3892">
        <v>-1.8987899999999999E-2</v>
      </c>
      <c r="AJ3892">
        <f t="shared" si="139"/>
        <v>-1.8987899999999999E-2</v>
      </c>
      <c r="AO3892">
        <v>-1.8987899999999999E-2</v>
      </c>
      <c r="AR3892" s="8">
        <v>0</v>
      </c>
      <c r="AS3892">
        <v>0.60424239999999996</v>
      </c>
    </row>
    <row r="3893" spans="1:45" x14ac:dyDescent="0.25">
      <c r="A3893">
        <v>663</v>
      </c>
      <c r="B3893">
        <v>2001</v>
      </c>
      <c r="C3893" s="8">
        <v>0</v>
      </c>
      <c r="D3893">
        <v>-1.79589E-2</v>
      </c>
      <c r="E3893">
        <v>5.1655800000000002E-2</v>
      </c>
      <c r="F3893">
        <v>6.8220600000000006E-2</v>
      </c>
      <c r="G3893">
        <v>0.73878010000000005</v>
      </c>
      <c r="H3893">
        <v>8.6204199999999995E-2</v>
      </c>
      <c r="Q3893" s="10">
        <f t="shared" si="140"/>
        <v>1.3444879812025334E-2</v>
      </c>
      <c r="AI3893">
        <v>-2.12001E-2</v>
      </c>
      <c r="AJ3893">
        <f t="shared" si="139"/>
        <v>-2.12001E-2</v>
      </c>
      <c r="AO3893">
        <v>-2.12001E-2</v>
      </c>
      <c r="AR3893" s="8">
        <v>0</v>
      </c>
      <c r="AS3893">
        <v>0.34682489999999999</v>
      </c>
    </row>
    <row r="3894" spans="1:45" x14ac:dyDescent="0.25">
      <c r="A3894">
        <v>663</v>
      </c>
      <c r="B3894">
        <v>2002</v>
      </c>
      <c r="C3894" s="8">
        <v>0</v>
      </c>
      <c r="D3894">
        <v>-1.8987899999999999E-2</v>
      </c>
      <c r="E3894">
        <v>7.7060299999999998E-2</v>
      </c>
      <c r="F3894">
        <v>6.5902199999999994E-2</v>
      </c>
      <c r="G3894">
        <v>0.85475900000000005</v>
      </c>
      <c r="H3894">
        <v>9.9262799999999998E-2</v>
      </c>
      <c r="Q3894" s="10">
        <f t="shared" si="140"/>
        <v>1.1083290192630699E-2</v>
      </c>
      <c r="AI3894">
        <v>-3.0038200000000001E-2</v>
      </c>
      <c r="AJ3894">
        <f t="shared" si="139"/>
        <v>-3.0038200000000001E-2</v>
      </c>
      <c r="AO3894">
        <v>-3.0038200000000001E-2</v>
      </c>
      <c r="AR3894" s="8">
        <v>0</v>
      </c>
      <c r="AS3894">
        <v>0.455982</v>
      </c>
    </row>
    <row r="3895" spans="1:45" x14ac:dyDescent="0.25">
      <c r="A3895">
        <v>663</v>
      </c>
      <c r="B3895">
        <v>2003</v>
      </c>
      <c r="C3895" s="8">
        <v>0</v>
      </c>
      <c r="D3895">
        <v>-2.12001E-2</v>
      </c>
      <c r="E3895">
        <v>8.9116399999999998E-2</v>
      </c>
      <c r="F3895">
        <v>6.6211199999999998E-2</v>
      </c>
      <c r="G3895">
        <v>1.0373190000000001</v>
      </c>
      <c r="H3895">
        <v>0.109086</v>
      </c>
      <c r="Q3895" s="10">
        <f t="shared" si="140"/>
        <v>8.1874738738056119E-3</v>
      </c>
      <c r="AI3895">
        <v>0.31875369999999997</v>
      </c>
      <c r="AJ3895">
        <f t="shared" si="139"/>
        <v>0.31875369999999997</v>
      </c>
      <c r="AO3895">
        <v>0.31875369999999997</v>
      </c>
      <c r="AR3895" s="8">
        <v>0</v>
      </c>
      <c r="AS3895">
        <v>0.73878010000000005</v>
      </c>
    </row>
    <row r="3896" spans="1:45" x14ac:dyDescent="0.25">
      <c r="A3896">
        <v>663</v>
      </c>
      <c r="B3896">
        <v>2004</v>
      </c>
      <c r="C3896" s="8">
        <v>0</v>
      </c>
      <c r="D3896">
        <v>-3.0038200000000001E-2</v>
      </c>
      <c r="E3896">
        <v>9.4251399999999999E-2</v>
      </c>
      <c r="F3896">
        <v>5.4623699999999997E-2</v>
      </c>
      <c r="G3896">
        <v>1.029606</v>
      </c>
      <c r="H3896">
        <v>0.1030083</v>
      </c>
      <c r="Q3896" s="10">
        <f t="shared" si="140"/>
        <v>8.9523767860307819E-3</v>
      </c>
      <c r="AI3896">
        <v>0.28769909999999999</v>
      </c>
      <c r="AJ3896">
        <f t="shared" si="139"/>
        <v>0.28769909999999999</v>
      </c>
      <c r="AO3896">
        <v>0.28769909999999999</v>
      </c>
      <c r="AR3896" s="8">
        <v>0</v>
      </c>
      <c r="AS3896">
        <v>0.85475900000000005</v>
      </c>
    </row>
    <row r="3897" spans="1:45" x14ac:dyDescent="0.25">
      <c r="A3897">
        <v>664</v>
      </c>
      <c r="B3897">
        <v>1995</v>
      </c>
      <c r="C3897" s="8">
        <v>0</v>
      </c>
      <c r="D3897">
        <v>0.31875369999999997</v>
      </c>
      <c r="E3897">
        <v>0.10628609999999999</v>
      </c>
      <c r="F3897">
        <v>5.09731E-2</v>
      </c>
      <c r="G3897">
        <v>0.967858</v>
      </c>
      <c r="H3897">
        <v>0.33075480000000002</v>
      </c>
      <c r="Q3897" s="10">
        <f t="shared" si="140"/>
        <v>1.3241583912403319E-2</v>
      </c>
      <c r="AI3897">
        <v>0.26533309999999999</v>
      </c>
      <c r="AJ3897">
        <f t="shared" si="139"/>
        <v>0.26533309999999999</v>
      </c>
      <c r="AO3897">
        <v>0.26533309999999999</v>
      </c>
      <c r="AR3897" s="8">
        <v>0</v>
      </c>
      <c r="AS3897">
        <v>1.0373190000000001</v>
      </c>
    </row>
    <row r="3898" spans="1:45" x14ac:dyDescent="0.25">
      <c r="A3898">
        <v>664</v>
      </c>
      <c r="B3898">
        <v>1996</v>
      </c>
      <c r="C3898" s="8">
        <v>0</v>
      </c>
      <c r="D3898">
        <v>0.28769909999999999</v>
      </c>
      <c r="E3898">
        <v>0.18085290000000001</v>
      </c>
      <c r="F3898">
        <v>7.3274900000000004E-2</v>
      </c>
      <c r="G3898">
        <v>1.2331110000000001</v>
      </c>
      <c r="H3898">
        <v>0.3551723</v>
      </c>
      <c r="Q3898" s="10">
        <f t="shared" si="140"/>
        <v>6.5721486672149533E-3</v>
      </c>
      <c r="AI3898">
        <v>2.8889700000000001E-2</v>
      </c>
      <c r="AJ3898">
        <f t="shared" si="139"/>
        <v>2.8889700000000001E-2</v>
      </c>
      <c r="AO3898">
        <v>2.8889700000000001E-2</v>
      </c>
      <c r="AR3898" s="8">
        <v>0</v>
      </c>
      <c r="AS3898">
        <v>1.029606</v>
      </c>
    </row>
    <row r="3899" spans="1:45" x14ac:dyDescent="0.25">
      <c r="A3899">
        <v>664</v>
      </c>
      <c r="B3899">
        <v>1997</v>
      </c>
      <c r="C3899" s="8">
        <v>0</v>
      </c>
      <c r="D3899">
        <v>0.26533309999999999</v>
      </c>
      <c r="E3899">
        <v>0.1996685</v>
      </c>
      <c r="F3899">
        <v>7.3049199999999995E-2</v>
      </c>
      <c r="G3899">
        <v>1.4279379999999999</v>
      </c>
      <c r="H3899">
        <v>0.3470858</v>
      </c>
      <c r="Q3899" s="10">
        <f t="shared" si="140"/>
        <v>4.6388996614231282E-3</v>
      </c>
      <c r="AI3899">
        <v>8.9709499999999998E-2</v>
      </c>
      <c r="AJ3899">
        <f t="shared" si="139"/>
        <v>8.9709499999999998E-2</v>
      </c>
      <c r="AO3899">
        <v>8.9709499999999998E-2</v>
      </c>
      <c r="AR3899" s="8">
        <v>0</v>
      </c>
      <c r="AS3899">
        <v>0.967858</v>
      </c>
    </row>
    <row r="3900" spans="1:45" x14ac:dyDescent="0.25">
      <c r="A3900">
        <v>665</v>
      </c>
      <c r="B3900">
        <v>1995</v>
      </c>
      <c r="C3900" s="8">
        <v>0</v>
      </c>
      <c r="D3900">
        <v>2.8889700000000001E-2</v>
      </c>
      <c r="E3900">
        <v>0.65788139999999995</v>
      </c>
      <c r="F3900">
        <v>5.7877400000000002E-2</v>
      </c>
      <c r="G3900">
        <v>2.0242800000000001</v>
      </c>
      <c r="H3900">
        <v>0.22442770000000001</v>
      </c>
      <c r="Q3900" s="10">
        <f t="shared" si="140"/>
        <v>8.7724995712645153E-4</v>
      </c>
      <c r="AI3900">
        <v>5.6647400000000001E-2</v>
      </c>
      <c r="AJ3900">
        <f t="shared" si="139"/>
        <v>5.6647400000000001E-2</v>
      </c>
      <c r="AO3900">
        <v>5.6647400000000001E-2</v>
      </c>
      <c r="AR3900" s="8">
        <v>0</v>
      </c>
      <c r="AS3900">
        <v>1.2331110000000001</v>
      </c>
    </row>
    <row r="3901" spans="1:45" x14ac:dyDescent="0.25">
      <c r="A3901">
        <v>665</v>
      </c>
      <c r="B3901">
        <v>1996</v>
      </c>
      <c r="C3901" s="8">
        <v>0</v>
      </c>
      <c r="D3901">
        <v>8.9709499999999998E-2</v>
      </c>
      <c r="E3901">
        <v>0.65047880000000002</v>
      </c>
      <c r="F3901">
        <v>7.3361399999999993E-2</v>
      </c>
      <c r="G3901">
        <v>2.2805070000000001</v>
      </c>
      <c r="H3901">
        <v>0.1818681</v>
      </c>
      <c r="Q3901" s="10">
        <f t="shared" si="140"/>
        <v>5.2038119758854046E-4</v>
      </c>
      <c r="AI3901">
        <v>5.0860599999999999E-2</v>
      </c>
      <c r="AJ3901">
        <f t="shared" si="139"/>
        <v>5.0860599999999999E-2</v>
      </c>
      <c r="AO3901">
        <v>5.0860599999999999E-2</v>
      </c>
      <c r="AR3901" s="8">
        <v>0</v>
      </c>
      <c r="AS3901">
        <v>1.4279379999999999</v>
      </c>
    </row>
    <row r="3902" spans="1:45" x14ac:dyDescent="0.25">
      <c r="A3902">
        <v>665</v>
      </c>
      <c r="B3902">
        <v>1997</v>
      </c>
      <c r="C3902" s="8">
        <v>0</v>
      </c>
      <c r="D3902">
        <v>5.6647400000000001E-2</v>
      </c>
      <c r="E3902">
        <v>0.59209509999999999</v>
      </c>
      <c r="F3902">
        <v>6.7046999999999995E-2</v>
      </c>
      <c r="G3902">
        <v>2.6466949999999998</v>
      </c>
      <c r="H3902">
        <v>0.17916979999999999</v>
      </c>
      <c r="Q3902" s="10">
        <f t="shared" si="140"/>
        <v>3.2741452296633825E-4</v>
      </c>
      <c r="AI3902">
        <v>0.16587499999999999</v>
      </c>
      <c r="AJ3902">
        <f t="shared" si="139"/>
        <v>0.16587499999999999</v>
      </c>
      <c r="AO3902">
        <v>0.16587499999999999</v>
      </c>
      <c r="AR3902" s="8">
        <v>0</v>
      </c>
      <c r="AS3902">
        <v>2.0242800000000001</v>
      </c>
    </row>
    <row r="3903" spans="1:45" x14ac:dyDescent="0.25">
      <c r="A3903">
        <v>665</v>
      </c>
      <c r="B3903">
        <v>1998</v>
      </c>
      <c r="C3903" s="8">
        <v>0</v>
      </c>
      <c r="D3903">
        <v>5.0860599999999999E-2</v>
      </c>
      <c r="E3903">
        <v>0.61990400000000001</v>
      </c>
      <c r="F3903">
        <v>6.1019799999999999E-2</v>
      </c>
      <c r="G3903">
        <v>2.2167699999999999</v>
      </c>
      <c r="H3903">
        <v>0.15328639999999999</v>
      </c>
      <c r="Q3903" s="10">
        <f t="shared" si="140"/>
        <v>6.4250621417628862E-4</v>
      </c>
      <c r="AI3903">
        <v>3.2528700000000001E-2</v>
      </c>
      <c r="AJ3903">
        <f t="shared" si="139"/>
        <v>3.2528700000000001E-2</v>
      </c>
      <c r="AO3903">
        <v>3.2528700000000001E-2</v>
      </c>
      <c r="AR3903" s="8">
        <v>0</v>
      </c>
      <c r="AS3903">
        <v>2.2805070000000001</v>
      </c>
    </row>
    <row r="3904" spans="1:45" x14ac:dyDescent="0.25">
      <c r="A3904">
        <v>665</v>
      </c>
      <c r="B3904">
        <v>1999</v>
      </c>
      <c r="C3904" s="8">
        <v>0</v>
      </c>
      <c r="D3904">
        <v>0.16587499999999999</v>
      </c>
      <c r="E3904">
        <v>0.55451289999999998</v>
      </c>
      <c r="F3904">
        <v>6.1989500000000003E-2</v>
      </c>
      <c r="G3904">
        <v>2.4808530000000002</v>
      </c>
      <c r="H3904">
        <v>0.13239300000000001</v>
      </c>
      <c r="Q3904" s="10">
        <f t="shared" si="140"/>
        <v>4.7662873586817346E-4</v>
      </c>
      <c r="AI3904">
        <v>2.1841699999999999E-2</v>
      </c>
      <c r="AJ3904">
        <f t="shared" si="139"/>
        <v>2.1841699999999999E-2</v>
      </c>
      <c r="AO3904">
        <v>2.1841699999999999E-2</v>
      </c>
      <c r="AR3904" s="8">
        <v>0</v>
      </c>
      <c r="AS3904">
        <v>2.6466949999999998</v>
      </c>
    </row>
    <row r="3905" spans="1:45" x14ac:dyDescent="0.25">
      <c r="A3905">
        <v>665</v>
      </c>
      <c r="B3905">
        <v>2000</v>
      </c>
      <c r="C3905" s="8">
        <v>0</v>
      </c>
      <c r="D3905">
        <v>3.2528700000000001E-2</v>
      </c>
      <c r="E3905">
        <v>0.32217879999999999</v>
      </c>
      <c r="F3905">
        <v>4.5192700000000002E-2</v>
      </c>
      <c r="G3905">
        <v>1.5180530000000001</v>
      </c>
      <c r="H3905">
        <v>0.11981700000000001</v>
      </c>
      <c r="Q3905" s="10">
        <f t="shared" si="140"/>
        <v>3.3187003914299648E-3</v>
      </c>
      <c r="AI3905">
        <v>7.3459499999999997E-2</v>
      </c>
      <c r="AJ3905">
        <f t="shared" si="139"/>
        <v>7.3459499999999997E-2</v>
      </c>
      <c r="AO3905">
        <v>7.3459499999999997E-2</v>
      </c>
      <c r="AR3905" s="8">
        <v>0</v>
      </c>
      <c r="AS3905">
        <v>2.2167699999999999</v>
      </c>
    </row>
    <row r="3906" spans="1:45" x14ac:dyDescent="0.25">
      <c r="A3906">
        <v>665</v>
      </c>
      <c r="B3906">
        <v>2001</v>
      </c>
      <c r="C3906" s="8">
        <v>0</v>
      </c>
      <c r="D3906">
        <v>2.1841699999999999E-2</v>
      </c>
      <c r="E3906">
        <v>0.3256619</v>
      </c>
      <c r="F3906">
        <v>3.6734000000000003E-2</v>
      </c>
      <c r="G3906">
        <v>1.295812</v>
      </c>
      <c r="H3906">
        <v>0.1146036</v>
      </c>
      <c r="Q3906" s="10">
        <f t="shared" si="140"/>
        <v>4.9878094289090465E-3</v>
      </c>
      <c r="AI3906">
        <v>4.9121999999999999E-2</v>
      </c>
      <c r="AJ3906">
        <f t="shared" si="139"/>
        <v>4.9121999999999999E-2</v>
      </c>
      <c r="AO3906">
        <v>4.9121999999999999E-2</v>
      </c>
      <c r="AR3906" s="8">
        <v>0</v>
      </c>
      <c r="AS3906">
        <v>2.4808530000000002</v>
      </c>
    </row>
    <row r="3907" spans="1:45" x14ac:dyDescent="0.25">
      <c r="A3907">
        <v>665</v>
      </c>
      <c r="B3907">
        <v>2002</v>
      </c>
      <c r="C3907" s="8">
        <v>0</v>
      </c>
      <c r="D3907">
        <v>7.3459499999999997E-2</v>
      </c>
      <c r="E3907">
        <v>0.35601260000000001</v>
      </c>
      <c r="F3907">
        <v>6.4715700000000001E-2</v>
      </c>
      <c r="G3907">
        <v>1.7647969999999999</v>
      </c>
      <c r="H3907">
        <v>0.13786480000000001</v>
      </c>
      <c r="Q3907" s="10">
        <f t="shared" si="140"/>
        <v>1.8787235312962417E-3</v>
      </c>
      <c r="AI3907">
        <v>2.9633400000000001E-2</v>
      </c>
      <c r="AJ3907">
        <f t="shared" si="139"/>
        <v>2.9633400000000001E-2</v>
      </c>
      <c r="AO3907">
        <v>2.9633400000000001E-2</v>
      </c>
      <c r="AR3907" s="8">
        <v>0</v>
      </c>
      <c r="AS3907">
        <v>1.5180530000000001</v>
      </c>
    </row>
    <row r="3908" spans="1:45" x14ac:dyDescent="0.25">
      <c r="A3908">
        <v>665</v>
      </c>
      <c r="B3908">
        <v>2003</v>
      </c>
      <c r="C3908" s="8">
        <v>0</v>
      </c>
      <c r="D3908">
        <v>4.9121999999999999E-2</v>
      </c>
      <c r="E3908">
        <v>0.2302968</v>
      </c>
      <c r="F3908">
        <v>5.03271E-2</v>
      </c>
      <c r="G3908">
        <v>2.25563</v>
      </c>
      <c r="H3908">
        <v>0.13663819999999999</v>
      </c>
      <c r="Q3908" s="10">
        <f t="shared" si="140"/>
        <v>1.145889351665097E-3</v>
      </c>
      <c r="AI3908">
        <v>0.60681870000000004</v>
      </c>
      <c r="AJ3908">
        <f t="shared" si="139"/>
        <v>0.52051970800000003</v>
      </c>
      <c r="AO3908">
        <v>0.52051970800000003</v>
      </c>
      <c r="AR3908" s="8">
        <v>0</v>
      </c>
      <c r="AS3908">
        <v>1.295812</v>
      </c>
    </row>
    <row r="3909" spans="1:45" x14ac:dyDescent="0.25">
      <c r="A3909">
        <v>665</v>
      </c>
      <c r="B3909">
        <v>2004</v>
      </c>
      <c r="C3909" s="8">
        <v>0</v>
      </c>
      <c r="D3909">
        <v>2.9633400000000001E-2</v>
      </c>
      <c r="E3909">
        <v>0.23276189999999999</v>
      </c>
      <c r="F3909">
        <v>6.2002500000000002E-2</v>
      </c>
      <c r="G3909">
        <v>1.8589910000000001</v>
      </c>
      <c r="H3909">
        <v>0.13388059999999999</v>
      </c>
      <c r="Q3909" s="10">
        <f t="shared" si="140"/>
        <v>1.936166041986121E-3</v>
      </c>
      <c r="AI3909">
        <v>0.57685059999999999</v>
      </c>
      <c r="AJ3909">
        <f t="shared" ref="AJ3909:AJ3972" si="141">MAX(MIN(AI3909,AM$5),AM$4)</f>
        <v>0.52051970800000003</v>
      </c>
      <c r="AO3909">
        <v>0.52051970800000003</v>
      </c>
      <c r="AR3909" s="8">
        <v>0</v>
      </c>
      <c r="AS3909">
        <v>1.7647969999999999</v>
      </c>
    </row>
    <row r="3910" spans="1:45" x14ac:dyDescent="0.25">
      <c r="A3910">
        <v>666</v>
      </c>
      <c r="B3910">
        <v>1995</v>
      </c>
      <c r="C3910" s="8">
        <v>0</v>
      </c>
      <c r="D3910">
        <v>0.60681870000000004</v>
      </c>
      <c r="E3910">
        <v>0.32845809999999998</v>
      </c>
      <c r="F3910">
        <v>6.88222E-2</v>
      </c>
      <c r="G3910">
        <v>0.45791019999999999</v>
      </c>
      <c r="H3910">
        <v>0.39256740000000001</v>
      </c>
      <c r="Q3910" s="10">
        <f t="shared" si="140"/>
        <v>2.1741460969437784E-2</v>
      </c>
      <c r="AI3910">
        <v>0.57250520000000005</v>
      </c>
      <c r="AJ3910">
        <f t="shared" si="141"/>
        <v>0.52051970800000003</v>
      </c>
      <c r="AO3910">
        <v>0.52051970800000003</v>
      </c>
      <c r="AR3910" s="8">
        <v>0</v>
      </c>
      <c r="AS3910">
        <v>2.25563</v>
      </c>
    </row>
    <row r="3911" spans="1:45" x14ac:dyDescent="0.25">
      <c r="A3911">
        <v>666</v>
      </c>
      <c r="B3911">
        <v>1996</v>
      </c>
      <c r="C3911" s="8">
        <v>0</v>
      </c>
      <c r="D3911">
        <v>0.57685059999999999</v>
      </c>
      <c r="E3911">
        <v>0.34935579999999999</v>
      </c>
      <c r="F3911">
        <v>7.4544299999999994E-2</v>
      </c>
      <c r="G3911">
        <v>0.72110529999999995</v>
      </c>
      <c r="H3911">
        <v>0.41292259999999997</v>
      </c>
      <c r="Q3911" s="10">
        <f t="shared" ref="Q3911:Q3974" si="142">1/(1+EXP(-(J$6+SUMPRODUCT(K$6:O$6,D3911:H3911))))</f>
        <v>1.3361315550213942E-2</v>
      </c>
      <c r="AI3911">
        <v>0.56660189999999999</v>
      </c>
      <c r="AJ3911">
        <f t="shared" si="141"/>
        <v>0.52051970800000003</v>
      </c>
      <c r="AO3911">
        <v>0.52051970800000003</v>
      </c>
      <c r="AR3911" s="8">
        <v>0</v>
      </c>
      <c r="AS3911">
        <v>1.8589910000000001</v>
      </c>
    </row>
    <row r="3912" spans="1:45" x14ac:dyDescent="0.25">
      <c r="A3912">
        <v>666</v>
      </c>
      <c r="B3912">
        <v>1997</v>
      </c>
      <c r="C3912" s="8">
        <v>0</v>
      </c>
      <c r="D3912">
        <v>0.57250520000000005</v>
      </c>
      <c r="E3912">
        <v>0.31161270000000002</v>
      </c>
      <c r="F3912">
        <v>2.7837000000000001E-2</v>
      </c>
      <c r="G3912">
        <v>0.38440780000000002</v>
      </c>
      <c r="H3912">
        <v>0.35170259999999998</v>
      </c>
      <c r="Q3912" s="10">
        <f t="shared" si="142"/>
        <v>3.3033956117849275E-2</v>
      </c>
      <c r="AI3912">
        <v>0.1555957</v>
      </c>
      <c r="AJ3912">
        <f t="shared" si="141"/>
        <v>0.1555957</v>
      </c>
      <c r="AO3912">
        <v>0.1555957</v>
      </c>
      <c r="AR3912" s="8">
        <v>0</v>
      </c>
      <c r="AS3912">
        <v>0.45791019999999999</v>
      </c>
    </row>
    <row r="3913" spans="1:45" x14ac:dyDescent="0.25">
      <c r="A3913">
        <v>666</v>
      </c>
      <c r="B3913">
        <v>1998</v>
      </c>
      <c r="C3913" s="8">
        <v>1</v>
      </c>
      <c r="D3913">
        <v>0.56660189999999999</v>
      </c>
      <c r="E3913">
        <v>0.26413320000000001</v>
      </c>
      <c r="F3913">
        <v>-7.7575999999999999E-3</v>
      </c>
      <c r="G3913">
        <v>0.11414729999999999</v>
      </c>
      <c r="H3913">
        <v>0.25460759999999999</v>
      </c>
      <c r="Q3913" s="10">
        <f t="shared" si="142"/>
        <v>6.5693755738290463E-2</v>
      </c>
      <c r="AI3913">
        <v>6.4049200000000001E-2</v>
      </c>
      <c r="AJ3913">
        <f t="shared" si="141"/>
        <v>6.4049200000000001E-2</v>
      </c>
      <c r="AO3913">
        <v>6.4049200000000001E-2</v>
      </c>
      <c r="AR3913" s="8">
        <v>0</v>
      </c>
      <c r="AS3913">
        <v>0.72110529999999995</v>
      </c>
    </row>
    <row r="3914" spans="1:45" x14ac:dyDescent="0.25">
      <c r="A3914">
        <v>667</v>
      </c>
      <c r="B3914">
        <v>1995</v>
      </c>
      <c r="C3914" s="8">
        <v>0</v>
      </c>
      <c r="D3914">
        <v>0.1555957</v>
      </c>
      <c r="E3914">
        <v>-0.17900669999999999</v>
      </c>
      <c r="F3914">
        <v>5.1309300000000002E-2</v>
      </c>
      <c r="G3914">
        <v>1.3828860000000001</v>
      </c>
      <c r="H3914">
        <v>0.2400215</v>
      </c>
      <c r="Q3914" s="10">
        <f t="shared" si="142"/>
        <v>9.1559068517063601E-3</v>
      </c>
      <c r="AI3914">
        <v>3.5927599999999997E-2</v>
      </c>
      <c r="AJ3914">
        <f t="shared" si="141"/>
        <v>3.5927599999999997E-2</v>
      </c>
      <c r="AO3914">
        <v>3.5927599999999997E-2</v>
      </c>
      <c r="AR3914" s="8">
        <v>0</v>
      </c>
      <c r="AS3914">
        <v>0.38440780000000002</v>
      </c>
    </row>
    <row r="3915" spans="1:45" x14ac:dyDescent="0.25">
      <c r="A3915">
        <v>668</v>
      </c>
      <c r="B3915">
        <v>2000</v>
      </c>
      <c r="C3915" s="8">
        <v>0</v>
      </c>
      <c r="D3915">
        <v>6.4049200000000001E-2</v>
      </c>
      <c r="E3915">
        <v>0.22494020000000001</v>
      </c>
      <c r="F3915">
        <v>7.0870000000000002E-2</v>
      </c>
      <c r="G3915">
        <v>3.7742460000000002</v>
      </c>
      <c r="H3915">
        <v>0.21488099999999999</v>
      </c>
      <c r="Q3915" s="10">
        <f t="shared" si="142"/>
        <v>9.2118174691176212E-5</v>
      </c>
      <c r="AI3915">
        <v>0.1270867</v>
      </c>
      <c r="AJ3915">
        <f t="shared" si="141"/>
        <v>0.1270867</v>
      </c>
      <c r="AO3915">
        <v>0.1270867</v>
      </c>
      <c r="AR3915" s="8">
        <v>1</v>
      </c>
      <c r="AS3915">
        <v>0.11414729999999999</v>
      </c>
    </row>
    <row r="3916" spans="1:45" x14ac:dyDescent="0.25">
      <c r="A3916">
        <v>668</v>
      </c>
      <c r="B3916">
        <v>2002</v>
      </c>
      <c r="C3916" s="8">
        <v>0</v>
      </c>
      <c r="D3916">
        <v>3.5927599999999997E-2</v>
      </c>
      <c r="E3916">
        <v>3.3428600000000003E-2</v>
      </c>
      <c r="F3916">
        <v>5.88037E-2</v>
      </c>
      <c r="G3916">
        <v>0.72281640000000003</v>
      </c>
      <c r="H3916">
        <v>0.16459699999999999</v>
      </c>
      <c r="Q3916" s="10">
        <f t="shared" si="142"/>
        <v>1.6343600635313357E-2</v>
      </c>
      <c r="AI3916">
        <v>0.145013</v>
      </c>
      <c r="AJ3916">
        <f t="shared" si="141"/>
        <v>0.145013</v>
      </c>
      <c r="AO3916">
        <v>0.145013</v>
      </c>
      <c r="AR3916" s="8">
        <v>0</v>
      </c>
      <c r="AS3916">
        <v>1.3828860000000001</v>
      </c>
    </row>
    <row r="3917" spans="1:45" x14ac:dyDescent="0.25">
      <c r="A3917">
        <v>668</v>
      </c>
      <c r="B3917">
        <v>2003</v>
      </c>
      <c r="C3917" s="8">
        <v>0</v>
      </c>
      <c r="D3917">
        <v>0.1270867</v>
      </c>
      <c r="E3917">
        <v>6.2338400000000002E-2</v>
      </c>
      <c r="F3917">
        <v>4.2108699999999999E-2</v>
      </c>
      <c r="G3917">
        <v>1.133175</v>
      </c>
      <c r="H3917">
        <v>0.18643599999999999</v>
      </c>
      <c r="Q3917" s="10">
        <f t="shared" si="142"/>
        <v>9.8677506670439129E-3</v>
      </c>
      <c r="AI3917">
        <v>0.1966349</v>
      </c>
      <c r="AJ3917">
        <f t="shared" si="141"/>
        <v>0.1966349</v>
      </c>
      <c r="AO3917">
        <v>0.1966349</v>
      </c>
      <c r="AR3917" s="8">
        <v>0</v>
      </c>
      <c r="AS3917">
        <v>3.7742460000000002</v>
      </c>
    </row>
    <row r="3918" spans="1:45" x14ac:dyDescent="0.25">
      <c r="A3918">
        <v>668</v>
      </c>
      <c r="B3918">
        <v>2004</v>
      </c>
      <c r="C3918" s="8">
        <v>0</v>
      </c>
      <c r="D3918">
        <v>0.145013</v>
      </c>
      <c r="E3918">
        <v>0.119309</v>
      </c>
      <c r="F3918">
        <v>6.0656599999999998E-2</v>
      </c>
      <c r="G3918">
        <v>1.8857999999999999</v>
      </c>
      <c r="H3918">
        <v>0.18860260000000001</v>
      </c>
      <c r="Q3918" s="10">
        <f t="shared" si="142"/>
        <v>2.3988206067078865E-3</v>
      </c>
      <c r="AI3918">
        <v>0.26364739999999998</v>
      </c>
      <c r="AJ3918">
        <f t="shared" si="141"/>
        <v>0.26364739999999998</v>
      </c>
      <c r="AO3918">
        <v>0.26364739999999998</v>
      </c>
      <c r="AR3918" s="8">
        <v>0</v>
      </c>
      <c r="AS3918">
        <v>0.72281640000000003</v>
      </c>
    </row>
    <row r="3919" spans="1:45" x14ac:dyDescent="0.25">
      <c r="A3919">
        <v>669</v>
      </c>
      <c r="B3919">
        <v>1995</v>
      </c>
      <c r="C3919" s="8">
        <v>0</v>
      </c>
      <c r="D3919">
        <v>0.1966349</v>
      </c>
      <c r="E3919">
        <v>0.3003229</v>
      </c>
      <c r="F3919">
        <v>5.2935099999999999E-2</v>
      </c>
      <c r="G3919">
        <v>1.3284320000000001</v>
      </c>
      <c r="H3919">
        <v>0.36255789999999999</v>
      </c>
      <c r="Q3919" s="10">
        <f t="shared" si="142"/>
        <v>5.4083099241391316E-3</v>
      </c>
      <c r="AI3919">
        <v>0.2388651</v>
      </c>
      <c r="AJ3919">
        <f t="shared" si="141"/>
        <v>0.2388651</v>
      </c>
      <c r="AO3919">
        <v>0.2388651</v>
      </c>
      <c r="AR3919" s="8">
        <v>0</v>
      </c>
      <c r="AS3919">
        <v>1.133175</v>
      </c>
    </row>
    <row r="3920" spans="1:45" x14ac:dyDescent="0.25">
      <c r="A3920">
        <v>669</v>
      </c>
      <c r="B3920">
        <v>1996</v>
      </c>
      <c r="C3920" s="8">
        <v>0</v>
      </c>
      <c r="D3920">
        <v>0.26364739999999998</v>
      </c>
      <c r="E3920">
        <v>0.31152259999999998</v>
      </c>
      <c r="F3920">
        <v>4.1327700000000002E-2</v>
      </c>
      <c r="G3920">
        <v>1.317979</v>
      </c>
      <c r="H3920">
        <v>0.40526420000000002</v>
      </c>
      <c r="Q3920" s="10">
        <f t="shared" si="142"/>
        <v>6.2622203876546894E-3</v>
      </c>
      <c r="AI3920">
        <v>0.2187306</v>
      </c>
      <c r="AJ3920">
        <f t="shared" si="141"/>
        <v>0.2187306</v>
      </c>
      <c r="AO3920">
        <v>0.2187306</v>
      </c>
      <c r="AR3920" s="8">
        <v>0</v>
      </c>
      <c r="AS3920">
        <v>1.8857999999999999</v>
      </c>
    </row>
    <row r="3921" spans="1:45" x14ac:dyDescent="0.25">
      <c r="A3921">
        <v>669</v>
      </c>
      <c r="B3921">
        <v>1997</v>
      </c>
      <c r="C3921" s="8">
        <v>0</v>
      </c>
      <c r="D3921">
        <v>0.2388651</v>
      </c>
      <c r="E3921">
        <v>0.34148020000000001</v>
      </c>
      <c r="F3921">
        <v>4.2698600000000003E-2</v>
      </c>
      <c r="G3921">
        <v>1.818217</v>
      </c>
      <c r="H3921">
        <v>0.39567619999999998</v>
      </c>
      <c r="Q3921" s="10">
        <f t="shared" si="142"/>
        <v>2.6386352248593927E-3</v>
      </c>
      <c r="AI3921">
        <v>0.18209069999999999</v>
      </c>
      <c r="AJ3921">
        <f t="shared" si="141"/>
        <v>0.18209069999999999</v>
      </c>
      <c r="AO3921">
        <v>0.18209069999999999</v>
      </c>
      <c r="AR3921" s="8">
        <v>0</v>
      </c>
      <c r="AS3921">
        <v>1.3284320000000001</v>
      </c>
    </row>
    <row r="3922" spans="1:45" x14ac:dyDescent="0.25">
      <c r="A3922">
        <v>669</v>
      </c>
      <c r="B3922">
        <v>1998</v>
      </c>
      <c r="C3922" s="8">
        <v>0</v>
      </c>
      <c r="D3922">
        <v>0.2187306</v>
      </c>
      <c r="E3922">
        <v>0.30940260000000003</v>
      </c>
      <c r="F3922">
        <v>6.7370600000000003E-2</v>
      </c>
      <c r="G3922">
        <v>0.80551850000000003</v>
      </c>
      <c r="H3922">
        <v>0.41237020000000002</v>
      </c>
      <c r="Q3922" s="10">
        <f t="shared" si="142"/>
        <v>1.1320777602151465E-2</v>
      </c>
      <c r="AI3922">
        <v>0.17734259999999999</v>
      </c>
      <c r="AJ3922">
        <f t="shared" si="141"/>
        <v>0.17734259999999999</v>
      </c>
      <c r="AO3922">
        <v>0.17734259999999999</v>
      </c>
      <c r="AR3922" s="8">
        <v>0</v>
      </c>
      <c r="AS3922">
        <v>1.317979</v>
      </c>
    </row>
    <row r="3923" spans="1:45" x14ac:dyDescent="0.25">
      <c r="A3923">
        <v>669</v>
      </c>
      <c r="B3923">
        <v>1999</v>
      </c>
      <c r="C3923" s="8">
        <v>0</v>
      </c>
      <c r="D3923">
        <v>0.18209069999999999</v>
      </c>
      <c r="E3923">
        <v>0.34173300000000001</v>
      </c>
      <c r="F3923">
        <v>5.3069199999999997E-2</v>
      </c>
      <c r="G3923">
        <v>0.73938899999999996</v>
      </c>
      <c r="H3923">
        <v>0.39722800000000003</v>
      </c>
      <c r="Q3923" s="10">
        <f t="shared" si="142"/>
        <v>1.3105577066373839E-2</v>
      </c>
      <c r="AI3923">
        <v>0.1083047</v>
      </c>
      <c r="AJ3923">
        <f t="shared" si="141"/>
        <v>0.1083047</v>
      </c>
      <c r="AO3923">
        <v>0.1083047</v>
      </c>
      <c r="AR3923" s="8">
        <v>0</v>
      </c>
      <c r="AS3923">
        <v>1.818217</v>
      </c>
    </row>
    <row r="3924" spans="1:45" x14ac:dyDescent="0.25">
      <c r="A3924">
        <v>669</v>
      </c>
      <c r="B3924">
        <v>2000</v>
      </c>
      <c r="C3924" s="8">
        <v>0</v>
      </c>
      <c r="D3924">
        <v>0.17734259999999999</v>
      </c>
      <c r="E3924">
        <v>0.37924229999999998</v>
      </c>
      <c r="F3924">
        <v>4.8243899999999999E-2</v>
      </c>
      <c r="G3924">
        <v>0.48350549999999998</v>
      </c>
      <c r="H3924">
        <v>0.38698939999999998</v>
      </c>
      <c r="Q3924" s="10">
        <f t="shared" si="142"/>
        <v>1.911456938616328E-2</v>
      </c>
      <c r="AI3924">
        <v>0.129381</v>
      </c>
      <c r="AJ3924">
        <f t="shared" si="141"/>
        <v>0.129381</v>
      </c>
      <c r="AO3924">
        <v>0.129381</v>
      </c>
      <c r="AR3924" s="8">
        <v>0</v>
      </c>
      <c r="AS3924">
        <v>0.80551850000000003</v>
      </c>
    </row>
    <row r="3925" spans="1:45" x14ac:dyDescent="0.25">
      <c r="A3925">
        <v>669</v>
      </c>
      <c r="B3925">
        <v>2001</v>
      </c>
      <c r="C3925" s="8">
        <v>0</v>
      </c>
      <c r="D3925">
        <v>0.1083047</v>
      </c>
      <c r="E3925">
        <v>0.19401409999999999</v>
      </c>
      <c r="F3925">
        <v>4.9445000000000003E-2</v>
      </c>
      <c r="G3925">
        <v>0.18837319999999999</v>
      </c>
      <c r="H3925">
        <v>0.49842389999999998</v>
      </c>
      <c r="Q3925" s="10">
        <f t="shared" si="142"/>
        <v>4.0406605677731598E-2</v>
      </c>
      <c r="AI3925">
        <v>0.12718599999999999</v>
      </c>
      <c r="AJ3925">
        <f t="shared" si="141"/>
        <v>0.12718599999999999</v>
      </c>
      <c r="AO3925">
        <v>0.12718599999999999</v>
      </c>
      <c r="AR3925" s="8">
        <v>0</v>
      </c>
      <c r="AS3925">
        <v>0.73938899999999996</v>
      </c>
    </row>
    <row r="3926" spans="1:45" x14ac:dyDescent="0.25">
      <c r="A3926">
        <v>669</v>
      </c>
      <c r="B3926">
        <v>2002</v>
      </c>
      <c r="C3926" s="8">
        <v>0</v>
      </c>
      <c r="D3926">
        <v>0.129381</v>
      </c>
      <c r="E3926">
        <v>0.23182069999999999</v>
      </c>
      <c r="F3926">
        <v>4.7999300000000002E-2</v>
      </c>
      <c r="G3926">
        <v>0.46818120000000002</v>
      </c>
      <c r="H3926">
        <v>0.58349629999999997</v>
      </c>
      <c r="Q3926" s="10">
        <f t="shared" si="142"/>
        <v>2.6717149230495209E-2</v>
      </c>
      <c r="AI3926">
        <v>0.1438815</v>
      </c>
      <c r="AJ3926">
        <f t="shared" si="141"/>
        <v>0.1438815</v>
      </c>
      <c r="AO3926">
        <v>0.1438815</v>
      </c>
      <c r="AR3926" s="8">
        <v>0</v>
      </c>
      <c r="AS3926">
        <v>0.48350549999999998</v>
      </c>
    </row>
    <row r="3927" spans="1:45" x14ac:dyDescent="0.25">
      <c r="A3927">
        <v>669</v>
      </c>
      <c r="B3927">
        <v>2003</v>
      </c>
      <c r="C3927" s="8">
        <v>0</v>
      </c>
      <c r="D3927">
        <v>0.12718599999999999</v>
      </c>
      <c r="E3927">
        <v>0.25119039999999998</v>
      </c>
      <c r="F3927">
        <v>6.6786999999999999E-2</v>
      </c>
      <c r="G3927">
        <v>0.5559596</v>
      </c>
      <c r="H3927">
        <v>0.66101129999999997</v>
      </c>
      <c r="Q3927" s="10">
        <f t="shared" si="142"/>
        <v>2.0500909637670334E-2</v>
      </c>
      <c r="AI3927">
        <v>-8.9232199999999998E-2</v>
      </c>
      <c r="AJ3927">
        <f t="shared" si="141"/>
        <v>-8.9232199999999998E-2</v>
      </c>
      <c r="AO3927">
        <v>-8.9232199999999998E-2</v>
      </c>
      <c r="AR3927" s="8">
        <v>0</v>
      </c>
      <c r="AS3927">
        <v>0.18837319999999999</v>
      </c>
    </row>
    <row r="3928" spans="1:45" x14ac:dyDescent="0.25">
      <c r="A3928">
        <v>669</v>
      </c>
      <c r="B3928">
        <v>2004</v>
      </c>
      <c r="C3928" s="8">
        <v>0</v>
      </c>
      <c r="D3928">
        <v>0.1438815</v>
      </c>
      <c r="E3928">
        <v>0.28507880000000002</v>
      </c>
      <c r="F3928">
        <v>4.9930200000000001E-2</v>
      </c>
      <c r="G3928">
        <v>0.69383220000000001</v>
      </c>
      <c r="H3928">
        <v>0.69481000000000004</v>
      </c>
      <c r="Q3928" s="10">
        <f t="shared" si="142"/>
        <v>1.8471960591598106E-2</v>
      </c>
      <c r="AI3928">
        <v>0.14355119999999999</v>
      </c>
      <c r="AJ3928">
        <f t="shared" si="141"/>
        <v>0.14355119999999999</v>
      </c>
      <c r="AO3928">
        <v>0.14355119999999999</v>
      </c>
      <c r="AR3928" s="8">
        <v>0</v>
      </c>
      <c r="AS3928">
        <v>0.46818120000000002</v>
      </c>
    </row>
    <row r="3929" spans="1:45" x14ac:dyDescent="0.25">
      <c r="A3929">
        <v>670</v>
      </c>
      <c r="B3929">
        <v>1995</v>
      </c>
      <c r="C3929" s="8">
        <v>0</v>
      </c>
      <c r="D3929">
        <v>-8.9232199999999998E-2</v>
      </c>
      <c r="E3929">
        <v>-6.8004099999999998E-2</v>
      </c>
      <c r="F3929">
        <v>3.4661200000000003E-2</v>
      </c>
      <c r="G3929">
        <v>0.21738250000000001</v>
      </c>
      <c r="H3929">
        <v>0.35862050000000001</v>
      </c>
      <c r="Q3929" s="10">
        <f t="shared" si="142"/>
        <v>5.3000046778410026E-2</v>
      </c>
      <c r="AI3929">
        <v>0.1359679</v>
      </c>
      <c r="AJ3929">
        <f t="shared" si="141"/>
        <v>0.1359679</v>
      </c>
      <c r="AO3929">
        <v>0.1359679</v>
      </c>
      <c r="AR3929" s="8">
        <v>0</v>
      </c>
      <c r="AS3929">
        <v>0.5559596</v>
      </c>
    </row>
    <row r="3930" spans="1:45" x14ac:dyDescent="0.25">
      <c r="A3930">
        <v>679</v>
      </c>
      <c r="B3930">
        <v>1996</v>
      </c>
      <c r="C3930" s="8">
        <v>0</v>
      </c>
      <c r="D3930">
        <v>0.14355119999999999</v>
      </c>
      <c r="E3930">
        <v>0.21360390000000001</v>
      </c>
      <c r="F3930">
        <v>6.0999499999999998E-2</v>
      </c>
      <c r="G3930">
        <v>1.9537800000000001</v>
      </c>
      <c r="H3930">
        <v>0.29715429999999998</v>
      </c>
      <c r="Q3930" s="10">
        <f t="shared" si="142"/>
        <v>2.0014247701358925E-3</v>
      </c>
      <c r="AI3930">
        <v>0.14608699999999999</v>
      </c>
      <c r="AJ3930">
        <f t="shared" si="141"/>
        <v>0.14608699999999999</v>
      </c>
      <c r="AO3930">
        <v>0.14608699999999999</v>
      </c>
      <c r="AR3930" s="8">
        <v>0</v>
      </c>
      <c r="AS3930">
        <v>0.69383220000000001</v>
      </c>
    </row>
    <row r="3931" spans="1:45" x14ac:dyDescent="0.25">
      <c r="A3931">
        <v>681</v>
      </c>
      <c r="B3931">
        <v>1997</v>
      </c>
      <c r="C3931" s="8">
        <v>0</v>
      </c>
      <c r="D3931">
        <v>0.1359679</v>
      </c>
      <c r="E3931">
        <v>0.22067899999999999</v>
      </c>
      <c r="F3931">
        <v>5.5926999999999998E-2</v>
      </c>
      <c r="G3931">
        <v>1.9508589999999999</v>
      </c>
      <c r="H3931">
        <v>0.30445339999999999</v>
      </c>
      <c r="Q3931" s="10">
        <f t="shared" si="142"/>
        <v>2.0753067717097823E-3</v>
      </c>
      <c r="AI3931">
        <v>0.13202259999999999</v>
      </c>
      <c r="AJ3931">
        <f t="shared" si="141"/>
        <v>0.13202259999999999</v>
      </c>
      <c r="AO3931">
        <v>0.13202259999999999</v>
      </c>
      <c r="AR3931" s="8">
        <v>0</v>
      </c>
      <c r="AS3931">
        <v>0.21738250000000001</v>
      </c>
    </row>
    <row r="3932" spans="1:45" x14ac:dyDescent="0.25">
      <c r="A3932">
        <v>685</v>
      </c>
      <c r="B3932">
        <v>1998</v>
      </c>
      <c r="C3932" s="8">
        <v>0</v>
      </c>
      <c r="D3932">
        <v>0.14608699999999999</v>
      </c>
      <c r="E3932">
        <v>0.19928100000000001</v>
      </c>
      <c r="F3932">
        <v>4.8778000000000002E-2</v>
      </c>
      <c r="G3932">
        <v>1.928847</v>
      </c>
      <c r="H3932">
        <v>0.30067329999999998</v>
      </c>
      <c r="Q3932" s="10">
        <f t="shared" si="142"/>
        <v>2.351514195518612E-3</v>
      </c>
      <c r="AI3932">
        <v>0.14463280000000001</v>
      </c>
      <c r="AJ3932">
        <f t="shared" si="141"/>
        <v>0.14463280000000001</v>
      </c>
      <c r="AO3932">
        <v>0.14463280000000001</v>
      </c>
      <c r="AR3932" s="8">
        <v>0</v>
      </c>
      <c r="AS3932">
        <v>1.9537800000000001</v>
      </c>
    </row>
    <row r="3933" spans="1:45" x14ac:dyDescent="0.25">
      <c r="A3933">
        <v>688</v>
      </c>
      <c r="B3933">
        <v>1999</v>
      </c>
      <c r="C3933" s="8">
        <v>0</v>
      </c>
      <c r="D3933">
        <v>0.13202259999999999</v>
      </c>
      <c r="E3933">
        <v>0.2173947</v>
      </c>
      <c r="F3933">
        <v>5.1502199999999998E-2</v>
      </c>
      <c r="G3933">
        <v>1.9469749999999999</v>
      </c>
      <c r="H3933">
        <v>0.30388660000000001</v>
      </c>
      <c r="Q3933" s="10">
        <f t="shared" si="142"/>
        <v>2.1692638258468482E-3</v>
      </c>
      <c r="AI3933">
        <v>0.13990349999999999</v>
      </c>
      <c r="AJ3933">
        <f t="shared" si="141"/>
        <v>0.13990349999999999</v>
      </c>
      <c r="AO3933">
        <v>0.13990349999999999</v>
      </c>
      <c r="AR3933" s="8">
        <v>0</v>
      </c>
      <c r="AS3933">
        <v>1.9508589999999999</v>
      </c>
    </row>
    <row r="3934" spans="1:45" x14ac:dyDescent="0.25">
      <c r="A3934">
        <v>693</v>
      </c>
      <c r="B3934">
        <v>2000</v>
      </c>
      <c r="C3934" s="8">
        <v>0</v>
      </c>
      <c r="D3934">
        <v>0.14463280000000001</v>
      </c>
      <c r="E3934">
        <v>0.21273339999999999</v>
      </c>
      <c r="F3934">
        <v>5.31019E-2</v>
      </c>
      <c r="G3934">
        <v>1.939859</v>
      </c>
      <c r="H3934">
        <v>0.30380420000000002</v>
      </c>
      <c r="Q3934" s="10">
        <f t="shared" si="142"/>
        <v>2.1921023175750431E-3</v>
      </c>
      <c r="AI3934">
        <v>0.14515130000000001</v>
      </c>
      <c r="AJ3934">
        <f t="shared" si="141"/>
        <v>0.14515130000000001</v>
      </c>
      <c r="AO3934">
        <v>0.14515130000000001</v>
      </c>
      <c r="AR3934" s="8">
        <v>0</v>
      </c>
      <c r="AS3934">
        <v>1.928847</v>
      </c>
    </row>
    <row r="3935" spans="1:45" x14ac:dyDescent="0.25">
      <c r="A3935">
        <v>696</v>
      </c>
      <c r="B3935">
        <v>2001</v>
      </c>
      <c r="C3935" s="8">
        <v>0</v>
      </c>
      <c r="D3935">
        <v>0.13990349999999999</v>
      </c>
      <c r="E3935">
        <v>0.20298769999999999</v>
      </c>
      <c r="F3935">
        <v>4.71467E-2</v>
      </c>
      <c r="G3935">
        <v>1.9485980000000001</v>
      </c>
      <c r="H3935">
        <v>0.31259540000000002</v>
      </c>
      <c r="Q3935" s="10">
        <f t="shared" si="142"/>
        <v>2.307382647010432E-3</v>
      </c>
      <c r="AI3935">
        <v>0.14776980000000001</v>
      </c>
      <c r="AJ3935">
        <f t="shared" si="141"/>
        <v>0.14776980000000001</v>
      </c>
      <c r="AO3935">
        <v>0.14776980000000001</v>
      </c>
      <c r="AR3935" s="8">
        <v>0</v>
      </c>
      <c r="AS3935">
        <v>1.9469749999999999</v>
      </c>
    </row>
    <row r="3936" spans="1:45" x14ac:dyDescent="0.25">
      <c r="A3936">
        <v>698</v>
      </c>
      <c r="B3936">
        <v>1995</v>
      </c>
      <c r="C3936" s="8">
        <v>0</v>
      </c>
      <c r="D3936">
        <v>0.14515130000000001</v>
      </c>
      <c r="E3936">
        <v>0.22559209999999999</v>
      </c>
      <c r="F3936">
        <v>6.59912E-2</v>
      </c>
      <c r="G3936">
        <v>1.956664</v>
      </c>
      <c r="H3936">
        <v>0.2902518</v>
      </c>
      <c r="Q3936" s="10">
        <f t="shared" si="142"/>
        <v>1.8746385594649608E-3</v>
      </c>
      <c r="AI3936">
        <v>0.14155239999999999</v>
      </c>
      <c r="AJ3936">
        <f t="shared" si="141"/>
        <v>0.14155239999999999</v>
      </c>
      <c r="AO3936">
        <v>0.14155239999999999</v>
      </c>
      <c r="AR3936" s="8">
        <v>0</v>
      </c>
      <c r="AS3936">
        <v>1.939859</v>
      </c>
    </row>
    <row r="3937" spans="1:45" x14ac:dyDescent="0.25">
      <c r="A3937">
        <v>702</v>
      </c>
      <c r="B3937">
        <v>1996</v>
      </c>
      <c r="C3937" s="8">
        <v>0</v>
      </c>
      <c r="D3937">
        <v>0.14776980000000001</v>
      </c>
      <c r="E3937">
        <v>0.22349359999999999</v>
      </c>
      <c r="F3937">
        <v>5.6393699999999998E-2</v>
      </c>
      <c r="G3937">
        <v>1.947249</v>
      </c>
      <c r="H3937">
        <v>0.3097491</v>
      </c>
      <c r="Q3937" s="10">
        <f t="shared" si="142"/>
        <v>2.0879777370609773E-3</v>
      </c>
      <c r="AI3937">
        <v>0.1314583</v>
      </c>
      <c r="AJ3937">
        <f t="shared" si="141"/>
        <v>0.1314583</v>
      </c>
      <c r="AO3937">
        <v>0.1314583</v>
      </c>
      <c r="AR3937" s="8">
        <v>0</v>
      </c>
      <c r="AS3937">
        <v>1.9485980000000001</v>
      </c>
    </row>
    <row r="3938" spans="1:45" x14ac:dyDescent="0.25">
      <c r="A3938">
        <v>707</v>
      </c>
      <c r="B3938">
        <v>1995</v>
      </c>
      <c r="C3938" s="8">
        <v>1</v>
      </c>
      <c r="D3938">
        <v>0.14155239999999999</v>
      </c>
      <c r="E3938">
        <v>0.1941908</v>
      </c>
      <c r="F3938">
        <v>5.1926300000000002E-2</v>
      </c>
      <c r="G3938">
        <v>1.93926</v>
      </c>
      <c r="H3938">
        <v>0.30579329999999999</v>
      </c>
      <c r="Q3938" s="10">
        <f t="shared" si="142"/>
        <v>2.2751672413807481E-3</v>
      </c>
      <c r="AI3938">
        <v>0.13414999999999999</v>
      </c>
      <c r="AJ3938">
        <f t="shared" si="141"/>
        <v>0.13414999999999999</v>
      </c>
      <c r="AO3938">
        <v>0.13414999999999999</v>
      </c>
      <c r="AR3938" s="8">
        <v>0</v>
      </c>
      <c r="AS3938">
        <v>1.956664</v>
      </c>
    </row>
    <row r="3939" spans="1:45" x14ac:dyDescent="0.25">
      <c r="A3939">
        <v>708</v>
      </c>
      <c r="B3939">
        <v>1997</v>
      </c>
      <c r="C3939" s="8">
        <v>1</v>
      </c>
      <c r="D3939">
        <v>0.1314583</v>
      </c>
      <c r="E3939">
        <v>0.20124300000000001</v>
      </c>
      <c r="F3939">
        <v>5.6275899999999997E-2</v>
      </c>
      <c r="G3939">
        <v>1.958129</v>
      </c>
      <c r="H3939">
        <v>0.29107889999999997</v>
      </c>
      <c r="Q3939" s="10">
        <f t="shared" si="142"/>
        <v>2.0830393902686096E-3</v>
      </c>
      <c r="AI3939">
        <v>0.1353444</v>
      </c>
      <c r="AJ3939">
        <f t="shared" si="141"/>
        <v>0.1353444</v>
      </c>
      <c r="AO3939">
        <v>0.1353444</v>
      </c>
      <c r="AR3939" s="8">
        <v>0</v>
      </c>
      <c r="AS3939">
        <v>1.947249</v>
      </c>
    </row>
    <row r="3940" spans="1:45" x14ac:dyDescent="0.25">
      <c r="A3940">
        <v>711</v>
      </c>
      <c r="B3940">
        <v>1998</v>
      </c>
      <c r="C3940" s="8">
        <v>0</v>
      </c>
      <c r="D3940">
        <v>0.13414999999999999</v>
      </c>
      <c r="E3940">
        <v>0.20429900000000001</v>
      </c>
      <c r="F3940">
        <v>5.5028300000000002E-2</v>
      </c>
      <c r="G3940">
        <v>1.9469479999999999</v>
      </c>
      <c r="H3940">
        <v>0.3051296</v>
      </c>
      <c r="Q3940" s="10">
        <f t="shared" si="142"/>
        <v>2.1531563989508774E-3</v>
      </c>
      <c r="AI3940">
        <v>0.1458729</v>
      </c>
      <c r="AJ3940">
        <f t="shared" si="141"/>
        <v>0.1458729</v>
      </c>
      <c r="AO3940">
        <v>0.1458729</v>
      </c>
      <c r="AR3940" s="8">
        <v>1</v>
      </c>
      <c r="AS3940">
        <v>1.93926</v>
      </c>
    </row>
    <row r="3941" spans="1:45" x14ac:dyDescent="0.25">
      <c r="A3941">
        <v>713</v>
      </c>
      <c r="B3941">
        <v>1999</v>
      </c>
      <c r="C3941" s="8">
        <v>0</v>
      </c>
      <c r="D3941">
        <v>0.1353444</v>
      </c>
      <c r="E3941">
        <v>0.19993749999999999</v>
      </c>
      <c r="F3941">
        <v>5.9255299999999997E-2</v>
      </c>
      <c r="G3941">
        <v>1.9364140000000001</v>
      </c>
      <c r="H3941">
        <v>0.29605100000000001</v>
      </c>
      <c r="Q3941" s="10">
        <f t="shared" si="142"/>
        <v>2.1194444567135332E-3</v>
      </c>
      <c r="AI3941">
        <v>0.1431682</v>
      </c>
      <c r="AJ3941">
        <f t="shared" si="141"/>
        <v>0.1431682</v>
      </c>
      <c r="AO3941">
        <v>0.1431682</v>
      </c>
      <c r="AR3941" s="8">
        <v>1</v>
      </c>
      <c r="AS3941">
        <v>1.958129</v>
      </c>
    </row>
    <row r="3942" spans="1:45" x14ac:dyDescent="0.25">
      <c r="A3942">
        <v>717</v>
      </c>
      <c r="B3942">
        <v>2000</v>
      </c>
      <c r="C3942" s="8">
        <v>0</v>
      </c>
      <c r="D3942">
        <v>0.1458729</v>
      </c>
      <c r="E3942">
        <v>0.2145765</v>
      </c>
      <c r="F3942">
        <v>5.1818099999999999E-2</v>
      </c>
      <c r="G3942">
        <v>1.9546680000000001</v>
      </c>
      <c r="H3942">
        <v>0.30999060000000001</v>
      </c>
      <c r="Q3942" s="10">
        <f t="shared" si="142"/>
        <v>2.1667404556034954E-3</v>
      </c>
      <c r="AI3942">
        <v>0.13668859999999999</v>
      </c>
      <c r="AJ3942">
        <f t="shared" si="141"/>
        <v>0.13668859999999999</v>
      </c>
      <c r="AO3942">
        <v>0.13668859999999999</v>
      </c>
      <c r="AR3942" s="8">
        <v>0</v>
      </c>
      <c r="AS3942">
        <v>1.9469479999999999</v>
      </c>
    </row>
    <row r="3943" spans="1:45" x14ac:dyDescent="0.25">
      <c r="A3943">
        <v>720</v>
      </c>
      <c r="B3943">
        <v>2001</v>
      </c>
      <c r="C3943" s="8">
        <v>0</v>
      </c>
      <c r="D3943">
        <v>0.1431682</v>
      </c>
      <c r="E3943">
        <v>0.2048228</v>
      </c>
      <c r="F3943">
        <v>4.7232299999999998E-2</v>
      </c>
      <c r="G3943">
        <v>1.9407620000000001</v>
      </c>
      <c r="H3943">
        <v>0.30494250000000001</v>
      </c>
      <c r="Q3943" s="10">
        <f t="shared" si="142"/>
        <v>2.3206449869243606E-3</v>
      </c>
      <c r="AI3943">
        <v>0.15657389999999999</v>
      </c>
      <c r="AJ3943">
        <f t="shared" si="141"/>
        <v>0.15657389999999999</v>
      </c>
      <c r="AO3943">
        <v>0.15657389999999999</v>
      </c>
      <c r="AR3943" s="8">
        <v>0</v>
      </c>
      <c r="AS3943">
        <v>1.9364140000000001</v>
      </c>
    </row>
    <row r="3944" spans="1:45" x14ac:dyDescent="0.25">
      <c r="A3944">
        <v>724</v>
      </c>
      <c r="B3944">
        <v>2002</v>
      </c>
      <c r="C3944" s="8">
        <v>0</v>
      </c>
      <c r="D3944">
        <v>0.13668859999999999</v>
      </c>
      <c r="E3944">
        <v>0.21900810000000001</v>
      </c>
      <c r="F3944">
        <v>5.4834300000000002E-2</v>
      </c>
      <c r="G3944">
        <v>1.9432430000000001</v>
      </c>
      <c r="H3944">
        <v>0.30032370000000003</v>
      </c>
      <c r="Q3944" s="10">
        <f t="shared" si="142"/>
        <v>2.1193536222337854E-3</v>
      </c>
      <c r="AI3944">
        <v>0.13558519999999999</v>
      </c>
      <c r="AJ3944">
        <f t="shared" si="141"/>
        <v>0.13558519999999999</v>
      </c>
      <c r="AO3944">
        <v>0.13558519999999999</v>
      </c>
      <c r="AR3944" s="8">
        <v>0</v>
      </c>
      <c r="AS3944">
        <v>1.9546680000000001</v>
      </c>
    </row>
    <row r="3945" spans="1:45" x14ac:dyDescent="0.25">
      <c r="A3945">
        <v>726</v>
      </c>
      <c r="B3945">
        <v>2003</v>
      </c>
      <c r="C3945" s="8">
        <v>0</v>
      </c>
      <c r="D3945">
        <v>0.15657389999999999</v>
      </c>
      <c r="E3945">
        <v>0.20817840000000001</v>
      </c>
      <c r="F3945">
        <v>4.8032499999999999E-2</v>
      </c>
      <c r="G3945">
        <v>1.9511000000000001</v>
      </c>
      <c r="H3945">
        <v>0.30927559999999998</v>
      </c>
      <c r="Q3945" s="10">
        <f t="shared" si="142"/>
        <v>2.2759010153350283E-3</v>
      </c>
      <c r="AI3945">
        <v>0.14642839999999999</v>
      </c>
      <c r="AJ3945">
        <f t="shared" si="141"/>
        <v>0.14642839999999999</v>
      </c>
      <c r="AO3945">
        <v>0.14642839999999999</v>
      </c>
      <c r="AR3945" s="8">
        <v>0</v>
      </c>
      <c r="AS3945">
        <v>1.9407620000000001</v>
      </c>
    </row>
    <row r="3946" spans="1:45" x14ac:dyDescent="0.25">
      <c r="A3946">
        <v>731</v>
      </c>
      <c r="B3946">
        <v>2004</v>
      </c>
      <c r="C3946" s="8">
        <v>0</v>
      </c>
      <c r="D3946">
        <v>0.13558519999999999</v>
      </c>
      <c r="E3946">
        <v>0.2031847</v>
      </c>
      <c r="F3946">
        <v>5.5071799999999997E-2</v>
      </c>
      <c r="G3946">
        <v>1.949773</v>
      </c>
      <c r="H3946">
        <v>0.30626759999999997</v>
      </c>
      <c r="Q3946" s="10">
        <f t="shared" si="142"/>
        <v>2.1490144508263241E-3</v>
      </c>
      <c r="AI3946">
        <v>0.1430225</v>
      </c>
      <c r="AJ3946">
        <f t="shared" si="141"/>
        <v>0.1430225</v>
      </c>
      <c r="AO3946">
        <v>0.1430225</v>
      </c>
      <c r="AR3946" s="8">
        <v>0</v>
      </c>
      <c r="AS3946">
        <v>1.9432430000000001</v>
      </c>
    </row>
    <row r="3947" spans="1:45" x14ac:dyDescent="0.25">
      <c r="A3947">
        <v>736</v>
      </c>
      <c r="B3947">
        <v>1995</v>
      </c>
      <c r="C3947" s="8">
        <v>0</v>
      </c>
      <c r="D3947">
        <v>0.14642839999999999</v>
      </c>
      <c r="E3947">
        <v>0.21399009999999999</v>
      </c>
      <c r="F3947">
        <v>4.3559300000000002E-2</v>
      </c>
      <c r="G3947">
        <v>1.952196</v>
      </c>
      <c r="H3947">
        <v>0.29956470000000002</v>
      </c>
      <c r="Q3947" s="10">
        <f t="shared" si="142"/>
        <v>2.311052371028177E-3</v>
      </c>
      <c r="AI3947">
        <v>0.14752299999999999</v>
      </c>
      <c r="AJ3947">
        <f t="shared" si="141"/>
        <v>0.14752299999999999</v>
      </c>
      <c r="AO3947">
        <v>0.14752299999999999</v>
      </c>
      <c r="AR3947" s="8">
        <v>0</v>
      </c>
      <c r="AS3947">
        <v>1.9511000000000001</v>
      </c>
    </row>
    <row r="3948" spans="1:45" x14ac:dyDescent="0.25">
      <c r="A3948">
        <v>739</v>
      </c>
      <c r="B3948">
        <v>1996</v>
      </c>
      <c r="C3948" s="8">
        <v>0</v>
      </c>
      <c r="D3948">
        <v>0.1430225</v>
      </c>
      <c r="E3948">
        <v>0.21240829999999999</v>
      </c>
      <c r="F3948">
        <v>5.0385800000000001E-2</v>
      </c>
      <c r="G3948">
        <v>1.953301</v>
      </c>
      <c r="H3948">
        <v>0.29507670000000003</v>
      </c>
      <c r="Q3948" s="10">
        <f t="shared" si="142"/>
        <v>2.1805444022368805E-3</v>
      </c>
      <c r="AI3948">
        <v>0.14339389999999999</v>
      </c>
      <c r="AJ3948">
        <f t="shared" si="141"/>
        <v>0.14339389999999999</v>
      </c>
      <c r="AO3948">
        <v>0.14339389999999999</v>
      </c>
      <c r="AR3948" s="8">
        <v>0</v>
      </c>
      <c r="AS3948">
        <v>1.949773</v>
      </c>
    </row>
    <row r="3949" spans="1:45" x14ac:dyDescent="0.25">
      <c r="A3949">
        <v>741</v>
      </c>
      <c r="B3949">
        <v>1997</v>
      </c>
      <c r="C3949" s="8">
        <v>0</v>
      </c>
      <c r="D3949">
        <v>0.14752299999999999</v>
      </c>
      <c r="E3949">
        <v>0.19846140000000001</v>
      </c>
      <c r="F3949">
        <v>6.0432100000000002E-2</v>
      </c>
      <c r="G3949">
        <v>1.950167</v>
      </c>
      <c r="H3949">
        <v>0.3205617</v>
      </c>
      <c r="Q3949" s="10">
        <f t="shared" si="142"/>
        <v>2.1006056322621022E-3</v>
      </c>
      <c r="AI3949">
        <v>0.1452764</v>
      </c>
      <c r="AJ3949">
        <f t="shared" si="141"/>
        <v>0.1452764</v>
      </c>
      <c r="AO3949">
        <v>0.1452764</v>
      </c>
      <c r="AR3949" s="8">
        <v>0</v>
      </c>
      <c r="AS3949">
        <v>1.952196</v>
      </c>
    </row>
    <row r="3950" spans="1:45" x14ac:dyDescent="0.25">
      <c r="A3950">
        <v>746</v>
      </c>
      <c r="B3950">
        <v>1998</v>
      </c>
      <c r="C3950" s="8">
        <v>0</v>
      </c>
      <c r="D3950">
        <v>0.14339389999999999</v>
      </c>
      <c r="E3950">
        <v>0.21496970000000001</v>
      </c>
      <c r="F3950">
        <v>6.3999299999999995E-2</v>
      </c>
      <c r="G3950">
        <v>1.9545250000000001</v>
      </c>
      <c r="H3950">
        <v>0.31569380000000002</v>
      </c>
      <c r="Q3950" s="10">
        <f t="shared" si="142"/>
        <v>1.9702215501538286E-3</v>
      </c>
      <c r="AI3950">
        <v>0.13188820000000001</v>
      </c>
      <c r="AJ3950">
        <f t="shared" si="141"/>
        <v>0.13188820000000001</v>
      </c>
      <c r="AO3950">
        <v>0.13188820000000001</v>
      </c>
      <c r="AR3950" s="8">
        <v>0</v>
      </c>
      <c r="AS3950">
        <v>1.953301</v>
      </c>
    </row>
    <row r="3951" spans="1:45" x14ac:dyDescent="0.25">
      <c r="A3951">
        <v>749</v>
      </c>
      <c r="B3951">
        <v>1999</v>
      </c>
      <c r="C3951" s="8">
        <v>0</v>
      </c>
      <c r="D3951">
        <v>0.1452764</v>
      </c>
      <c r="E3951">
        <v>0.21004120000000001</v>
      </c>
      <c r="F3951">
        <v>4.5979800000000001E-2</v>
      </c>
      <c r="G3951">
        <v>1.9336089999999999</v>
      </c>
      <c r="H3951">
        <v>0.2934872</v>
      </c>
      <c r="Q3951" s="10">
        <f t="shared" si="142"/>
        <v>2.3383185956030493E-3</v>
      </c>
      <c r="AI3951">
        <v>0.1432234</v>
      </c>
      <c r="AJ3951">
        <f t="shared" si="141"/>
        <v>0.1432234</v>
      </c>
      <c r="AO3951">
        <v>0.1432234</v>
      </c>
      <c r="AR3951" s="8">
        <v>0</v>
      </c>
      <c r="AS3951">
        <v>1.950167</v>
      </c>
    </row>
    <row r="3952" spans="1:45" x14ac:dyDescent="0.25">
      <c r="A3952">
        <v>753</v>
      </c>
      <c r="B3952">
        <v>2000</v>
      </c>
      <c r="C3952" s="8">
        <v>1</v>
      </c>
      <c r="D3952">
        <v>0.13188820000000001</v>
      </c>
      <c r="E3952">
        <v>0.19840169999999999</v>
      </c>
      <c r="F3952">
        <v>5.8866500000000002E-2</v>
      </c>
      <c r="G3952">
        <v>1.9349289999999999</v>
      </c>
      <c r="H3952">
        <v>0.29821110000000001</v>
      </c>
      <c r="Q3952" s="10">
        <f t="shared" si="142"/>
        <v>2.1356132435092039E-3</v>
      </c>
      <c r="AI3952">
        <v>0.14257139999999999</v>
      </c>
      <c r="AJ3952">
        <f t="shared" si="141"/>
        <v>0.14257139999999999</v>
      </c>
      <c r="AO3952">
        <v>0.14257139999999999</v>
      </c>
      <c r="AR3952" s="8">
        <v>0</v>
      </c>
      <c r="AS3952">
        <v>1.9545250000000001</v>
      </c>
    </row>
    <row r="3953" spans="1:45" x14ac:dyDescent="0.25">
      <c r="A3953">
        <v>755</v>
      </c>
      <c r="B3953">
        <v>2001</v>
      </c>
      <c r="C3953" s="8">
        <v>1</v>
      </c>
      <c r="D3953">
        <v>0.1432234</v>
      </c>
      <c r="E3953">
        <v>0.2077426</v>
      </c>
      <c r="F3953">
        <v>5.0890600000000001E-2</v>
      </c>
      <c r="G3953">
        <v>1.9377470000000001</v>
      </c>
      <c r="H3953">
        <v>0.2972052</v>
      </c>
      <c r="Q3953" s="10">
        <f t="shared" si="142"/>
        <v>2.244416884861006E-3</v>
      </c>
      <c r="AI3953">
        <v>0.12596640000000001</v>
      </c>
      <c r="AJ3953">
        <f t="shared" si="141"/>
        <v>0.12596640000000001</v>
      </c>
      <c r="AO3953">
        <v>0.12596640000000001</v>
      </c>
      <c r="AR3953" s="8">
        <v>0</v>
      </c>
      <c r="AS3953">
        <v>1.9336089999999999</v>
      </c>
    </row>
    <row r="3954" spans="1:45" x14ac:dyDescent="0.25">
      <c r="A3954">
        <v>758</v>
      </c>
      <c r="B3954">
        <v>1995</v>
      </c>
      <c r="C3954" s="8">
        <v>0</v>
      </c>
      <c r="D3954">
        <v>0.14257139999999999</v>
      </c>
      <c r="E3954">
        <v>0.2003595</v>
      </c>
      <c r="F3954">
        <v>5.2894999999999998E-2</v>
      </c>
      <c r="G3954">
        <v>1.9478530000000001</v>
      </c>
      <c r="H3954">
        <v>0.30542239999999998</v>
      </c>
      <c r="Q3954" s="10">
        <f t="shared" si="142"/>
        <v>2.2075909266526263E-3</v>
      </c>
      <c r="AI3954">
        <v>0.1554779</v>
      </c>
      <c r="AJ3954">
        <f t="shared" si="141"/>
        <v>0.1554779</v>
      </c>
      <c r="AO3954">
        <v>0.1554779</v>
      </c>
      <c r="AR3954" s="8">
        <v>1</v>
      </c>
      <c r="AS3954">
        <v>1.9349289999999999</v>
      </c>
    </row>
    <row r="3955" spans="1:45" x14ac:dyDescent="0.25">
      <c r="A3955">
        <v>761</v>
      </c>
      <c r="B3955">
        <v>1996</v>
      </c>
      <c r="C3955" s="8">
        <v>0</v>
      </c>
      <c r="D3955">
        <v>0.12596640000000001</v>
      </c>
      <c r="E3955">
        <v>0.2041586</v>
      </c>
      <c r="F3955">
        <v>5.5144899999999997E-2</v>
      </c>
      <c r="G3955">
        <v>1.933079</v>
      </c>
      <c r="H3955">
        <v>0.30207990000000001</v>
      </c>
      <c r="Q3955" s="10">
        <f t="shared" si="142"/>
        <v>2.1880084455610091E-3</v>
      </c>
      <c r="AI3955">
        <v>0.1454075</v>
      </c>
      <c r="AJ3955">
        <f t="shared" si="141"/>
        <v>0.1454075</v>
      </c>
      <c r="AO3955">
        <v>0.1454075</v>
      </c>
      <c r="AR3955" s="8">
        <v>1</v>
      </c>
      <c r="AS3955">
        <v>1.9377470000000001</v>
      </c>
    </row>
    <row r="3956" spans="1:45" x14ac:dyDescent="0.25">
      <c r="A3956">
        <v>763</v>
      </c>
      <c r="B3956">
        <v>1997</v>
      </c>
      <c r="C3956" s="8">
        <v>0</v>
      </c>
      <c r="D3956">
        <v>0.1554779</v>
      </c>
      <c r="E3956">
        <v>0.21272540000000001</v>
      </c>
      <c r="F3956">
        <v>3.5658000000000002E-2</v>
      </c>
      <c r="G3956">
        <v>1.9589209999999999</v>
      </c>
      <c r="H3956">
        <v>0.30232700000000001</v>
      </c>
      <c r="Q3956" s="10">
        <f t="shared" si="142"/>
        <v>2.4530876096354863E-3</v>
      </c>
      <c r="AI3956">
        <v>0.15052299999999999</v>
      </c>
      <c r="AJ3956">
        <f t="shared" si="141"/>
        <v>0.15052299999999999</v>
      </c>
      <c r="AO3956">
        <v>0.15052299999999999</v>
      </c>
      <c r="AR3956" s="8">
        <v>0</v>
      </c>
      <c r="AS3956">
        <v>1.9478530000000001</v>
      </c>
    </row>
    <row r="3957" spans="1:45" x14ac:dyDescent="0.25">
      <c r="A3957">
        <v>766</v>
      </c>
      <c r="B3957">
        <v>1998</v>
      </c>
      <c r="C3957" s="8">
        <v>0</v>
      </c>
      <c r="D3957">
        <v>0.1454075</v>
      </c>
      <c r="E3957">
        <v>0.2096489</v>
      </c>
      <c r="F3957">
        <v>4.6843900000000001E-2</v>
      </c>
      <c r="G3957">
        <v>1.94295</v>
      </c>
      <c r="H3957">
        <v>0.30142799999999997</v>
      </c>
      <c r="Q3957" s="10">
        <f t="shared" si="142"/>
        <v>2.3007102627380102E-3</v>
      </c>
      <c r="AI3957">
        <v>0.13490630000000001</v>
      </c>
      <c r="AJ3957">
        <f t="shared" si="141"/>
        <v>0.13490630000000001</v>
      </c>
      <c r="AO3957">
        <v>0.13490630000000001</v>
      </c>
      <c r="AR3957" s="8">
        <v>0</v>
      </c>
      <c r="AS3957">
        <v>1.933079</v>
      </c>
    </row>
    <row r="3958" spans="1:45" x14ac:dyDescent="0.25">
      <c r="A3958">
        <v>768</v>
      </c>
      <c r="B3958">
        <v>1999</v>
      </c>
      <c r="C3958" s="8">
        <v>0</v>
      </c>
      <c r="D3958">
        <v>0.15052299999999999</v>
      </c>
      <c r="E3958">
        <v>0.20291480000000001</v>
      </c>
      <c r="F3958">
        <v>4.8780299999999999E-2</v>
      </c>
      <c r="G3958">
        <v>1.9561329999999999</v>
      </c>
      <c r="H3958">
        <v>0.3051159</v>
      </c>
      <c r="Q3958" s="10">
        <f t="shared" si="142"/>
        <v>2.2500843781702515E-3</v>
      </c>
      <c r="AI3958">
        <v>0.13777410000000001</v>
      </c>
      <c r="AJ3958">
        <f t="shared" si="141"/>
        <v>0.13777410000000001</v>
      </c>
      <c r="AO3958">
        <v>0.13777410000000001</v>
      </c>
      <c r="AR3958" s="8">
        <v>0</v>
      </c>
      <c r="AS3958">
        <v>1.9589209999999999</v>
      </c>
    </row>
    <row r="3959" spans="1:45" x14ac:dyDescent="0.25">
      <c r="A3959">
        <v>769</v>
      </c>
      <c r="B3959">
        <v>2000</v>
      </c>
      <c r="C3959" s="8">
        <v>0</v>
      </c>
      <c r="D3959">
        <v>0.13490630000000001</v>
      </c>
      <c r="E3959">
        <v>0.21192530000000001</v>
      </c>
      <c r="F3959">
        <v>5.0885199999999998E-2</v>
      </c>
      <c r="G3959">
        <v>1.9528399999999999</v>
      </c>
      <c r="H3959">
        <v>0.30244460000000001</v>
      </c>
      <c r="Q3959" s="10">
        <f t="shared" si="142"/>
        <v>2.1775980729536164E-3</v>
      </c>
      <c r="AI3959">
        <v>0.1448535</v>
      </c>
      <c r="AJ3959">
        <f t="shared" si="141"/>
        <v>0.1448535</v>
      </c>
      <c r="AO3959">
        <v>0.1448535</v>
      </c>
      <c r="AR3959" s="8">
        <v>0</v>
      </c>
      <c r="AS3959">
        <v>1.94295</v>
      </c>
    </row>
    <row r="3960" spans="1:45" x14ac:dyDescent="0.25">
      <c r="A3960">
        <v>772</v>
      </c>
      <c r="B3960">
        <v>2001</v>
      </c>
      <c r="C3960" s="8">
        <v>0</v>
      </c>
      <c r="D3960">
        <v>0.13777410000000001</v>
      </c>
      <c r="E3960">
        <v>0.19869729999999999</v>
      </c>
      <c r="F3960">
        <v>4.8187899999999999E-2</v>
      </c>
      <c r="G3960">
        <v>1.937425</v>
      </c>
      <c r="H3960">
        <v>0.31094250000000001</v>
      </c>
      <c r="Q3960" s="10">
        <f t="shared" si="142"/>
        <v>2.3393893598042587E-3</v>
      </c>
      <c r="AI3960">
        <v>0.1401106</v>
      </c>
      <c r="AJ3960">
        <f t="shared" si="141"/>
        <v>0.1401106</v>
      </c>
      <c r="AO3960">
        <v>0.1401106</v>
      </c>
      <c r="AR3960" s="8">
        <v>0</v>
      </c>
      <c r="AS3960">
        <v>1.9561329999999999</v>
      </c>
    </row>
    <row r="3961" spans="1:45" x14ac:dyDescent="0.25">
      <c r="A3961">
        <v>774</v>
      </c>
      <c r="B3961">
        <v>2002</v>
      </c>
      <c r="C3961" s="8">
        <v>0</v>
      </c>
      <c r="D3961">
        <v>0.1448535</v>
      </c>
      <c r="E3961">
        <v>0.2102736</v>
      </c>
      <c r="F3961">
        <v>4.2152200000000001E-2</v>
      </c>
      <c r="G3961">
        <v>1.9476869999999999</v>
      </c>
      <c r="H3961">
        <v>0.30723210000000001</v>
      </c>
      <c r="Q3961" s="10">
        <f t="shared" si="142"/>
        <v>2.3763872746757043E-3</v>
      </c>
      <c r="AI3961">
        <v>0.1461161</v>
      </c>
      <c r="AJ3961">
        <f t="shared" si="141"/>
        <v>0.1461161</v>
      </c>
      <c r="AO3961">
        <v>0.1461161</v>
      </c>
      <c r="AR3961" s="8">
        <v>0</v>
      </c>
      <c r="AS3961">
        <v>1.9528399999999999</v>
      </c>
    </row>
    <row r="3962" spans="1:45" x14ac:dyDescent="0.25">
      <c r="A3962">
        <v>777</v>
      </c>
      <c r="B3962">
        <v>2003</v>
      </c>
      <c r="C3962" s="8">
        <v>0</v>
      </c>
      <c r="D3962">
        <v>0.1401106</v>
      </c>
      <c r="E3962">
        <v>0.22347539999999999</v>
      </c>
      <c r="F3962">
        <v>5.8520200000000001E-2</v>
      </c>
      <c r="G3962">
        <v>1.9434340000000001</v>
      </c>
      <c r="H3962">
        <v>0.30637999999999999</v>
      </c>
      <c r="Q3962" s="10">
        <f t="shared" si="142"/>
        <v>2.0545640559879561E-3</v>
      </c>
      <c r="AI3962">
        <v>0.14116590000000001</v>
      </c>
      <c r="AJ3962">
        <f t="shared" si="141"/>
        <v>0.14116590000000001</v>
      </c>
      <c r="AO3962">
        <v>0.14116590000000001</v>
      </c>
      <c r="AR3962" s="8">
        <v>0</v>
      </c>
      <c r="AS3962">
        <v>1.937425</v>
      </c>
    </row>
    <row r="3963" spans="1:45" x14ac:dyDescent="0.25">
      <c r="A3963">
        <v>781</v>
      </c>
      <c r="B3963">
        <v>2004</v>
      </c>
      <c r="C3963" s="8">
        <v>0</v>
      </c>
      <c r="D3963">
        <v>0.1461161</v>
      </c>
      <c r="E3963">
        <v>0.22368689999999999</v>
      </c>
      <c r="F3963">
        <v>4.4920000000000002E-2</v>
      </c>
      <c r="G3963">
        <v>1.9385060000000001</v>
      </c>
      <c r="H3963">
        <v>0.3134923</v>
      </c>
      <c r="Q3963" s="10">
        <f t="shared" si="142"/>
        <v>2.323384772858855E-3</v>
      </c>
      <c r="AI3963">
        <v>0.13940459999999999</v>
      </c>
      <c r="AJ3963">
        <f t="shared" si="141"/>
        <v>0.13940459999999999</v>
      </c>
      <c r="AO3963">
        <v>0.13940459999999999</v>
      </c>
      <c r="AR3963" s="8">
        <v>0</v>
      </c>
      <c r="AS3963">
        <v>1.9476869999999999</v>
      </c>
    </row>
    <row r="3964" spans="1:45" x14ac:dyDescent="0.25">
      <c r="A3964">
        <v>782</v>
      </c>
      <c r="B3964">
        <v>1995</v>
      </c>
      <c r="C3964" s="8">
        <v>0</v>
      </c>
      <c r="D3964">
        <v>0.14116590000000001</v>
      </c>
      <c r="E3964">
        <v>0.21814720000000001</v>
      </c>
      <c r="F3964">
        <v>5.56088E-2</v>
      </c>
      <c r="G3964">
        <v>1.950674</v>
      </c>
      <c r="H3964">
        <v>0.30534719999999999</v>
      </c>
      <c r="Q3964" s="10">
        <f t="shared" si="142"/>
        <v>2.0945088242765911E-3</v>
      </c>
      <c r="AI3964">
        <v>0.1551786</v>
      </c>
      <c r="AJ3964">
        <f t="shared" si="141"/>
        <v>0.1551786</v>
      </c>
      <c r="AO3964">
        <v>0.1551786</v>
      </c>
      <c r="AR3964" s="8">
        <v>0</v>
      </c>
      <c r="AS3964">
        <v>1.9434340000000001</v>
      </c>
    </row>
    <row r="3965" spans="1:45" x14ac:dyDescent="0.25">
      <c r="A3965">
        <v>782</v>
      </c>
      <c r="B3965">
        <v>1996</v>
      </c>
      <c r="C3965" s="8">
        <v>0</v>
      </c>
      <c r="D3965">
        <v>0.13940459999999999</v>
      </c>
      <c r="E3965">
        <v>0.21400259999999999</v>
      </c>
      <c r="F3965">
        <v>6.0391399999999998E-2</v>
      </c>
      <c r="G3965">
        <v>1.9438070000000001</v>
      </c>
      <c r="H3965">
        <v>0.29832379999999997</v>
      </c>
      <c r="Q3965" s="10">
        <f t="shared" si="142"/>
        <v>2.0401113893476035E-3</v>
      </c>
      <c r="AI3965">
        <v>0.14006350000000001</v>
      </c>
      <c r="AJ3965">
        <f t="shared" si="141"/>
        <v>0.14006350000000001</v>
      </c>
      <c r="AO3965">
        <v>0.14006350000000001</v>
      </c>
      <c r="AR3965" s="8">
        <v>0</v>
      </c>
      <c r="AS3965">
        <v>1.9385060000000001</v>
      </c>
    </row>
    <row r="3966" spans="1:45" x14ac:dyDescent="0.25">
      <c r="A3966">
        <v>786</v>
      </c>
      <c r="B3966">
        <v>1997</v>
      </c>
      <c r="C3966" s="8">
        <v>0</v>
      </c>
      <c r="D3966">
        <v>0.1551786</v>
      </c>
      <c r="E3966">
        <v>0.2172222</v>
      </c>
      <c r="F3966">
        <v>4.5847300000000001E-2</v>
      </c>
      <c r="G3966">
        <v>1.9520649999999999</v>
      </c>
      <c r="H3966">
        <v>0.31807809999999997</v>
      </c>
      <c r="Q3966" s="10">
        <f t="shared" si="142"/>
        <v>2.2933812266820348E-3</v>
      </c>
      <c r="AI3966">
        <v>0.14648739999999999</v>
      </c>
      <c r="AJ3966">
        <f t="shared" si="141"/>
        <v>0.14648739999999999</v>
      </c>
      <c r="AO3966">
        <v>0.14648739999999999</v>
      </c>
      <c r="AR3966" s="8">
        <v>0</v>
      </c>
      <c r="AS3966">
        <v>1.950674</v>
      </c>
    </row>
    <row r="3967" spans="1:45" x14ac:dyDescent="0.25">
      <c r="A3967">
        <v>787</v>
      </c>
      <c r="B3967">
        <v>1998</v>
      </c>
      <c r="C3967" s="8">
        <v>0</v>
      </c>
      <c r="D3967">
        <v>0.14006350000000001</v>
      </c>
      <c r="E3967">
        <v>0.21141470000000001</v>
      </c>
      <c r="F3967">
        <v>4.7954400000000001E-2</v>
      </c>
      <c r="G3967">
        <v>1.9386030000000001</v>
      </c>
      <c r="H3967">
        <v>0.29797050000000003</v>
      </c>
      <c r="Q3967" s="10">
        <f t="shared" si="142"/>
        <v>2.2804160585512883E-3</v>
      </c>
      <c r="AI3967">
        <v>0.38147160000000002</v>
      </c>
      <c r="AJ3967">
        <f t="shared" si="141"/>
        <v>0.38147160000000002</v>
      </c>
      <c r="AO3967">
        <v>0.38147160000000002</v>
      </c>
      <c r="AR3967" s="8">
        <v>0</v>
      </c>
      <c r="AS3967">
        <v>1.9438070000000001</v>
      </c>
    </row>
    <row r="3968" spans="1:45" x14ac:dyDescent="0.25">
      <c r="A3968">
        <v>791</v>
      </c>
      <c r="B3968">
        <v>1995</v>
      </c>
      <c r="C3968" s="8">
        <v>0</v>
      </c>
      <c r="D3968">
        <v>0.14648739999999999</v>
      </c>
      <c r="E3968">
        <v>0.19967589999999999</v>
      </c>
      <c r="F3968">
        <v>6.1320300000000001E-2</v>
      </c>
      <c r="G3968">
        <v>1.9317329999999999</v>
      </c>
      <c r="H3968">
        <v>0.31004660000000001</v>
      </c>
      <c r="Q3968" s="10">
        <f t="shared" si="142"/>
        <v>2.1292229312416351E-3</v>
      </c>
      <c r="AI3968">
        <v>0.1737504</v>
      </c>
      <c r="AJ3968">
        <f t="shared" si="141"/>
        <v>0.1737504</v>
      </c>
      <c r="AO3968">
        <v>0.1737504</v>
      </c>
      <c r="AR3968" s="8">
        <v>0</v>
      </c>
      <c r="AS3968">
        <v>1.9520649999999999</v>
      </c>
    </row>
    <row r="3969" spans="1:45" x14ac:dyDescent="0.25">
      <c r="A3969">
        <v>791</v>
      </c>
      <c r="B3969">
        <v>1997</v>
      </c>
      <c r="C3969" s="8">
        <v>1</v>
      </c>
      <c r="D3969">
        <v>0.38147160000000002</v>
      </c>
      <c r="E3969">
        <v>9.2574400000000001E-2</v>
      </c>
      <c r="F3969">
        <v>5.6434900000000003E-2</v>
      </c>
      <c r="G3969">
        <v>6.197883</v>
      </c>
      <c r="H3969">
        <v>0.28487440000000003</v>
      </c>
      <c r="Q3969" s="10">
        <f t="shared" si="142"/>
        <v>3.1383949893933539E-6</v>
      </c>
      <c r="AI3969">
        <v>0.146596</v>
      </c>
      <c r="AJ3969">
        <f t="shared" si="141"/>
        <v>0.146596</v>
      </c>
      <c r="AO3969">
        <v>0.146596</v>
      </c>
      <c r="AR3969" s="8">
        <v>0</v>
      </c>
      <c r="AS3969">
        <v>1.9386030000000001</v>
      </c>
    </row>
    <row r="3970" spans="1:45" x14ac:dyDescent="0.25">
      <c r="A3970">
        <v>793</v>
      </c>
      <c r="B3970">
        <v>1998</v>
      </c>
      <c r="C3970" s="8">
        <v>1</v>
      </c>
      <c r="D3970">
        <v>0.1737504</v>
      </c>
      <c r="E3970">
        <v>-0.2126392</v>
      </c>
      <c r="F3970">
        <v>-1.4288199999999999E-2</v>
      </c>
      <c r="G3970">
        <v>0.25286120000000001</v>
      </c>
      <c r="H3970">
        <v>0.18170049999999999</v>
      </c>
      <c r="Q3970" s="10">
        <f t="shared" si="142"/>
        <v>8.7995770823136157E-2</v>
      </c>
      <c r="AI3970">
        <v>0.2492964</v>
      </c>
      <c r="AJ3970">
        <f t="shared" si="141"/>
        <v>0.2492964</v>
      </c>
      <c r="AO3970">
        <v>0.2492964</v>
      </c>
      <c r="AR3970" s="8">
        <v>0</v>
      </c>
      <c r="AS3970">
        <v>1.9317329999999999</v>
      </c>
    </row>
    <row r="3971" spans="1:45" x14ac:dyDescent="0.25">
      <c r="A3971">
        <v>794</v>
      </c>
      <c r="B3971">
        <v>1999</v>
      </c>
      <c r="C3971" s="8">
        <v>1</v>
      </c>
      <c r="D3971">
        <v>0.146596</v>
      </c>
      <c r="E3971">
        <v>-0.35101759999999999</v>
      </c>
      <c r="F3971">
        <v>1.9618099999999999E-2</v>
      </c>
      <c r="G3971">
        <v>0.1599351</v>
      </c>
      <c r="H3971">
        <v>0.22808210000000001</v>
      </c>
      <c r="Q3971" s="10">
        <f t="shared" si="142"/>
        <v>9.5973043820973075E-2</v>
      </c>
      <c r="AI3971">
        <v>-2.0411229999999998</v>
      </c>
      <c r="AJ3971">
        <f t="shared" si="141"/>
        <v>-0.113345184</v>
      </c>
      <c r="AO3971">
        <v>-0.113345184</v>
      </c>
      <c r="AR3971" s="8">
        <v>1</v>
      </c>
      <c r="AS3971">
        <v>6.197883</v>
      </c>
    </row>
    <row r="3972" spans="1:45" x14ac:dyDescent="0.25">
      <c r="A3972">
        <v>795</v>
      </c>
      <c r="B3972">
        <v>2001</v>
      </c>
      <c r="C3972" s="8">
        <v>1</v>
      </c>
      <c r="D3972">
        <v>0.2492964</v>
      </c>
      <c r="E3972">
        <v>-0.82125309999999996</v>
      </c>
      <c r="F3972">
        <v>-1.05019E-2</v>
      </c>
      <c r="G3972">
        <v>4.57112E-2</v>
      </c>
      <c r="H3972">
        <v>0.2077814</v>
      </c>
      <c r="Q3972" s="10">
        <f t="shared" si="142"/>
        <v>0.2485942379497923</v>
      </c>
      <c r="AI3972">
        <v>9.7675100000000001E-2</v>
      </c>
      <c r="AJ3972">
        <f t="shared" si="141"/>
        <v>9.7675100000000001E-2</v>
      </c>
      <c r="AO3972">
        <v>9.7675100000000001E-2</v>
      </c>
      <c r="AR3972" s="8">
        <v>1</v>
      </c>
      <c r="AS3972">
        <v>0.25286120000000001</v>
      </c>
    </row>
    <row r="3973" spans="1:45" x14ac:dyDescent="0.25">
      <c r="A3973">
        <v>796</v>
      </c>
      <c r="B3973">
        <v>1998</v>
      </c>
      <c r="C3973" s="8">
        <v>1</v>
      </c>
      <c r="D3973">
        <v>-2.0411229999999998</v>
      </c>
      <c r="E3973">
        <v>-2.4018609999999998</v>
      </c>
      <c r="F3973">
        <v>-0.59182129999999999</v>
      </c>
      <c r="G3973">
        <v>8.2829600000000003E-2</v>
      </c>
      <c r="H3973">
        <v>0.1204012</v>
      </c>
      <c r="Q3973" s="10">
        <f t="shared" si="142"/>
        <v>0.99167128006951044</v>
      </c>
      <c r="AI3973">
        <v>0.20525060000000001</v>
      </c>
      <c r="AJ3973">
        <f t="shared" ref="AJ3973:AJ4003" si="143">MAX(MIN(AI3973,AM$5),AM$4)</f>
        <v>0.20525060000000001</v>
      </c>
      <c r="AO3973">
        <v>0.20525060000000001</v>
      </c>
      <c r="AR3973" s="8">
        <v>1</v>
      </c>
      <c r="AS3973">
        <v>0.1599351</v>
      </c>
    </row>
    <row r="3974" spans="1:45" x14ac:dyDescent="0.25">
      <c r="A3974">
        <v>797</v>
      </c>
      <c r="B3974">
        <v>1999</v>
      </c>
      <c r="C3974" s="8">
        <v>1</v>
      </c>
      <c r="D3974">
        <v>9.7675100000000001E-2</v>
      </c>
      <c r="E3974">
        <v>-2.2580209999999998</v>
      </c>
      <c r="F3974">
        <v>6.6624900000000001E-2</v>
      </c>
      <c r="G3974">
        <v>4.5649700000000001E-2</v>
      </c>
      <c r="H3974">
        <v>0.152202</v>
      </c>
      <c r="Q3974" s="10">
        <f t="shared" si="142"/>
        <v>0.56681003441228561</v>
      </c>
      <c r="AI3974">
        <v>4.3944499999999997E-2</v>
      </c>
      <c r="AJ3974">
        <f t="shared" si="143"/>
        <v>4.3944499999999997E-2</v>
      </c>
      <c r="AO3974">
        <v>4.3944499999999997E-2</v>
      </c>
      <c r="AR3974" s="8">
        <v>1</v>
      </c>
      <c r="AS3974">
        <v>4.57112E-2</v>
      </c>
    </row>
    <row r="3975" spans="1:45" x14ac:dyDescent="0.25">
      <c r="A3975">
        <v>798</v>
      </c>
      <c r="B3975">
        <v>2000</v>
      </c>
      <c r="C3975" s="8">
        <v>1</v>
      </c>
      <c r="D3975">
        <v>0.20525060000000001</v>
      </c>
      <c r="E3975">
        <v>-2.0273180000000002</v>
      </c>
      <c r="F3975">
        <v>9.6336699999999997E-2</v>
      </c>
      <c r="G3975">
        <v>9.9910799999999994E-2</v>
      </c>
      <c r="H3975">
        <v>0.14711089999999999</v>
      </c>
      <c r="Q3975" s="10">
        <f t="shared" ref="Q3975:Q4005" si="144">1/(1+EXP(-(J$6+SUMPRODUCT(K$6:O$6,D3975:H3975))))</f>
        <v>0.41354924392902609</v>
      </c>
      <c r="AI3975">
        <v>-0.2525732</v>
      </c>
      <c r="AJ3975">
        <f t="shared" si="143"/>
        <v>-0.113345184</v>
      </c>
      <c r="AO3975">
        <v>-0.113345184</v>
      </c>
      <c r="AR3975" s="8">
        <v>1</v>
      </c>
      <c r="AS3975">
        <v>8.2829600000000003E-2</v>
      </c>
    </row>
    <row r="3976" spans="1:45" x14ac:dyDescent="0.25">
      <c r="A3976">
        <v>799</v>
      </c>
      <c r="B3976">
        <v>2001</v>
      </c>
      <c r="C3976" s="8">
        <v>1</v>
      </c>
      <c r="D3976">
        <v>4.3944499999999997E-2</v>
      </c>
      <c r="E3976">
        <v>-1.508527</v>
      </c>
      <c r="F3976">
        <v>3.7106699999999999E-2</v>
      </c>
      <c r="G3976">
        <v>3.7465100000000001E-2</v>
      </c>
      <c r="H3976">
        <v>4.7139300000000002E-2</v>
      </c>
      <c r="Q3976" s="10">
        <f t="shared" si="144"/>
        <v>0.34093140845047742</v>
      </c>
      <c r="AI3976">
        <v>0.32361960000000001</v>
      </c>
      <c r="AJ3976">
        <f t="shared" si="143"/>
        <v>0.32361960000000001</v>
      </c>
      <c r="AO3976">
        <v>0.32361960000000001</v>
      </c>
      <c r="AR3976" s="8">
        <v>1</v>
      </c>
      <c r="AS3976">
        <v>4.5649700000000001E-2</v>
      </c>
    </row>
    <row r="3977" spans="1:45" x14ac:dyDescent="0.25">
      <c r="A3977">
        <v>800</v>
      </c>
      <c r="B3977">
        <v>2002</v>
      </c>
      <c r="C3977" s="8">
        <v>1</v>
      </c>
      <c r="D3977">
        <v>-0.2525732</v>
      </c>
      <c r="E3977">
        <v>-1.382541</v>
      </c>
      <c r="F3977">
        <v>3.3042500000000002E-2</v>
      </c>
      <c r="G3977">
        <v>4.6837700000000003E-2</v>
      </c>
      <c r="H3977">
        <v>4.1728599999999998E-2</v>
      </c>
      <c r="Q3977" s="10">
        <f t="shared" si="144"/>
        <v>0.27868633089167311</v>
      </c>
      <c r="AI3977">
        <v>-2.0382E-3</v>
      </c>
      <c r="AJ3977">
        <f t="shared" si="143"/>
        <v>-2.0382E-3</v>
      </c>
      <c r="AO3977">
        <v>-2.0382E-3</v>
      </c>
      <c r="AR3977" s="8">
        <v>1</v>
      </c>
      <c r="AS3977">
        <v>9.9910799999999994E-2</v>
      </c>
    </row>
    <row r="3978" spans="1:45" x14ac:dyDescent="0.25">
      <c r="A3978">
        <v>801</v>
      </c>
      <c r="B3978">
        <v>1998</v>
      </c>
      <c r="C3978" s="8">
        <v>1</v>
      </c>
      <c r="D3978">
        <v>0.32361960000000001</v>
      </c>
      <c r="E3978">
        <v>0.1141382</v>
      </c>
      <c r="F3978">
        <v>3.1479399999999998E-2</v>
      </c>
      <c r="G3978">
        <v>5.5736000000000001E-2</v>
      </c>
      <c r="H3978">
        <v>0.76675749999999998</v>
      </c>
      <c r="Q3978" s="10">
        <f t="shared" si="144"/>
        <v>8.0115390847116053E-2</v>
      </c>
      <c r="AI3978">
        <v>3.06512E-2</v>
      </c>
      <c r="AJ3978">
        <f t="shared" si="143"/>
        <v>3.06512E-2</v>
      </c>
      <c r="AO3978">
        <v>3.06512E-2</v>
      </c>
      <c r="AR3978" s="8">
        <v>1</v>
      </c>
      <c r="AS3978">
        <v>3.7465100000000001E-2</v>
      </c>
    </row>
    <row r="3979" spans="1:45" x14ac:dyDescent="0.25">
      <c r="A3979">
        <v>802</v>
      </c>
      <c r="B3979">
        <v>1999</v>
      </c>
      <c r="C3979" s="8">
        <v>1</v>
      </c>
      <c r="D3979">
        <v>-2.0382E-3</v>
      </c>
      <c r="E3979">
        <v>-0.23680109999999999</v>
      </c>
      <c r="F3979">
        <v>-2.27902E-2</v>
      </c>
      <c r="G3979">
        <v>0.4122499</v>
      </c>
      <c r="H3979">
        <v>0.3472654</v>
      </c>
      <c r="Q3979" s="10">
        <f t="shared" si="144"/>
        <v>7.8749603589156808E-2</v>
      </c>
      <c r="AI3979">
        <v>3.0484399999999998E-2</v>
      </c>
      <c r="AJ3979">
        <f t="shared" si="143"/>
        <v>3.0484399999999998E-2</v>
      </c>
      <c r="AO3979">
        <v>3.0484399999999998E-2</v>
      </c>
      <c r="AR3979" s="8">
        <v>1</v>
      </c>
      <c r="AS3979">
        <v>4.6837700000000003E-2</v>
      </c>
    </row>
    <row r="3980" spans="1:45" x14ac:dyDescent="0.25">
      <c r="A3980">
        <v>803</v>
      </c>
      <c r="B3980">
        <v>1997</v>
      </c>
      <c r="C3980" s="8">
        <v>1</v>
      </c>
      <c r="D3980">
        <v>3.06512E-2</v>
      </c>
      <c r="E3980">
        <v>-0.3071643</v>
      </c>
      <c r="F3980">
        <v>4.9164899999999997E-2</v>
      </c>
      <c r="G3980">
        <v>0.3450511</v>
      </c>
      <c r="H3980">
        <v>0.165355</v>
      </c>
      <c r="Q3980" s="10">
        <f t="shared" si="144"/>
        <v>5.0940077529792946E-2</v>
      </c>
      <c r="AI3980">
        <v>4.9805500000000003E-2</v>
      </c>
      <c r="AJ3980">
        <f t="shared" si="143"/>
        <v>4.9805500000000003E-2</v>
      </c>
      <c r="AO3980">
        <v>4.9805500000000003E-2</v>
      </c>
      <c r="AR3980" s="8">
        <v>1</v>
      </c>
      <c r="AS3980">
        <v>5.5736000000000001E-2</v>
      </c>
    </row>
    <row r="3981" spans="1:45" x14ac:dyDescent="0.25">
      <c r="A3981">
        <v>804</v>
      </c>
      <c r="B3981">
        <v>1998</v>
      </c>
      <c r="C3981" s="8">
        <v>1</v>
      </c>
      <c r="D3981">
        <v>3.0484399999999998E-2</v>
      </c>
      <c r="E3981">
        <v>-0.3930804</v>
      </c>
      <c r="F3981">
        <v>4.1598599999999999E-2</v>
      </c>
      <c r="G3981">
        <v>0.1243332</v>
      </c>
      <c r="H3981">
        <v>0.16745409999999999</v>
      </c>
      <c r="Q3981" s="10">
        <f t="shared" si="144"/>
        <v>8.4215014660000129E-2</v>
      </c>
      <c r="AI3981">
        <v>2.0341100000000001E-2</v>
      </c>
      <c r="AJ3981">
        <f t="shared" si="143"/>
        <v>2.0341100000000001E-2</v>
      </c>
      <c r="AO3981">
        <v>2.0341100000000001E-2</v>
      </c>
      <c r="AR3981" s="8">
        <v>1</v>
      </c>
      <c r="AS3981">
        <v>0.4122499</v>
      </c>
    </row>
    <row r="3982" spans="1:45" x14ac:dyDescent="0.25">
      <c r="A3982">
        <v>805</v>
      </c>
      <c r="B3982">
        <v>1999</v>
      </c>
      <c r="C3982" s="8">
        <v>1</v>
      </c>
      <c r="D3982">
        <v>4.9805500000000003E-2</v>
      </c>
      <c r="E3982">
        <v>-0.91765739999999996</v>
      </c>
      <c r="F3982">
        <v>4.3266899999999997E-2</v>
      </c>
      <c r="G3982">
        <v>4.7632500000000001E-2</v>
      </c>
      <c r="H3982">
        <v>0.232243</v>
      </c>
      <c r="Q3982" s="10">
        <f t="shared" si="144"/>
        <v>0.18745689326185869</v>
      </c>
      <c r="AI3982">
        <v>0.13586200000000001</v>
      </c>
      <c r="AJ3982">
        <f t="shared" si="143"/>
        <v>0.13586200000000001</v>
      </c>
      <c r="AO3982">
        <v>0.13586200000000001</v>
      </c>
      <c r="AR3982" s="8">
        <v>1</v>
      </c>
      <c r="AS3982">
        <v>0.3450511</v>
      </c>
    </row>
    <row r="3983" spans="1:45" x14ac:dyDescent="0.25">
      <c r="A3983">
        <v>806</v>
      </c>
      <c r="B3983">
        <v>2000</v>
      </c>
      <c r="C3983" s="8">
        <v>1</v>
      </c>
      <c r="D3983">
        <v>2.0341100000000001E-2</v>
      </c>
      <c r="E3983">
        <v>-0.98977139999999997</v>
      </c>
      <c r="F3983">
        <v>4.7659100000000003E-2</v>
      </c>
      <c r="G3983">
        <v>3.1556599999999997E-2</v>
      </c>
      <c r="H3983">
        <v>0.20943929999999999</v>
      </c>
      <c r="Q3983" s="10">
        <f t="shared" si="144"/>
        <v>0.19819379672628312</v>
      </c>
      <c r="AI3983">
        <v>0.17956050000000001</v>
      </c>
      <c r="AJ3983">
        <f t="shared" si="143"/>
        <v>0.17956050000000001</v>
      </c>
      <c r="AO3983">
        <v>0.17956050000000001</v>
      </c>
      <c r="AR3983" s="8">
        <v>1</v>
      </c>
      <c r="AS3983">
        <v>0.1243332</v>
      </c>
    </row>
    <row r="3984" spans="1:45" x14ac:dyDescent="0.25">
      <c r="A3984">
        <v>809</v>
      </c>
      <c r="B3984">
        <v>2001</v>
      </c>
      <c r="C3984" s="8">
        <v>1</v>
      </c>
      <c r="D3984">
        <v>0.13586200000000001</v>
      </c>
      <c r="E3984">
        <v>-0.30496040000000002</v>
      </c>
      <c r="F3984">
        <v>5.32725E-2</v>
      </c>
      <c r="G3984">
        <v>4.9464500000000002E-2</v>
      </c>
      <c r="H3984">
        <v>0.20796619999999999</v>
      </c>
      <c r="Q3984" s="10">
        <f t="shared" si="144"/>
        <v>8.1672815498216395E-2</v>
      </c>
      <c r="AI3984">
        <v>3.3396000000000002E-2</v>
      </c>
      <c r="AJ3984">
        <f t="shared" si="143"/>
        <v>3.3396000000000002E-2</v>
      </c>
      <c r="AO3984">
        <v>3.3396000000000002E-2</v>
      </c>
      <c r="AR3984" s="8">
        <v>1</v>
      </c>
      <c r="AS3984">
        <v>4.7632500000000001E-2</v>
      </c>
    </row>
    <row r="3985" spans="1:45" x14ac:dyDescent="0.25">
      <c r="A3985">
        <v>810</v>
      </c>
      <c r="B3985">
        <v>1999</v>
      </c>
      <c r="C3985" s="8">
        <v>1</v>
      </c>
      <c r="D3985">
        <v>0.17956050000000001</v>
      </c>
      <c r="E3985">
        <v>-2.22626E-2</v>
      </c>
      <c r="F3985">
        <v>2.50937E-2</v>
      </c>
      <c r="G3985">
        <v>0.27645599999999998</v>
      </c>
      <c r="H3985">
        <v>0.64183299999999999</v>
      </c>
      <c r="Q3985" s="10">
        <f t="shared" si="144"/>
        <v>6.4150382575032375E-2</v>
      </c>
      <c r="AI3985">
        <v>-0.13360340000000001</v>
      </c>
      <c r="AJ3985">
        <f t="shared" si="143"/>
        <v>-0.113345184</v>
      </c>
      <c r="AO3985">
        <v>-0.113345184</v>
      </c>
      <c r="AR3985" s="8">
        <v>1</v>
      </c>
      <c r="AS3985">
        <v>3.1556599999999997E-2</v>
      </c>
    </row>
    <row r="3986" spans="1:45" x14ac:dyDescent="0.25">
      <c r="A3986">
        <v>811</v>
      </c>
      <c r="B3986">
        <v>2001</v>
      </c>
      <c r="C3986" s="8">
        <v>1</v>
      </c>
      <c r="D3986">
        <v>3.3396000000000002E-2</v>
      </c>
      <c r="E3986">
        <v>-0.30283339999999997</v>
      </c>
      <c r="F3986">
        <v>1.0686000000000001E-3</v>
      </c>
      <c r="G3986">
        <v>0.24321580000000001</v>
      </c>
      <c r="H3986">
        <v>0.8027976</v>
      </c>
      <c r="Q3986" s="10">
        <f t="shared" si="144"/>
        <v>0.12047539333304154</v>
      </c>
      <c r="AI3986">
        <v>0.39794200000000002</v>
      </c>
      <c r="AJ3986">
        <f t="shared" si="143"/>
        <v>0.39794200000000002</v>
      </c>
      <c r="AO3986">
        <v>0.39794200000000002</v>
      </c>
      <c r="AR3986" s="8">
        <v>1</v>
      </c>
      <c r="AS3986">
        <v>4.9464500000000002E-2</v>
      </c>
    </row>
    <row r="3987" spans="1:45" x14ac:dyDescent="0.25">
      <c r="A3987">
        <v>812</v>
      </c>
      <c r="B3987">
        <v>1997</v>
      </c>
      <c r="C3987" s="8">
        <v>1</v>
      </c>
      <c r="D3987">
        <v>-0.13360340000000001</v>
      </c>
      <c r="E3987">
        <v>-0.30906080000000002</v>
      </c>
      <c r="F3987">
        <v>3.85736E-2</v>
      </c>
      <c r="G3987">
        <v>0.1660616</v>
      </c>
      <c r="H3987">
        <v>0.52703420000000001</v>
      </c>
      <c r="Q3987" s="10">
        <f t="shared" si="144"/>
        <v>8.3475673444087198E-2</v>
      </c>
      <c r="AI3987">
        <v>-7.8245099999999998E-2</v>
      </c>
      <c r="AJ3987">
        <f t="shared" si="143"/>
        <v>-7.8245099999999998E-2</v>
      </c>
      <c r="AO3987">
        <v>-7.8245099999999998E-2</v>
      </c>
      <c r="AR3987" s="8">
        <v>1</v>
      </c>
      <c r="AS3987">
        <v>0.27645599999999998</v>
      </c>
    </row>
    <row r="3988" spans="1:45" x14ac:dyDescent="0.25">
      <c r="A3988">
        <v>813</v>
      </c>
      <c r="B3988">
        <v>1999</v>
      </c>
      <c r="C3988" s="8">
        <v>1</v>
      </c>
      <c r="D3988">
        <v>0.39794200000000002</v>
      </c>
      <c r="E3988">
        <v>-4.4470500000000003E-2</v>
      </c>
      <c r="F3988">
        <v>6.5156599999999995E-2</v>
      </c>
      <c r="G3988">
        <v>5.6160799999999997E-2</v>
      </c>
      <c r="H3988">
        <v>0.76280650000000005</v>
      </c>
      <c r="Q3988" s="10">
        <f t="shared" si="144"/>
        <v>7.9301719650267166E-2</v>
      </c>
      <c r="AI3988">
        <v>-0.1218887</v>
      </c>
      <c r="AJ3988">
        <f t="shared" si="143"/>
        <v>-0.113345184</v>
      </c>
      <c r="AO3988">
        <v>-0.113345184</v>
      </c>
      <c r="AR3988" s="8">
        <v>1</v>
      </c>
      <c r="AS3988">
        <v>0.24321580000000001</v>
      </c>
    </row>
    <row r="3989" spans="1:45" x14ac:dyDescent="0.25">
      <c r="A3989">
        <v>814</v>
      </c>
      <c r="B3989">
        <v>1997</v>
      </c>
      <c r="C3989" s="8">
        <v>1</v>
      </c>
      <c r="D3989">
        <v>-7.8245099999999998E-2</v>
      </c>
      <c r="E3989">
        <v>-0.1172523</v>
      </c>
      <c r="F3989">
        <v>3.62472E-2</v>
      </c>
      <c r="G3989">
        <v>0.22578960000000001</v>
      </c>
      <c r="H3989">
        <v>0.31974970000000003</v>
      </c>
      <c r="Q3989" s="10">
        <f t="shared" si="144"/>
        <v>5.4319658281523665E-2</v>
      </c>
      <c r="AI3989">
        <v>-0.18463109999999999</v>
      </c>
      <c r="AJ3989">
        <f t="shared" si="143"/>
        <v>-0.113345184</v>
      </c>
      <c r="AO3989">
        <v>-0.113345184</v>
      </c>
      <c r="AR3989" s="8">
        <v>1</v>
      </c>
      <c r="AS3989">
        <v>0.1660616</v>
      </c>
    </row>
    <row r="3990" spans="1:45" x14ac:dyDescent="0.25">
      <c r="A3990">
        <v>815</v>
      </c>
      <c r="B3990">
        <v>1998</v>
      </c>
      <c r="C3990" s="8">
        <v>1</v>
      </c>
      <c r="D3990">
        <v>-0.1218887</v>
      </c>
      <c r="E3990">
        <v>-0.1943018</v>
      </c>
      <c r="F3990">
        <v>2.1767100000000001E-2</v>
      </c>
      <c r="G3990">
        <v>0.14646219999999999</v>
      </c>
      <c r="H3990">
        <v>0.3162027</v>
      </c>
      <c r="Q3990" s="10">
        <f t="shared" si="144"/>
        <v>7.425953151686901E-2</v>
      </c>
      <c r="AI3990">
        <v>0.22941810000000001</v>
      </c>
      <c r="AJ3990">
        <f t="shared" si="143"/>
        <v>0.22941810000000001</v>
      </c>
      <c r="AO3990">
        <v>0.22941810000000001</v>
      </c>
      <c r="AR3990" s="8">
        <v>1</v>
      </c>
      <c r="AS3990">
        <v>5.6160799999999997E-2</v>
      </c>
    </row>
    <row r="3991" spans="1:45" x14ac:dyDescent="0.25">
      <c r="A3991">
        <v>816</v>
      </c>
      <c r="B3991">
        <v>1999</v>
      </c>
      <c r="C3991" s="8">
        <v>1</v>
      </c>
      <c r="D3991">
        <v>-0.18463109999999999</v>
      </c>
      <c r="E3991">
        <v>-0.38685039999999998</v>
      </c>
      <c r="F3991">
        <v>-8.7665E-3</v>
      </c>
      <c r="G3991">
        <v>9.9530400000000005E-2</v>
      </c>
      <c r="H3991">
        <v>0.4123231</v>
      </c>
      <c r="Q3991" s="10">
        <f t="shared" si="144"/>
        <v>0.13119201932184177</v>
      </c>
      <c r="AI3991">
        <v>-0.21106430000000001</v>
      </c>
      <c r="AJ3991">
        <f t="shared" si="143"/>
        <v>-0.113345184</v>
      </c>
      <c r="AO3991">
        <v>-0.113345184</v>
      </c>
      <c r="AR3991" s="8">
        <v>1</v>
      </c>
      <c r="AS3991">
        <v>0.22578960000000001</v>
      </c>
    </row>
    <row r="3992" spans="1:45" x14ac:dyDescent="0.25">
      <c r="A3992">
        <v>817</v>
      </c>
      <c r="B3992">
        <v>2001</v>
      </c>
      <c r="C3992" s="8">
        <v>1</v>
      </c>
      <c r="D3992">
        <v>0.22941810000000001</v>
      </c>
      <c r="E3992">
        <v>-1.871837</v>
      </c>
      <c r="F3992">
        <v>3.5006999999999998E-3</v>
      </c>
      <c r="G3992">
        <v>0.21097830000000001</v>
      </c>
      <c r="H3992">
        <v>0.10642699999999999</v>
      </c>
      <c r="Q3992" s="10">
        <f t="shared" si="144"/>
        <v>0.49375574580323872</v>
      </c>
      <c r="AI3992">
        <v>-0.12149160000000001</v>
      </c>
      <c r="AJ3992">
        <f t="shared" si="143"/>
        <v>-0.113345184</v>
      </c>
      <c r="AO3992">
        <v>-0.113345184</v>
      </c>
      <c r="AR3992" s="8">
        <v>1</v>
      </c>
      <c r="AS3992">
        <v>0.14646219999999999</v>
      </c>
    </row>
    <row r="3993" spans="1:45" x14ac:dyDescent="0.25">
      <c r="A3993">
        <v>818</v>
      </c>
      <c r="B3993">
        <v>1998</v>
      </c>
      <c r="C3993" s="8">
        <v>1</v>
      </c>
      <c r="D3993">
        <v>-0.21106430000000001</v>
      </c>
      <c r="E3993">
        <v>-0.85387860000000004</v>
      </c>
      <c r="F3993">
        <v>4.7360100000000002E-2</v>
      </c>
      <c r="G3993">
        <v>6.8954799999999997E-2</v>
      </c>
      <c r="H3993">
        <v>0.54774279999999997</v>
      </c>
      <c r="Q3993" s="10">
        <f t="shared" si="144"/>
        <v>0.1767304879119477</v>
      </c>
      <c r="AI3993">
        <v>0.24432619999999999</v>
      </c>
      <c r="AJ3993">
        <f t="shared" si="143"/>
        <v>0.24432619999999999</v>
      </c>
      <c r="AO3993">
        <v>0.24432619999999999</v>
      </c>
      <c r="AR3993" s="8">
        <v>1</v>
      </c>
      <c r="AS3993">
        <v>9.9530400000000005E-2</v>
      </c>
    </row>
    <row r="3994" spans="1:45" x14ac:dyDescent="0.25">
      <c r="A3994">
        <v>819</v>
      </c>
      <c r="B3994">
        <v>1996</v>
      </c>
      <c r="C3994" s="8">
        <v>1</v>
      </c>
      <c r="D3994">
        <v>-0.12149160000000001</v>
      </c>
      <c r="E3994">
        <v>-9.0418700000000005E-2</v>
      </c>
      <c r="F3994">
        <v>-1.38338E-2</v>
      </c>
      <c r="G3994">
        <v>0.13589999999999999</v>
      </c>
      <c r="H3994">
        <v>0.33792460000000002</v>
      </c>
      <c r="Q3994" s="10">
        <f t="shared" si="144"/>
        <v>8.6365342186616692E-2</v>
      </c>
      <c r="AI3994">
        <v>0.1710874</v>
      </c>
      <c r="AJ3994">
        <f t="shared" si="143"/>
        <v>0.1710874</v>
      </c>
      <c r="AO3994">
        <v>0.1710874</v>
      </c>
      <c r="AR3994" s="8">
        <v>1</v>
      </c>
      <c r="AS3994">
        <v>0.21097830000000001</v>
      </c>
    </row>
    <row r="3995" spans="1:45" x14ac:dyDescent="0.25">
      <c r="A3995">
        <v>820</v>
      </c>
      <c r="B3995">
        <v>1996</v>
      </c>
      <c r="C3995" s="8">
        <v>1</v>
      </c>
      <c r="D3995">
        <v>0.24432619999999999</v>
      </c>
      <c r="E3995">
        <v>-0.28897800000000001</v>
      </c>
      <c r="F3995">
        <v>5.9090200000000002E-2</v>
      </c>
      <c r="G3995">
        <v>2.1270380000000002</v>
      </c>
      <c r="H3995">
        <v>0.21375340000000001</v>
      </c>
      <c r="Q3995" s="10">
        <f t="shared" si="144"/>
        <v>3.1667328220633907E-3</v>
      </c>
      <c r="AI3995">
        <v>-0.89924099999999996</v>
      </c>
      <c r="AJ3995">
        <f t="shared" si="143"/>
        <v>-0.113345184</v>
      </c>
      <c r="AO3995">
        <v>-0.113345184</v>
      </c>
      <c r="AR3995" s="8">
        <v>1</v>
      </c>
      <c r="AS3995">
        <v>6.8954799999999997E-2</v>
      </c>
    </row>
    <row r="3996" spans="1:45" x14ac:dyDescent="0.25">
      <c r="A3996">
        <v>821</v>
      </c>
      <c r="B3996">
        <v>2000</v>
      </c>
      <c r="C3996" s="8">
        <v>1</v>
      </c>
      <c r="D3996">
        <v>0.1710874</v>
      </c>
      <c r="E3996">
        <v>-0.26302160000000002</v>
      </c>
      <c r="F3996">
        <v>2.55669E-2</v>
      </c>
      <c r="G3996">
        <v>3.0750400000000001E-2</v>
      </c>
      <c r="H3996">
        <v>0.18894</v>
      </c>
      <c r="Q3996" s="10">
        <f t="shared" si="144"/>
        <v>9.7390203373097325E-2</v>
      </c>
      <c r="AI3996">
        <v>0.2993577</v>
      </c>
      <c r="AJ3996">
        <f t="shared" si="143"/>
        <v>0.2993577</v>
      </c>
      <c r="AO3996">
        <v>0.2993577</v>
      </c>
      <c r="AR3996" s="8">
        <v>1</v>
      </c>
      <c r="AS3996">
        <v>0.13589999999999999</v>
      </c>
    </row>
    <row r="3997" spans="1:45" x14ac:dyDescent="0.25">
      <c r="A3997">
        <v>822</v>
      </c>
      <c r="B3997">
        <v>1998</v>
      </c>
      <c r="C3997" s="8">
        <v>1</v>
      </c>
      <c r="D3997">
        <v>-0.89924099999999996</v>
      </c>
      <c r="E3997">
        <v>-0.52081789999999994</v>
      </c>
      <c r="F3997">
        <v>3.6022100000000001E-2</v>
      </c>
      <c r="G3997">
        <v>2.72822E-2</v>
      </c>
      <c r="H3997">
        <v>0.58721610000000002</v>
      </c>
      <c r="Q3997" s="10">
        <f t="shared" si="144"/>
        <v>0.10654331456982633</v>
      </c>
      <c r="AI3997">
        <v>0.41329719999999998</v>
      </c>
      <c r="AJ3997">
        <f t="shared" si="143"/>
        <v>0.41329719999999998</v>
      </c>
      <c r="AO3997">
        <v>0.41329719999999998</v>
      </c>
      <c r="AR3997" s="8">
        <v>1</v>
      </c>
      <c r="AS3997">
        <v>2.1270380000000002</v>
      </c>
    </row>
    <row r="3998" spans="1:45" x14ac:dyDescent="0.25">
      <c r="A3998">
        <v>823</v>
      </c>
      <c r="B3998">
        <v>1997</v>
      </c>
      <c r="C3998" s="8">
        <v>1</v>
      </c>
      <c r="D3998">
        <v>0.2993577</v>
      </c>
      <c r="E3998">
        <v>3.3068599999999997E-2</v>
      </c>
      <c r="F3998">
        <v>2.79341E-2</v>
      </c>
      <c r="G3998">
        <v>3.9038799999999999E-2</v>
      </c>
      <c r="H3998">
        <v>0.57052159999999996</v>
      </c>
      <c r="Q3998" s="10">
        <f t="shared" si="144"/>
        <v>8.3203111541877692E-2</v>
      </c>
      <c r="AI3998">
        <v>0.18551980000000001</v>
      </c>
      <c r="AJ3998">
        <f t="shared" si="143"/>
        <v>0.18551980000000001</v>
      </c>
      <c r="AO3998">
        <v>0.18551980000000001</v>
      </c>
      <c r="AR3998" s="8">
        <v>1</v>
      </c>
      <c r="AS3998">
        <v>3.0750400000000001E-2</v>
      </c>
    </row>
    <row r="3999" spans="1:45" x14ac:dyDescent="0.25">
      <c r="A3999">
        <v>824</v>
      </c>
      <c r="B3999">
        <v>1996</v>
      </c>
      <c r="C3999" s="8">
        <v>1</v>
      </c>
      <c r="D3999">
        <v>0.41329719999999998</v>
      </c>
      <c r="E3999">
        <v>-0.2284214</v>
      </c>
      <c r="F3999">
        <v>5.8405600000000002E-2</v>
      </c>
      <c r="G3999">
        <v>0.30966680000000002</v>
      </c>
      <c r="H3999">
        <v>0.52742920000000004</v>
      </c>
      <c r="Q3999" s="10">
        <f t="shared" si="144"/>
        <v>6.4531542067948228E-2</v>
      </c>
      <c r="AI3999">
        <v>2.8727599999999999E-2</v>
      </c>
      <c r="AJ3999">
        <f t="shared" si="143"/>
        <v>2.8727599999999999E-2</v>
      </c>
      <c r="AO3999">
        <v>2.8727599999999999E-2</v>
      </c>
      <c r="AR3999" s="8">
        <v>1</v>
      </c>
      <c r="AS3999">
        <v>2.72822E-2</v>
      </c>
    </row>
    <row r="4000" spans="1:45" x14ac:dyDescent="0.25">
      <c r="A4000">
        <v>825</v>
      </c>
      <c r="B4000">
        <v>1998</v>
      </c>
      <c r="C4000" s="8">
        <v>1</v>
      </c>
      <c r="D4000">
        <v>0.18551980000000001</v>
      </c>
      <c r="E4000">
        <v>0.12534680000000001</v>
      </c>
      <c r="F4000">
        <v>7.14944E-2</v>
      </c>
      <c r="G4000">
        <v>5.2221400000000001E-2</v>
      </c>
      <c r="H4000">
        <v>0.81546289999999999</v>
      </c>
      <c r="Q4000" s="10">
        <f t="shared" si="144"/>
        <v>5.7399697276328904E-2</v>
      </c>
      <c r="AI4000">
        <v>0.1721674</v>
      </c>
      <c r="AJ4000">
        <f t="shared" si="143"/>
        <v>0.1721674</v>
      </c>
      <c r="AO4000">
        <v>0.1721674</v>
      </c>
      <c r="AR4000" s="8">
        <v>1</v>
      </c>
      <c r="AS4000">
        <v>3.9038799999999999E-2</v>
      </c>
    </row>
    <row r="4001" spans="1:45" x14ac:dyDescent="0.25">
      <c r="A4001">
        <v>826</v>
      </c>
      <c r="B4001">
        <v>1997</v>
      </c>
      <c r="C4001" s="8">
        <v>1</v>
      </c>
      <c r="D4001">
        <v>2.8727599999999999E-2</v>
      </c>
      <c r="E4001">
        <v>-1.846117</v>
      </c>
      <c r="F4001">
        <v>3.3956E-2</v>
      </c>
      <c r="G4001">
        <v>3.4679799999999997E-2</v>
      </c>
      <c r="H4001">
        <v>0.67804419999999999</v>
      </c>
      <c r="Q4001" s="10">
        <f t="shared" si="144"/>
        <v>0.56120080104707459</v>
      </c>
      <c r="AI4001">
        <v>5.5884999999999997E-3</v>
      </c>
      <c r="AJ4001">
        <f t="shared" si="143"/>
        <v>5.5884999999999997E-3</v>
      </c>
      <c r="AO4001">
        <v>5.5884999999999997E-3</v>
      </c>
      <c r="AR4001" s="8">
        <v>1</v>
      </c>
      <c r="AS4001">
        <v>0.30966680000000002</v>
      </c>
    </row>
    <row r="4002" spans="1:45" x14ac:dyDescent="0.25">
      <c r="A4002">
        <v>827</v>
      </c>
      <c r="B4002">
        <v>2000</v>
      </c>
      <c r="C4002" s="8">
        <v>1</v>
      </c>
      <c r="D4002">
        <v>0.1721674</v>
      </c>
      <c r="E4002">
        <v>-6.8613499999999994E-2</v>
      </c>
      <c r="F4002">
        <v>-4.6987000000000001E-3</v>
      </c>
      <c r="G4002">
        <v>4.35187E-2</v>
      </c>
      <c r="H4002">
        <v>0.23529910000000001</v>
      </c>
      <c r="Q4002" s="10">
        <f t="shared" si="144"/>
        <v>9.4634894628104038E-2</v>
      </c>
      <c r="AI4002">
        <v>-0.99423019999999995</v>
      </c>
      <c r="AJ4002">
        <f t="shared" si="143"/>
        <v>-0.113345184</v>
      </c>
      <c r="AO4002">
        <v>-0.113345184</v>
      </c>
      <c r="AR4002" s="8">
        <v>1</v>
      </c>
      <c r="AS4002">
        <v>5.2221400000000001E-2</v>
      </c>
    </row>
    <row r="4003" spans="1:45" x14ac:dyDescent="0.25">
      <c r="A4003">
        <v>828</v>
      </c>
      <c r="B4003">
        <v>1996</v>
      </c>
      <c r="C4003" s="8">
        <v>1</v>
      </c>
      <c r="D4003">
        <v>5.5884999999999997E-3</v>
      </c>
      <c r="E4003">
        <v>-0.26006790000000002</v>
      </c>
      <c r="F4003">
        <v>3.6877600000000003E-2</v>
      </c>
      <c r="G4003">
        <v>0.2982553</v>
      </c>
      <c r="H4003">
        <v>0.14810000000000001</v>
      </c>
      <c r="Q4003" s="10">
        <f t="shared" si="144"/>
        <v>5.5121326296360566E-2</v>
      </c>
      <c r="AI4003">
        <v>6.5566100000000002E-2</v>
      </c>
      <c r="AJ4003">
        <f t="shared" si="143"/>
        <v>6.5566100000000002E-2</v>
      </c>
      <c r="AO4003">
        <v>6.5566100000000002E-2</v>
      </c>
      <c r="AR4003" s="8">
        <v>1</v>
      </c>
      <c r="AS4003">
        <v>3.4679799999999997E-2</v>
      </c>
    </row>
    <row r="4004" spans="1:45" x14ac:dyDescent="0.25">
      <c r="A4004">
        <v>829</v>
      </c>
      <c r="B4004">
        <v>2001</v>
      </c>
      <c r="C4004" s="8">
        <v>1</v>
      </c>
      <c r="D4004">
        <v>-0.99423019999999995</v>
      </c>
      <c r="E4004">
        <v>-0.43353180000000002</v>
      </c>
      <c r="F4004">
        <v>-2.4369999999999999E-4</v>
      </c>
      <c r="G4004">
        <v>3.5502199999999998E-2</v>
      </c>
      <c r="H4004">
        <v>0.33046740000000002</v>
      </c>
      <c r="Q4004" s="10">
        <f t="shared" si="144"/>
        <v>0.10202314884872959</v>
      </c>
      <c r="AR4004" s="8">
        <v>1</v>
      </c>
      <c r="AS4004">
        <v>4.35187E-2</v>
      </c>
    </row>
    <row r="4005" spans="1:45" x14ac:dyDescent="0.25">
      <c r="A4005">
        <v>830</v>
      </c>
      <c r="B4005">
        <v>2002</v>
      </c>
      <c r="C4005" s="8">
        <v>1</v>
      </c>
      <c r="D4005">
        <v>6.5566100000000002E-2</v>
      </c>
      <c r="E4005">
        <v>-0.1137388</v>
      </c>
      <c r="F4005">
        <v>3.6023600000000003E-2</v>
      </c>
      <c r="G4005">
        <v>3.76323E-2</v>
      </c>
      <c r="H4005">
        <v>0.11636009999999999</v>
      </c>
      <c r="Q4005" s="10">
        <f t="shared" si="144"/>
        <v>6.742445426933899E-2</v>
      </c>
      <c r="AR4005" s="8">
        <v>1</v>
      </c>
      <c r="AS4005">
        <v>0.2982553</v>
      </c>
    </row>
    <row r="4006" spans="1:45" x14ac:dyDescent="0.25">
      <c r="Q4006" s="10"/>
      <c r="AR4006" s="8">
        <v>1</v>
      </c>
      <c r="AS4006">
        <v>3.5502199999999998E-2</v>
      </c>
    </row>
    <row r="4007" spans="1:45" x14ac:dyDescent="0.25">
      <c r="AR4007" s="8">
        <v>1</v>
      </c>
      <c r="AS4007">
        <v>3.76323E-2</v>
      </c>
    </row>
  </sheetData>
  <mergeCells count="4">
    <mergeCell ref="D4:H4"/>
    <mergeCell ref="I4:O4"/>
    <mergeCell ref="I15:O15"/>
    <mergeCell ref="AB9:AG9"/>
  </mergeCells>
  <conditionalFormatting sqref="Q1:Q1048576">
    <cfRule type="cellIs" dxfId="0" priority="1" operator="greaterThan">
      <formula>0.75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logit model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Ozpeynirci</dc:creator>
  <cp:lastModifiedBy>Emrah Ozpeynirci</cp:lastModifiedBy>
  <dcterms:created xsi:type="dcterms:W3CDTF">2018-01-12T12:32:02Z</dcterms:created>
  <dcterms:modified xsi:type="dcterms:W3CDTF">2018-01-15T12:06:01Z</dcterms:modified>
</cp:coreProperties>
</file>